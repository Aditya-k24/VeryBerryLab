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ola n1&amp;2" sheetId="1" r:id="rId5"/>
    <sheet state="visible" name="Finn n1&amp;2" sheetId="2" r:id="rId6"/>
    <sheet state="visible" name="Camarosa n1&amp;2" sheetId="3" r:id="rId7"/>
    <sheet state="visible" name="Chandler n1&amp;2" sheetId="4" r:id="rId8"/>
    <sheet state="visible" name="Sensation n1&amp;2" sheetId="5" r:id="rId9"/>
    <sheet state="visible" name="Brilliance n1&amp;2" sheetId="6" r:id="rId10"/>
    <sheet state="visible" name="Empty template" sheetId="7" r:id="rId11"/>
    <sheet state="visible" name="Portola template" sheetId="8" r:id="rId12"/>
    <sheet state="visible" name="Finn template" sheetId="9" r:id="rId13"/>
    <sheet state="visible" name="Cam template" sheetId="10" r:id="rId14"/>
    <sheet state="visible" name="Chandler template" sheetId="11" r:id="rId15"/>
    <sheet state="visible" name="Sen template" sheetId="12" r:id="rId16"/>
    <sheet state="visible" name="Bri template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tc={41d5e263-00dc-49dc-8ffa-aaf41e20c223}</author>
    <author>tc={440245e6-9030-439b-b92f-8f28dd539a58}</author>
    <author>tc={af471b39-21d8-499a-86c9-d38cebdd6cff}</author>
    <author>tc={de5eac9f-1e26-47bb-930c-eae5fcce7fad}</author>
  </authors>
  <commentList>
    <comment authorId="0" xr:uid="{41d5e263-00dc-49dc-8ffa-aaf41e20c223}" ref="A10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Corrected the label ID's from previous data
</t>
      </text>
    </comment>
    <comment authorId="1" xr:uid="{440245e6-9030-439b-b92f-8f28dd539a58}" ref="A1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Corrected the label ID's from previous data
</t>
      </text>
    </comment>
    <comment authorId="2" xr:uid="{af471b39-21d8-499a-86c9-d38cebdd6cff}" ref="A1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Corrected the label ID from previous data
</t>
      </text>
    </comment>
    <comment authorId="3" xr:uid="{de5eac9f-1e26-47bb-930c-eae5fcce7fad}" ref="A1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Corrected the label ID from previous data
</t>
      </text>
    </comment>
  </commentList>
</comments>
</file>

<file path=xl/sharedStrings.xml><?xml version="1.0" encoding="utf-8"?>
<sst xmlns="http://schemas.openxmlformats.org/spreadsheetml/2006/main" count="3946" uniqueCount="752">
  <si>
    <t>Daughter Label</t>
  </si>
  <si>
    <t>#dp on alt node 10/09</t>
  </si>
  <si>
    <t>#dp on mid node 10/09</t>
  </si>
  <si>
    <t>#dp on alt node Pri stolon</t>
  </si>
  <si>
    <t>#dp on mid node Pri stolon</t>
  </si>
  <si>
    <t># Sec Stolon total</t>
  </si>
  <si>
    <t># Sec Daughters</t>
  </si>
  <si>
    <t>#dp on mid node Sec stolon</t>
  </si>
  <si>
    <t>#Ter Stolon</t>
  </si>
  <si>
    <t># Ter Daughters</t>
  </si>
  <si>
    <t>#dp on mid node Ter stolon</t>
  </si>
  <si>
    <t>#Stolon regardless of daughter tips</t>
  </si>
  <si>
    <t>Stolon Length</t>
  </si>
  <si>
    <t>Remark</t>
  </si>
  <si>
    <t># Truss M1</t>
  </si>
  <si>
    <t>#Flowers M1</t>
  </si>
  <si>
    <t># Truss M2</t>
  </si>
  <si>
    <t>#Flowers M2</t>
  </si>
  <si>
    <t>Date</t>
  </si>
  <si>
    <t>1.1.2.1</t>
  </si>
  <si>
    <t>T1 F4</t>
  </si>
  <si>
    <t>1.2.2.1</t>
  </si>
  <si>
    <t>2.1.2.1</t>
  </si>
  <si>
    <t>T2 F9</t>
  </si>
  <si>
    <t>1.1.4.2</t>
  </si>
  <si>
    <t>1.1.6.3</t>
  </si>
  <si>
    <t>1.1.3/1.2.1</t>
  </si>
  <si>
    <t>1.1.1/1.2.1</t>
  </si>
  <si>
    <t>1.1.1/1.4.2</t>
  </si>
  <si>
    <t>1.1.1/1.2/1.2.1</t>
  </si>
  <si>
    <t>1.1.2/1.2.1</t>
  </si>
  <si>
    <t>1.1.2/1.4.2</t>
  </si>
  <si>
    <t>1.2.4.2</t>
  </si>
  <si>
    <t>1.2.6.3</t>
  </si>
  <si>
    <t>1.2.3/1.2.1</t>
  </si>
  <si>
    <t>1.2.2/1.2.1</t>
  </si>
  <si>
    <t>1.2.2/1.4.2</t>
  </si>
  <si>
    <t>1.3.2.1</t>
  </si>
  <si>
    <t>1.3.4.2</t>
  </si>
  <si>
    <t>1.4.2.1</t>
  </si>
  <si>
    <t>T2 F10</t>
  </si>
  <si>
    <t>1.5.2.1</t>
  </si>
  <si>
    <t>1.6.2.1</t>
  </si>
  <si>
    <t>1.7.2.1</t>
  </si>
  <si>
    <t>1.7.4.2</t>
  </si>
  <si>
    <t>1.7.1/1.2.1</t>
  </si>
  <si>
    <t>1.8.1/1.2.1</t>
  </si>
  <si>
    <t>1.9.2.1</t>
  </si>
  <si>
    <t>1.10.2.1</t>
  </si>
  <si>
    <t>1.11.2.1</t>
  </si>
  <si>
    <t>1.11.1/1.2.1</t>
  </si>
  <si>
    <t>T3 F13</t>
  </si>
  <si>
    <t>2.1.4.2</t>
  </si>
  <si>
    <t>2.1.3/1.2.1</t>
  </si>
  <si>
    <t>2.1.2/1.2.1</t>
  </si>
  <si>
    <t>2.1.1/1.2.1</t>
  </si>
  <si>
    <t>2.1.1/1.4.2</t>
  </si>
  <si>
    <t>2.2.3.1</t>
  </si>
  <si>
    <t>2.3.2.1</t>
  </si>
  <si>
    <t>2.4.2.1</t>
  </si>
  <si>
    <t>2.5.2.1</t>
  </si>
  <si>
    <t>2.6.2.1</t>
  </si>
  <si>
    <t>2.7.2.1</t>
  </si>
  <si>
    <t>T2 F7</t>
  </si>
  <si>
    <t>1.1.8.4</t>
  </si>
  <si>
    <t>1.1.10.5</t>
  </si>
  <si>
    <t>1.1.1/1.6.3</t>
  </si>
  <si>
    <t>1.1.1/1.8.4</t>
  </si>
  <si>
    <t>1.1.1/1.2/1.4.2</t>
  </si>
  <si>
    <t>1.1.2/1.6.3</t>
  </si>
  <si>
    <t>1.1.3/1.4.2</t>
  </si>
  <si>
    <t>1.1.4/1.2.1</t>
  </si>
  <si>
    <t>1.2.8.4</t>
  </si>
  <si>
    <t>1.2.2/1.6.3</t>
  </si>
  <si>
    <t>1.2.2/1.1/1.2.1</t>
  </si>
  <si>
    <t>1.2.2/1.2/1.2.1</t>
  </si>
  <si>
    <t>1.2.3/1.4.2</t>
  </si>
  <si>
    <t>1.2.4/1.2.1</t>
  </si>
  <si>
    <t>1.3.6.3</t>
  </si>
  <si>
    <t>1.4.4.2</t>
  </si>
  <si>
    <t>1.4.2/1.2.1</t>
  </si>
  <si>
    <t>1.6.4.2</t>
  </si>
  <si>
    <t>1.6.6.3</t>
  </si>
  <si>
    <t>1.6.2/1.2.1</t>
  </si>
  <si>
    <t>1.7.6.3</t>
  </si>
  <si>
    <t>1.7.2/1.2.1</t>
  </si>
  <si>
    <t>1.7.1/1.4.2</t>
  </si>
  <si>
    <t>1.8.2.1</t>
  </si>
  <si>
    <t>1.8.4.2</t>
  </si>
  <si>
    <t>1.8.6.3</t>
  </si>
  <si>
    <t>1.8.1/1.4.2</t>
  </si>
  <si>
    <t>1.8.2/1.2.1</t>
  </si>
  <si>
    <t>1.9.4.2</t>
  </si>
  <si>
    <t>1.10.4.2</t>
  </si>
  <si>
    <t>1.11.1/1.4.2</t>
  </si>
  <si>
    <t>1.11.4.2</t>
  </si>
  <si>
    <t>1.11.6.3</t>
  </si>
  <si>
    <t>1.11.2/1.2.1</t>
  </si>
  <si>
    <t>1.12.2.1</t>
  </si>
  <si>
    <t>T1 F3</t>
  </si>
  <si>
    <t>T5 F23</t>
  </si>
  <si>
    <t>2.1.8.4</t>
  </si>
  <si>
    <t>2.1.4/1.2.1</t>
  </si>
  <si>
    <t>2.1.3/1.4.2</t>
  </si>
  <si>
    <t>2.1.2/1.4.2</t>
  </si>
  <si>
    <t>2.1.2/2.2.1</t>
  </si>
  <si>
    <t>2.1.1/1.6.3</t>
  </si>
  <si>
    <t>2.1.1/1.2/1.2.1</t>
  </si>
  <si>
    <t>2.2.5.2</t>
  </si>
  <si>
    <t>2.2.2/1.2.1</t>
  </si>
  <si>
    <t>2.4.4.2</t>
  </si>
  <si>
    <t>2.5.4.2</t>
  </si>
  <si>
    <t>2.5.2/1.2.1</t>
  </si>
  <si>
    <t>2.6.4.2</t>
  </si>
  <si>
    <t>2.7.4.2</t>
  </si>
  <si>
    <t>2.7.2/1.2.1</t>
  </si>
  <si>
    <t>2.7.6.3</t>
  </si>
  <si>
    <t>2.8.2.1</t>
  </si>
  <si>
    <t>2.9.2.1</t>
  </si>
  <si>
    <t>2.10.2.1</t>
  </si>
  <si>
    <t>2.10.4.2</t>
  </si>
  <si>
    <t>2.10.2/1.2.1</t>
  </si>
  <si>
    <t>2.11.2.1</t>
  </si>
  <si>
    <t>T1 F2</t>
  </si>
  <si>
    <t>2.11.4.2</t>
  </si>
  <si>
    <t>2.12.2.1</t>
  </si>
  <si>
    <t>2.12.1/1.2.1</t>
  </si>
  <si>
    <t>T2 F6</t>
  </si>
  <si>
    <t>1.1.1/1.2/1.6.3</t>
  </si>
  <si>
    <t>1.1.1/1.10.5</t>
  </si>
  <si>
    <t>1.1.2/1.8.4</t>
  </si>
  <si>
    <t>1.1.2/1.4/1.2.1</t>
  </si>
  <si>
    <t>1.1.3/1.6.3</t>
  </si>
  <si>
    <t>1.1.4/1.4.2</t>
  </si>
  <si>
    <t>1.1.4/1.6.3</t>
  </si>
  <si>
    <t>1.1.6/1.2.1</t>
  </si>
  <si>
    <t>1.2.3/1.6.3</t>
  </si>
  <si>
    <t>1.2.4/1.4.2</t>
  </si>
  <si>
    <t>1.2.4/1.6.3</t>
  </si>
  <si>
    <t>1.2.10.5</t>
  </si>
  <si>
    <t>1.2.8/1.2.1</t>
  </si>
  <si>
    <t>1.2.2/1.1/1.4.2</t>
  </si>
  <si>
    <t>1.2.2/1.1/1.6.3</t>
  </si>
  <si>
    <t>1.2.2/1.2/1.4.2</t>
  </si>
  <si>
    <t>1.2.2/1.8.4</t>
  </si>
  <si>
    <t>1.3.8.4</t>
  </si>
  <si>
    <t>1.4.6.3</t>
  </si>
  <si>
    <t>1.4.8.4</t>
  </si>
  <si>
    <t>1.4.2/1.4.2</t>
  </si>
  <si>
    <t>1.5.4.2</t>
  </si>
  <si>
    <t>1.5.6.3</t>
  </si>
  <si>
    <t>1.6.2/1.4.2</t>
  </si>
  <si>
    <t>1.6.2/1.6.3</t>
  </si>
  <si>
    <t>1.6.8.4</t>
  </si>
  <si>
    <t>1.6.4/1.2.1</t>
  </si>
  <si>
    <t>1.7.1/1.6.3</t>
  </si>
  <si>
    <t>1.7.1/1.8.4</t>
  </si>
  <si>
    <t>1.7.2/1.4.2</t>
  </si>
  <si>
    <t>1.7.2/1.6.3</t>
  </si>
  <si>
    <t>1.7.8.4</t>
  </si>
  <si>
    <t>1.7.10.5</t>
  </si>
  <si>
    <t>1.8.8.4</t>
  </si>
  <si>
    <t>1.8.4/1.2.1</t>
  </si>
  <si>
    <t>1.8.2/1.4.2</t>
  </si>
  <si>
    <t>1.8.1/1.6.3</t>
  </si>
  <si>
    <t>1.9.6.3</t>
  </si>
  <si>
    <t>1.9.2/1.2.1</t>
  </si>
  <si>
    <t>1.10.6.3</t>
  </si>
  <si>
    <t>1.10.8.4</t>
  </si>
  <si>
    <t>1.10.2/1.2.1</t>
  </si>
  <si>
    <t>1.10.2/1.4.2</t>
  </si>
  <si>
    <t>1.11.2/1.4.2</t>
  </si>
  <si>
    <t>1.11.1/1.6.3</t>
  </si>
  <si>
    <t>1.11.8.4</t>
  </si>
  <si>
    <t>1.11.4/1.2.1</t>
  </si>
  <si>
    <t>1.12.4.2</t>
  </si>
  <si>
    <t>1.12.6.3</t>
  </si>
  <si>
    <t>1.13.2.1</t>
  </si>
  <si>
    <t>T6 F21</t>
  </si>
  <si>
    <t>2.1.2/2.4.2</t>
  </si>
  <si>
    <t>2.1.1/1.2/1.4.2</t>
  </si>
  <si>
    <t>2.1.1/1.8.4</t>
  </si>
  <si>
    <t>2.1.1/1.10.5</t>
  </si>
  <si>
    <t>2.1.2/1.2/1.2.1</t>
  </si>
  <si>
    <t>2.1.2/1.6.3</t>
  </si>
  <si>
    <t>2.1.2/1.8.4</t>
  </si>
  <si>
    <t>2.1.10.5</t>
  </si>
  <si>
    <t>2.1.6/1.2.1</t>
  </si>
  <si>
    <t>2.1.4/1.4.2</t>
  </si>
  <si>
    <t>2.1.3/1.6.3</t>
  </si>
  <si>
    <t>2.2.7.3</t>
  </si>
  <si>
    <t>2.2.3/1.2.1</t>
  </si>
  <si>
    <t>2.2.3/1.4.2</t>
  </si>
  <si>
    <t>2.2.2/1.4.2</t>
  </si>
  <si>
    <t>2.3.4.2</t>
  </si>
  <si>
    <t>2.3.6.3</t>
  </si>
  <si>
    <t>2.3.2/1.2.1</t>
  </si>
  <si>
    <t>2.3.2/1.4.2</t>
  </si>
  <si>
    <t>2.4.6.3</t>
  </si>
  <si>
    <t>2.5.6.3</t>
  </si>
  <si>
    <t>2.5.8.4</t>
  </si>
  <si>
    <t>2.5.2/1.4.2</t>
  </si>
  <si>
    <t>2.6.6.3</t>
  </si>
  <si>
    <t>2.6.2/1.2.1</t>
  </si>
  <si>
    <t>2.7.8.4</t>
  </si>
  <si>
    <t>2.7.2/1.4.2</t>
  </si>
  <si>
    <t>2.8.4.2</t>
  </si>
  <si>
    <t>2.8.6.3</t>
  </si>
  <si>
    <t>2.9.4.2</t>
  </si>
  <si>
    <t>2.10.6.3</t>
  </si>
  <si>
    <t>2.10.8.4</t>
  </si>
  <si>
    <t>2.10.2/1.4.2</t>
  </si>
  <si>
    <t>2.11.6.3</t>
  </si>
  <si>
    <t>2.12.4.2</t>
  </si>
  <si>
    <t>2.12.6.3</t>
  </si>
  <si>
    <t>2.12.1/1.4.2</t>
  </si>
  <si>
    <t>2.13.2.1</t>
  </si>
  <si>
    <t>T1 F1</t>
  </si>
  <si>
    <t>2.13.4.2</t>
  </si>
  <si>
    <t>2.13.6.3</t>
  </si>
  <si>
    <t>2.13.2/1.2.1</t>
  </si>
  <si>
    <t>2.14.2.1</t>
  </si>
  <si>
    <t>2.14.4.2</t>
  </si>
  <si>
    <t>2.15.2.1</t>
  </si>
  <si>
    <t>2.16.2.1</t>
  </si>
  <si>
    <t>2.16.4.2</t>
  </si>
  <si>
    <t>2.17.3.1</t>
  </si>
  <si>
    <t>1.1.1/1.2/1.8.4</t>
  </si>
  <si>
    <t>1.1.2/1.2/1.2.1</t>
  </si>
  <si>
    <t>1.1.3/1.8.4</t>
  </si>
  <si>
    <t>1.1.6/1.4.2</t>
  </si>
  <si>
    <t>1.1.8/1.2.1</t>
  </si>
  <si>
    <t>1.1.4/2.2.1</t>
  </si>
  <si>
    <t>1.2.12.6</t>
  </si>
  <si>
    <t>1.2.2/1.2/1.6.3</t>
  </si>
  <si>
    <t>1.2.2/1.10.5</t>
  </si>
  <si>
    <t>1.2.3/1.8.4</t>
  </si>
  <si>
    <t>1.3.10.5</t>
  </si>
  <si>
    <t>1.4.2/1.6.3</t>
  </si>
  <si>
    <t>1.5.8.4</t>
  </si>
  <si>
    <t>1.6.10.5</t>
  </si>
  <si>
    <t>1.6.4/1.4.2</t>
  </si>
  <si>
    <t>1.8.10.5</t>
  </si>
  <si>
    <t>1.8.2/1.6.3</t>
  </si>
  <si>
    <t>1.8.4/1.4.2</t>
  </si>
  <si>
    <t>1.9.8.4</t>
  </si>
  <si>
    <t>1.9.2/1.4.2</t>
  </si>
  <si>
    <t>1.11.10.6</t>
  </si>
  <si>
    <t>1.11.4/1.4.2</t>
  </si>
  <si>
    <t>1.11.2/1.6.2</t>
  </si>
  <si>
    <t>1.11.1/1.8.4</t>
  </si>
  <si>
    <t>1.12.8.4</t>
  </si>
  <si>
    <t>1.13.4.2</t>
  </si>
  <si>
    <t>1.14.2.1</t>
  </si>
  <si>
    <t>1.14.4.2</t>
  </si>
  <si>
    <t>1.14.6.3</t>
  </si>
  <si>
    <t>1.14.8.4</t>
  </si>
  <si>
    <t>1.14.2/1.2.1</t>
  </si>
  <si>
    <t>1.14.2/1.4.2</t>
  </si>
  <si>
    <t>2.1.12.6</t>
  </si>
  <si>
    <t>2.1.1/1.2/1.6.3</t>
  </si>
  <si>
    <t>2.1.1/1.6/1.2.1</t>
  </si>
  <si>
    <t>2.1.3/1.8.4</t>
  </si>
  <si>
    <t>2.1.4/1.6.3</t>
  </si>
  <si>
    <t>2.1.6/1.4.2</t>
  </si>
  <si>
    <t>2.1.2/1.2/1.4.2</t>
  </si>
  <si>
    <t>2.2.9.5</t>
  </si>
  <si>
    <t>2.2.2/1.6.3</t>
  </si>
  <si>
    <t>2.3.8.4</t>
  </si>
  <si>
    <t>2.4.8.4</t>
  </si>
  <si>
    <t>2.5.10.5</t>
  </si>
  <si>
    <t>2.5.2/1.6.3</t>
  </si>
  <si>
    <t>2.6.8.4</t>
  </si>
  <si>
    <t>2.6.2/1.4.2</t>
  </si>
  <si>
    <t>2.7.10.5</t>
  </si>
  <si>
    <t>2.7.2/1.6.3</t>
  </si>
  <si>
    <t>2.8.8.4</t>
  </si>
  <si>
    <t>2.9.6.3</t>
  </si>
  <si>
    <t>2.10.10.5</t>
  </si>
  <si>
    <t>2.10.2/1.6.3</t>
  </si>
  <si>
    <t>2.11.8.4</t>
  </si>
  <si>
    <t>2.12.8.4</t>
  </si>
  <si>
    <t>2.12.4/1.2.1</t>
  </si>
  <si>
    <t>2.12.1/1.6.3</t>
  </si>
  <si>
    <t>2.14.6.3</t>
  </si>
  <si>
    <t>2.15.4.2</t>
  </si>
  <si>
    <t>Accidentally cut away</t>
  </si>
  <si>
    <t>2.17.5.2</t>
  </si>
  <si>
    <t>2.18.2.1</t>
  </si>
  <si>
    <t>2.18.4.2</t>
  </si>
  <si>
    <t>#dp on alt node</t>
  </si>
  <si>
    <t>#dp on mid node</t>
  </si>
  <si>
    <t># Sec Stolon</t>
  </si>
  <si>
    <t>T5 F13</t>
  </si>
  <si>
    <t>2.(no daughter)</t>
  </si>
  <si>
    <t>T5 F11</t>
  </si>
  <si>
    <t>2.2.2.1</t>
  </si>
  <si>
    <t>2.3.6.2</t>
  </si>
  <si>
    <t>T1 F1, 1 Ripe fruit</t>
  </si>
  <si>
    <t>1.5.4/1.2.1</t>
  </si>
  <si>
    <t>T2 F8</t>
  </si>
  <si>
    <t>2.2.4.2</t>
  </si>
  <si>
    <t>2.4.4/1.2.1</t>
  </si>
  <si>
    <t>2.4.2/1.2.1</t>
  </si>
  <si>
    <t>2.4.2/1.4.2</t>
  </si>
  <si>
    <t>2.13.4.1</t>
  </si>
  <si>
    <t>T2 F13</t>
  </si>
  <si>
    <t>1.5.10.5</t>
  </si>
  <si>
    <t>1.5.4/1.4.2</t>
  </si>
  <si>
    <t>1.5.2/1.2.1</t>
  </si>
  <si>
    <t>1.7.4/1.2.1</t>
  </si>
  <si>
    <t>1.15.2.1</t>
  </si>
  <si>
    <t>1.16.2.1</t>
  </si>
  <si>
    <t>1.16.4.2</t>
  </si>
  <si>
    <t>1.17.2.1</t>
  </si>
  <si>
    <t>1.17.4.2</t>
  </si>
  <si>
    <t>1.18.2.1</t>
  </si>
  <si>
    <t>1.19.2.1</t>
  </si>
  <si>
    <t>2.1.6.3</t>
  </si>
  <si>
    <t>2.2.6.3</t>
  </si>
  <si>
    <t>2.2.8.4</t>
  </si>
  <si>
    <t>2.3.10.5</t>
  </si>
  <si>
    <t>2.3.6/1.2.1</t>
  </si>
  <si>
    <t>2.3.2/1.6.3</t>
  </si>
  <si>
    <t>2.4.10.5</t>
  </si>
  <si>
    <t>2.4.4/1.4.2</t>
  </si>
  <si>
    <t>2.4.2/1.6.3</t>
  </si>
  <si>
    <t>2.6.10.5</t>
  </si>
  <si>
    <t>2.6.6/1.2.1</t>
  </si>
  <si>
    <t>2.6.4/1.2.1</t>
  </si>
  <si>
    <t>2.6.2/1.6.3</t>
  </si>
  <si>
    <t>2.11.2/1.2.1</t>
  </si>
  <si>
    <t>2.13.6.2</t>
  </si>
  <si>
    <t>2.15.6.3</t>
  </si>
  <si>
    <t>2.17.2.1</t>
  </si>
  <si>
    <t>2.17.4.2</t>
  </si>
  <si>
    <t>T1 F5</t>
  </si>
  <si>
    <t>1.5.12.6</t>
  </si>
  <si>
    <t>1.5.2/1.4.2</t>
  </si>
  <si>
    <t>cut off</t>
  </si>
  <si>
    <t>1.7.4/1.4.2</t>
  </si>
  <si>
    <t>1.13.6.3</t>
  </si>
  <si>
    <t>1.15.4.2</t>
  </si>
  <si>
    <t>1.16.6.3</t>
  </si>
  <si>
    <t>1.17.6.3</t>
  </si>
  <si>
    <t>1.18.4.2</t>
  </si>
  <si>
    <t>1.20.3.1</t>
  </si>
  <si>
    <t>1.20.5.2</t>
  </si>
  <si>
    <t>2.2.10.5</t>
  </si>
  <si>
    <t>2.3.12.6</t>
  </si>
  <si>
    <t>2.3.6/1.4.2</t>
  </si>
  <si>
    <t>2.3.2/1.8.4</t>
  </si>
  <si>
    <t>2.4.2/1.8.4</t>
  </si>
  <si>
    <t>2.4.4/1.6.3</t>
  </si>
  <si>
    <t>2.9.8.4</t>
  </si>
  <si>
    <t>2.11.2/1.4.2</t>
  </si>
  <si>
    <t>2.13.8.3</t>
  </si>
  <si>
    <t>2.14.8.4</t>
  </si>
  <si>
    <t>2.15.8.4</t>
  </si>
  <si>
    <t>2.16.6.3</t>
  </si>
  <si>
    <t>2.17.6.3</t>
  </si>
  <si>
    <t>1.5.3/1.2.1</t>
  </si>
  <si>
    <t>1.5.1/1.3.1</t>
  </si>
  <si>
    <t>1.5.1/1.1/1.2.1</t>
  </si>
  <si>
    <t>1.5.1/1.2/1.2.1</t>
  </si>
  <si>
    <t>1.6.3.1</t>
  </si>
  <si>
    <t>1.6.5.2</t>
  </si>
  <si>
    <t>1.6.7.3</t>
  </si>
  <si>
    <t>1.6.2/1.2/1.2.1</t>
  </si>
  <si>
    <t>2.1.3/1.2/1.2.1</t>
  </si>
  <si>
    <t>2.1.3/1.1.1</t>
  </si>
  <si>
    <t>1.5.1/1.5.2</t>
  </si>
  <si>
    <t>1.5.1/1.1/1.4.2</t>
  </si>
  <si>
    <t>1.5.1/1.2/1.4.2</t>
  </si>
  <si>
    <t>1.5.3/1.4.2</t>
  </si>
  <si>
    <t>1.6.3/1.2.1</t>
  </si>
  <si>
    <t>1.6.3/1.4.2</t>
  </si>
  <si>
    <t>1.6.3/1.6.3</t>
  </si>
  <si>
    <t>1.6.3/1.2/1.2.1</t>
  </si>
  <si>
    <t>1.6.2/1.2/1.4.2</t>
  </si>
  <si>
    <t>1.6.5/1.2.1</t>
  </si>
  <si>
    <t>2.1.3/1.2/1.4.2</t>
  </si>
  <si>
    <t>2.1.2/2.6.3</t>
  </si>
  <si>
    <t>2.7.1/1.2.1</t>
  </si>
  <si>
    <t>1.5.1/1.7.3</t>
  </si>
  <si>
    <t>1.5.1/1.9.4</t>
  </si>
  <si>
    <t>1.5.1/1.1/1.6.3</t>
  </si>
  <si>
    <t>1.5.2/1.6.3</t>
  </si>
  <si>
    <t>1.5.1/1.2/1.6.3</t>
  </si>
  <si>
    <t>1.5.3/1.6.3</t>
  </si>
  <si>
    <t>1.6.9.4</t>
  </si>
  <si>
    <t>1.6.11.5</t>
  </si>
  <si>
    <t>1.6.5/1.4.2</t>
  </si>
  <si>
    <t>1.6.3/1.2/1.4.2</t>
  </si>
  <si>
    <t>1.6.3/1.2/1.6.3</t>
  </si>
  <si>
    <t>1.6.2/1.2/1.6.3</t>
  </si>
  <si>
    <t>2.1.1/1.2/1.8.4</t>
  </si>
  <si>
    <t>2.1.2/1.10.5</t>
  </si>
  <si>
    <t>2.1.2/1.2/1.6.3</t>
  </si>
  <si>
    <t>2.1.2/1.2/2.2.1</t>
  </si>
  <si>
    <t>2.1.3/1.10.5</t>
  </si>
  <si>
    <t>2.1.3/1.2/1.6.3</t>
  </si>
  <si>
    <t>2.1.6/1.6.3</t>
  </si>
  <si>
    <t>2.1.14.7</t>
  </si>
  <si>
    <t>2.1.2/2.8.4</t>
  </si>
  <si>
    <t>Mechanical Damage</t>
  </si>
  <si>
    <t>1.5.1/1.1/1.8.4</t>
  </si>
  <si>
    <t>1.5.3/1.8.4</t>
  </si>
  <si>
    <t>1.5.1/1.2/1.8.4</t>
  </si>
  <si>
    <t>1.5.2/1.8.4</t>
  </si>
  <si>
    <t>1.6.5/1.6.3</t>
  </si>
  <si>
    <t>1.6.13.6</t>
  </si>
  <si>
    <t>1.6.2/1.4/1.2.1</t>
  </si>
  <si>
    <t>1.6.2/1.2/1.8.4</t>
  </si>
  <si>
    <t>2.1.1/1.2/1.10.5</t>
  </si>
  <si>
    <t>2.1.2/2.10.5</t>
  </si>
  <si>
    <t>2.1.6/1.8.4</t>
  </si>
  <si>
    <t>2.1.3/1.2/1.8.4</t>
  </si>
  <si>
    <t>2.1.2/1.12.6</t>
  </si>
  <si>
    <t>2.1.2/1.2/1.8.4</t>
  </si>
  <si>
    <t>2.7.1/1.4.2</t>
  </si>
  <si>
    <t>2.19.2.1</t>
  </si>
  <si>
    <t>2.20.2.1</t>
  </si>
  <si>
    <t>2.20.4.2</t>
  </si>
  <si>
    <t>1.1.1/2.2.1</t>
  </si>
  <si>
    <t>1.1.1/1.1/1.2.1</t>
  </si>
  <si>
    <t>1.1.2/2.1.2</t>
  </si>
  <si>
    <t>1.1.2/2.2.3</t>
  </si>
  <si>
    <t>1.2.5.1</t>
  </si>
  <si>
    <t>1.2.1/1.3.1</t>
  </si>
  <si>
    <t>1.2.1/1.2.1</t>
  </si>
  <si>
    <t>1.2.1/1.1.1</t>
  </si>
  <si>
    <t>1.3.5.2</t>
  </si>
  <si>
    <t>1.3.4/1.2.1</t>
  </si>
  <si>
    <t>1.3.3/1.2.1</t>
  </si>
  <si>
    <t>1.3.2/1.2.1</t>
  </si>
  <si>
    <t>1.3.1/1.2.1</t>
  </si>
  <si>
    <t>1.3.1/1.4.2</t>
  </si>
  <si>
    <t>1.3.1/1.1/1.2.1</t>
  </si>
  <si>
    <t>1.6.2/1.3.1</t>
  </si>
  <si>
    <t>1.6.1/1.2.1</t>
  </si>
  <si>
    <t>2.1.4/1.3.1</t>
  </si>
  <si>
    <t>2.1.4/1.2/1.2.1</t>
  </si>
  <si>
    <t>2.1.1/1.1/1.2.1</t>
  </si>
  <si>
    <t>2.1.5.2</t>
  </si>
  <si>
    <t>2.2.4/1.2.1</t>
  </si>
  <si>
    <t>2.2.2/1.1/1.2.1</t>
  </si>
  <si>
    <t>2.2.1/1.2.1</t>
  </si>
  <si>
    <t>2.2.1/1.4.2</t>
  </si>
  <si>
    <t>2.3.5.2</t>
  </si>
  <si>
    <t>2.3.4/1.2.1</t>
  </si>
  <si>
    <t>2.3.3/1.2.1</t>
  </si>
  <si>
    <t>2.3.2/1.3.1</t>
  </si>
  <si>
    <t>2.3.1/1.2.1</t>
  </si>
  <si>
    <t>2.3.1/1.4.2</t>
  </si>
  <si>
    <t>2.3.1/1.1/1.2.1</t>
  </si>
  <si>
    <t>2.4.5.2</t>
  </si>
  <si>
    <t>2.4.1/1.3.1</t>
  </si>
  <si>
    <t>2.5.3.1</t>
  </si>
  <si>
    <t>2.5.2/1.3.1</t>
  </si>
  <si>
    <t>2.5.1/1.2.1</t>
  </si>
  <si>
    <t>2.6.3.1</t>
  </si>
  <si>
    <t>1.1.2/2.2.1</t>
  </si>
  <si>
    <t>1.1.2/2.4.2</t>
  </si>
  <si>
    <t>1.1.1/2.4.2</t>
  </si>
  <si>
    <t>1.1.1/1.1/1.4.2</t>
  </si>
  <si>
    <t>1.1.2/2.6.3</t>
  </si>
  <si>
    <t>1.1.2/2.1/1.2.1</t>
  </si>
  <si>
    <t>1.1.2/2.2/1.2.1</t>
  </si>
  <si>
    <t>1.1.5/1.2.1</t>
  </si>
  <si>
    <t>1.2.5.2</t>
  </si>
  <si>
    <t>1.2.1/1.2/1.2.1</t>
  </si>
  <si>
    <t>1.2.1/1.1/1.2.1</t>
  </si>
  <si>
    <t>1.2.1/1.5.2</t>
  </si>
  <si>
    <t>1.2.1/1.2/1.4.2</t>
  </si>
  <si>
    <t>1.2.1/1.1/1.4.2</t>
  </si>
  <si>
    <t>1.2.6/1.2.1</t>
  </si>
  <si>
    <t>1.2.7.3</t>
  </si>
  <si>
    <t>1.2.9.4</t>
  </si>
  <si>
    <t>1.3.1/1.1/1.4.2</t>
  </si>
  <si>
    <t>1.3.1/1.2/1.2.1</t>
  </si>
  <si>
    <t>1.3.1/1.6.3</t>
  </si>
  <si>
    <t>1.3.2/1.4.2</t>
  </si>
  <si>
    <t>1.3.3/1.4.2</t>
  </si>
  <si>
    <t>1.3.4/1.4.2</t>
  </si>
  <si>
    <t>1.3.7.3</t>
  </si>
  <si>
    <t>1.4.3.1</t>
  </si>
  <si>
    <t>1.4.5.2</t>
  </si>
  <si>
    <t>1.6.2/1.5.2</t>
  </si>
  <si>
    <t>1.6.1/1.4.2</t>
  </si>
  <si>
    <t>2.1.1/1.1/1.4.2</t>
  </si>
  <si>
    <t>2.1.4/1.2/1.4.2</t>
  </si>
  <si>
    <t>2.1.4/1.5.2</t>
  </si>
  <si>
    <t>2.1.7.3</t>
  </si>
  <si>
    <t>2.1.9.4</t>
  </si>
  <si>
    <t>2.2.1/1.6.3</t>
  </si>
  <si>
    <t>2.2.1/1.8.4</t>
  </si>
  <si>
    <t>2.2.2/1.1/1.4.2</t>
  </si>
  <si>
    <t>2.2.3/1.6.3</t>
  </si>
  <si>
    <t>2.2.4/1.4.2</t>
  </si>
  <si>
    <t>2.2.6/1.2.1</t>
  </si>
  <si>
    <t>2.3.1/1.6.3</t>
  </si>
  <si>
    <t>2.3.1/1.1/1.4.2</t>
  </si>
  <si>
    <t>2.3.2/1.5.2</t>
  </si>
  <si>
    <t>2.3.3/1.4.2</t>
  </si>
  <si>
    <t>2.3.4/1.4.2</t>
  </si>
  <si>
    <t>2.3.5/1.2.1</t>
  </si>
  <si>
    <t>2.3.7.3</t>
  </si>
  <si>
    <t>2.3.9.4</t>
  </si>
  <si>
    <t>2.4.1/1.2/1.2.1</t>
  </si>
  <si>
    <t>2.4.7.3</t>
  </si>
  <si>
    <t>2.5.1/1.4.2</t>
  </si>
  <si>
    <t>2.5.2/1.2/1.2.1</t>
  </si>
  <si>
    <t>2.5.5.2</t>
  </si>
  <si>
    <t>2.6.6.2</t>
  </si>
  <si>
    <t>`</t>
  </si>
  <si>
    <t>1.1.1/1.1/1.6.3</t>
  </si>
  <si>
    <t>1.1.2/2.2/1.4.2</t>
  </si>
  <si>
    <t>1.1.1/2.6.3</t>
  </si>
  <si>
    <t>1.1.2/2.1/1.4.2</t>
  </si>
  <si>
    <t>1.1.2/2.1/1.6.3</t>
  </si>
  <si>
    <t>1.1.5/1.4.2</t>
  </si>
  <si>
    <t>1.1.1/1.7.3</t>
  </si>
  <si>
    <t>1.1.1/1.9.4</t>
  </si>
  <si>
    <t>1.2.1/1.2/1.6.3</t>
  </si>
  <si>
    <t>1.2.1/1.7.3</t>
  </si>
  <si>
    <t>1.2.1/1.9.4</t>
  </si>
  <si>
    <t>1.2.4/1.2/1.2.1</t>
  </si>
  <si>
    <t>1.2.11.5</t>
  </si>
  <si>
    <t>1.2.6/1.4.2</t>
  </si>
  <si>
    <t>1.2.1/1.1/1.6.3</t>
  </si>
  <si>
    <t>1.3.2/1.6.3</t>
  </si>
  <si>
    <t>1.3.2/1.2/1.2.1</t>
  </si>
  <si>
    <t>1.3.2/1.1/1.2.1</t>
  </si>
  <si>
    <t>1.3.3/1.6.3</t>
  </si>
  <si>
    <t>1.3.4/1.6.3</t>
  </si>
  <si>
    <t>1.3.4/1.1/1.2.1</t>
  </si>
  <si>
    <t>1.3.9.4</t>
  </si>
  <si>
    <t>1.3.6/1.2.1</t>
  </si>
  <si>
    <t>1.3.5/1.2.1</t>
  </si>
  <si>
    <t>1.3.1/1.1/1.6.3</t>
  </si>
  <si>
    <t>1.3.1/1.2/1.4.2</t>
  </si>
  <si>
    <t>1.3.1/1.8.4</t>
  </si>
  <si>
    <t>1.4.7.3</t>
  </si>
  <si>
    <t>1.4.3/1.2.1</t>
  </si>
  <si>
    <t>1.6.2/1.7.3</t>
  </si>
  <si>
    <t>1.6.1/1.6.3</t>
  </si>
  <si>
    <t>1.6.1/1.2/1.2.1</t>
  </si>
  <si>
    <t>2.1.1/1.1/1.6.3</t>
  </si>
  <si>
    <t>2.1.3/1.4/1.1.1</t>
  </si>
  <si>
    <t>2.1.11.5</t>
  </si>
  <si>
    <t>2.1.4/1.7.3</t>
  </si>
  <si>
    <t>2.1.4/1.2/1.6.3</t>
  </si>
  <si>
    <t>2.2.2/1.1/1.6.3</t>
  </si>
  <si>
    <t>2.2.2/1.8.4</t>
  </si>
  <si>
    <t>2.2.3/1.8.4</t>
  </si>
  <si>
    <t>2.2.4/1.6.3</t>
  </si>
  <si>
    <t>2.2.6/1.4.2</t>
  </si>
  <si>
    <t>2.2.12.6</t>
  </si>
  <si>
    <t>2.2.8/1.2.1</t>
  </si>
  <si>
    <t>2.2.1/1.10.5</t>
  </si>
  <si>
    <t>2.3.1/1.8.4</t>
  </si>
  <si>
    <t>2.3.1/1.1/1.6.3</t>
  </si>
  <si>
    <t>2.3.2/1.7.3</t>
  </si>
  <si>
    <t>2.3.11.5</t>
  </si>
  <si>
    <t>2.3.5/1.4.2</t>
  </si>
  <si>
    <t>2.3.4/1.6.3</t>
  </si>
  <si>
    <t>2.3.4/1.2/1.2.1</t>
  </si>
  <si>
    <t>2.3.3/1.6.3</t>
  </si>
  <si>
    <t>2.4.9.4</t>
  </si>
  <si>
    <t>2.4.5/1.2.1</t>
  </si>
  <si>
    <t>2.4.1/1.2/1.4.2</t>
  </si>
  <si>
    <t>2.4.1/1.5.2</t>
  </si>
  <si>
    <t>2.4.1/1.7.3</t>
  </si>
  <si>
    <t>2.5.1/1.6.3</t>
  </si>
  <si>
    <t>2.5.2/1.5.2</t>
  </si>
  <si>
    <t>2.5.2/1.7.3</t>
  </si>
  <si>
    <t>2.5.2/1.2/1.4.2</t>
  </si>
  <si>
    <t>2.5.7.3</t>
  </si>
  <si>
    <t>2.5.9.4</t>
  </si>
  <si>
    <t>2.5.5/1.2.1</t>
  </si>
  <si>
    <t>2.5.3/1.2.1</t>
  </si>
  <si>
    <t>2.6.5/1.2.1</t>
  </si>
  <si>
    <t>1.1.2/1.10.5</t>
  </si>
  <si>
    <t>1.1.1/2.8.4</t>
  </si>
  <si>
    <t>1.1.1/1.1/1.8.4</t>
  </si>
  <si>
    <t>1.1.3/1.10.5</t>
  </si>
  <si>
    <t>1.1.4/1.8.4</t>
  </si>
  <si>
    <t>1.1.6/1.6.3</t>
  </si>
  <si>
    <t>1.1.5/1.6.3</t>
  </si>
  <si>
    <t>1.1.12.6</t>
  </si>
  <si>
    <t>1.2.2/1.4/1.2.1</t>
  </si>
  <si>
    <t>1.2.1/1.1/1.8.4</t>
  </si>
  <si>
    <t>1.2.1/1.11.5</t>
  </si>
  <si>
    <t>1.2.1/1.2/1.8.4</t>
  </si>
  <si>
    <t>1.2.4/1.2/1.4.2</t>
  </si>
  <si>
    <t>1.2.4/1.8.4</t>
  </si>
  <si>
    <t>1.2.13.6</t>
  </si>
  <si>
    <t>1.3.1/1.1/1.8.4</t>
  </si>
  <si>
    <t>1.3.1/1.2/1.6.3</t>
  </si>
  <si>
    <t>1.3.1/1.10.5</t>
  </si>
  <si>
    <t>1.3.2/1.1/1.4.2</t>
  </si>
  <si>
    <t>1.3.2/1.8.4</t>
  </si>
  <si>
    <t>1.3.4/1.1/1.4.2</t>
  </si>
  <si>
    <t>1.3.4/1.8.4</t>
  </si>
  <si>
    <t>1.4.2/1.8.4</t>
  </si>
  <si>
    <t>1.4.3/1.4.2</t>
  </si>
  <si>
    <t>1.4.9.4</t>
  </si>
  <si>
    <t>1.6.1/1.8.4</t>
  </si>
  <si>
    <t>1.6.2/1.9.4</t>
  </si>
  <si>
    <t>2.1.13.6</t>
  </si>
  <si>
    <t>2.1.4/1.9.4</t>
  </si>
  <si>
    <t>2.1.1/1.1/1.8.4</t>
  </si>
  <si>
    <t>2.2.1/1.12.6</t>
  </si>
  <si>
    <t>2.2.2/1.10.5</t>
  </si>
  <si>
    <t>2.2.3/1.10.5</t>
  </si>
  <si>
    <t>2.2.4/1.8.4</t>
  </si>
  <si>
    <t>2.2.6/1.6.3</t>
  </si>
  <si>
    <t>2.2.8/1.4.2</t>
  </si>
  <si>
    <t>2.3.1/1.1/1.8.4</t>
  </si>
  <si>
    <t>2.3.3/1.8.4</t>
  </si>
  <si>
    <t>2.5.1/1.8.4</t>
  </si>
  <si>
    <t>2.6.5/1.4.2</t>
  </si>
  <si>
    <t>2.6.8.3</t>
  </si>
  <si>
    <t>1.2.1/1.4.2</t>
  </si>
  <si>
    <t>1.3.2/1.3.1</t>
  </si>
  <si>
    <t>1.5.5.2</t>
  </si>
  <si>
    <t>2.4.1.1</t>
  </si>
  <si>
    <t>2.4.3.2</t>
  </si>
  <si>
    <t>2.4.5.3</t>
  </si>
  <si>
    <t>2.4.7.4</t>
  </si>
  <si>
    <t>2.5.4/1.2.1</t>
  </si>
  <si>
    <t>1.2.1/1.6.3</t>
  </si>
  <si>
    <t>1.3.7/1.2.1</t>
  </si>
  <si>
    <t>1.5.7.3</t>
  </si>
  <si>
    <t>2.5.3/1.4.2</t>
  </si>
  <si>
    <t>2.5.4/1.4.2</t>
  </si>
  <si>
    <t>1.1.7/1.2.1</t>
  </si>
  <si>
    <t>1.2.1/1.8.4</t>
  </si>
  <si>
    <t>1.3.2/1.5.2</t>
  </si>
  <si>
    <t>1.3.2/1.2/1.4.2</t>
  </si>
  <si>
    <t>1.3.7/1.4.2</t>
  </si>
  <si>
    <t>2.1.1/1.4/1.2.1</t>
  </si>
  <si>
    <t>2.5.3/1.6.3</t>
  </si>
  <si>
    <t>2.5.3/1.2/1.2.1</t>
  </si>
  <si>
    <t>2.9.2/1.2.1</t>
  </si>
  <si>
    <t>1.1.7/1.4.2</t>
  </si>
  <si>
    <t>1.3.7/1.6.3</t>
  </si>
  <si>
    <t>1.3.3/1.8.4</t>
  </si>
  <si>
    <t>1.3.2/1.7.3</t>
  </si>
  <si>
    <t>1.5.9.4</t>
  </si>
  <si>
    <t>1.5.4/1.6.3</t>
  </si>
  <si>
    <t>1.6.2/1.8.4</t>
  </si>
  <si>
    <t>2.1.1/1.4/1.4.2</t>
  </si>
  <si>
    <t>2.5.3/1.2/1.4.2</t>
  </si>
  <si>
    <t>2.5.4/1.6.3</t>
  </si>
  <si>
    <t>1.1.5.2</t>
  </si>
  <si>
    <t>1.2.3/1.3.1</t>
  </si>
  <si>
    <t>1.2.3/1.5.2</t>
  </si>
  <si>
    <t>1.3.3.1</t>
  </si>
  <si>
    <t>1.4.1/1.2.1</t>
  </si>
  <si>
    <t>1.4.1/1.4.2</t>
  </si>
  <si>
    <t>1.5.3.1</t>
  </si>
  <si>
    <t>2.6.3/1.2.1</t>
  </si>
  <si>
    <t>2.6.1/1.2.1</t>
  </si>
  <si>
    <t>2.6.1/1.4.2</t>
  </si>
  <si>
    <t>2.7.3.1</t>
  </si>
  <si>
    <t>2.7.5.2</t>
  </si>
  <si>
    <t>2.7.7.3</t>
  </si>
  <si>
    <t>2.7.4/1.2.1</t>
  </si>
  <si>
    <t>1.1.7.3</t>
  </si>
  <si>
    <t>1.2.3/1.7.3</t>
  </si>
  <si>
    <t>1.2.5/1.2.1</t>
  </si>
  <si>
    <t>1.2.5/1.4.2</t>
  </si>
  <si>
    <t>1.4.1/1.6.3</t>
  </si>
  <si>
    <t>1.4.1/1.8.4</t>
  </si>
  <si>
    <t>1.4.1/1.4/1.2.1</t>
  </si>
  <si>
    <t>1.4.2/1.4/1.2.1</t>
  </si>
  <si>
    <t>1.4.6/1.2.1</t>
  </si>
  <si>
    <t>1.4.4/1.2.1</t>
  </si>
  <si>
    <t>1.4.4/1.4.2</t>
  </si>
  <si>
    <t>1.7.3.1</t>
  </si>
  <si>
    <t>1.8.3.1</t>
  </si>
  <si>
    <t>2.3.2/1.2/1.2.1</t>
  </si>
  <si>
    <t>2.4.1/1.2.1</t>
  </si>
  <si>
    <t>2.4.1/1.4.2</t>
  </si>
  <si>
    <t>2.6.1/1.2/1.2.1</t>
  </si>
  <si>
    <t>2.6.1/1.6.3</t>
  </si>
  <si>
    <t>2.7.4/1.4.2</t>
  </si>
  <si>
    <t>2.7.9.4</t>
  </si>
  <si>
    <t>2.7.5/1.2.1</t>
  </si>
  <si>
    <t>1.1.9.4</t>
  </si>
  <si>
    <t>1.2.3/1.9.4</t>
  </si>
  <si>
    <t>1.2.1/1.6/1.2.1</t>
  </si>
  <si>
    <t>1.4.10.5</t>
  </si>
  <si>
    <t>1.4.6/1.4.2</t>
  </si>
  <si>
    <t>1.4.4/1.6.3</t>
  </si>
  <si>
    <t>1.4.3/1.6.3</t>
  </si>
  <si>
    <t>1.4.1/1.4/1.4.2</t>
  </si>
  <si>
    <t>1.4.2/1.4/1.4.2</t>
  </si>
  <si>
    <t>1.7.5.2</t>
  </si>
  <si>
    <t>1.8.5.2</t>
  </si>
  <si>
    <t>2.3.5/1.6.3</t>
  </si>
  <si>
    <t>2.3.8/1.2.1</t>
  </si>
  <si>
    <t>2.6.1/1.2/1.4.2</t>
  </si>
  <si>
    <t>2.6.1/1.4/1.2.1</t>
  </si>
  <si>
    <t>2.6.3/1.4.2</t>
  </si>
  <si>
    <t>2.6.4/1.4.2</t>
  </si>
  <si>
    <t>2.7.4/1.6.3</t>
  </si>
  <si>
    <t>2.7.4/1.2/1.2.1</t>
  </si>
  <si>
    <t>2.7.7/1.2.1</t>
  </si>
  <si>
    <t>2.7.5/1.4.2</t>
  </si>
  <si>
    <t>1.1.11.5</t>
  </si>
  <si>
    <t>1.2.1/1.10.5</t>
  </si>
  <si>
    <t>1.2.1/1.6/1.4.2</t>
  </si>
  <si>
    <t>1.2.5/1.6.3</t>
  </si>
  <si>
    <t>1.2.6/1.6.3</t>
  </si>
  <si>
    <t>1.3.5/1.4.2</t>
  </si>
  <si>
    <t>1.4.1/1.10.5</t>
  </si>
  <si>
    <t>1.4.6/1.6.3</t>
  </si>
  <si>
    <t>1.4.2/1.4/1.6.3</t>
  </si>
  <si>
    <t>1.4.3/1.8.4</t>
  </si>
  <si>
    <t>1.4.12.6</t>
  </si>
  <si>
    <t>Mechanical damage</t>
  </si>
  <si>
    <t>1.5.5/1.2.1</t>
  </si>
  <si>
    <t>1.7.7.3</t>
  </si>
  <si>
    <t>1.8.7.3</t>
  </si>
  <si>
    <t>2.1.4/1.3/1.2.1</t>
  </si>
  <si>
    <t>2.3.4/1.8.4</t>
  </si>
  <si>
    <t>2.3.4/1.2/1.4.2</t>
  </si>
  <si>
    <t>2.3.2/1.2/1.4.2</t>
  </si>
  <si>
    <t>2.4.1/1.6.3</t>
  </si>
  <si>
    <t>2.6.1/1.4/1.4.2</t>
  </si>
  <si>
    <t>2.6.1/1.2/1.6.3</t>
  </si>
  <si>
    <t>2.6.3/1.6.3</t>
  </si>
  <si>
    <t>2.6.4/1.6.3</t>
  </si>
  <si>
    <t>2.6.6/1.4.2</t>
  </si>
  <si>
    <t>2.7.4/1.8.4</t>
  </si>
  <si>
    <t>2.7.5/1.2/1.2.1</t>
  </si>
  <si>
    <t>2.7.11.5</t>
  </si>
  <si>
    <t>Cultivar</t>
  </si>
  <si>
    <t>Label</t>
  </si>
  <si>
    <t>Stolon length cm</t>
  </si>
  <si>
    <t>Floral</t>
  </si>
  <si>
    <t>Portola</t>
  </si>
  <si>
    <t>Finn</t>
  </si>
  <si>
    <t>Camarosa</t>
  </si>
  <si>
    <t>1.5.1/1.1.1</t>
  </si>
  <si>
    <t>1.5.1/1.2.1</t>
  </si>
  <si>
    <t>Chandler</t>
  </si>
  <si>
    <t>Sensation</t>
  </si>
  <si>
    <t>Brilliance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</si>
</sst>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11.0"/>
      <color rgb="FFB7B7B7"/>
      <name val="Arial"/>
    </font>
    <font>
      <color theme="1"/>
      <name val="Arial"/>
      <scheme val="minor"/>
    </font>
    <font>
      <sz val="11.0"/>
      <color rgb="FFCCCCCC"/>
      <name val="Arial"/>
    </font>
    <font>
      <color rgb="FFB7B7B7"/>
      <name val="Arial"/>
      <scheme val="minor"/>
    </font>
    <font>
      <sz val="11.0"/>
      <color rgb="FF000000"/>
      <name val="Arial"/>
    </font>
    <font>
      <sz val="11.0"/>
      <color rgb="FFB7B7B7"/>
      <name val="Aptos narrow"/>
    </font>
    <font>
      <color rgb="FF000000"/>
      <name val="Arial"/>
      <scheme val="minor"/>
    </font>
    <font>
      <sz val="11.0"/>
      <color rgb="FF000000"/>
      <name val="Aptos narrow"/>
    </font>
    <font>
      <color rgb="FFCCCCCC"/>
      <name val="Arial"/>
      <scheme val="minor"/>
    </font>
    <font>
      <sz val="11.0"/>
      <color rgb="FFCCCCCC"/>
      <name val="Aptos narrow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vertical="bottom"/>
    </xf>
    <xf borderId="0" fillId="3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1" numFmtId="164" xfId="0" applyAlignment="1" applyFont="1" applyNumberFormat="1">
      <alignment horizontal="right" readingOrder="0" vertical="bottom"/>
    </xf>
    <xf borderId="0" fillId="4" fontId="3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4" fontId="1" numFmtId="0" xfId="0" applyAlignment="1" applyFont="1">
      <alignment readingOrder="0" vertical="bottom"/>
    </xf>
    <xf borderId="0" fillId="4" fontId="1" numFmtId="164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readingOrder="0"/>
    </xf>
    <xf borderId="0" fillId="0" fontId="8" numFmtId="0" xfId="0" applyFont="1"/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1" numFmtId="0" xfId="0" applyFont="1"/>
    <xf borderId="0" fillId="0" fontId="2" numFmtId="0" xfId="0" applyAlignment="1" applyFont="1">
      <alignment readingOrder="0" vertical="bottom"/>
    </xf>
    <xf borderId="0" fillId="5" fontId="5" numFmtId="0" xfId="0" applyAlignment="1" applyFill="1" applyFont="1">
      <alignment readingOrder="0" vertical="bottom"/>
    </xf>
    <xf borderId="0" fillId="5" fontId="1" numFmtId="164" xfId="0" applyAlignment="1" applyFont="1" applyNumberFormat="1">
      <alignment readingOrder="0" vertical="bottom"/>
    </xf>
    <xf borderId="0" fillId="5" fontId="3" numFmtId="0" xfId="0" applyAlignment="1" applyFont="1">
      <alignment vertical="bottom"/>
    </xf>
    <xf borderId="0" fillId="5" fontId="4" numFmtId="0" xfId="0" applyAlignment="1" applyFont="1">
      <alignment readingOrder="0" vertical="bottom"/>
    </xf>
    <xf borderId="0" fillId="6" fontId="5" numFmtId="0" xfId="0" applyAlignment="1" applyFill="1" applyFont="1">
      <alignment readingOrder="0" vertical="bottom"/>
    </xf>
    <xf borderId="0" fillId="6" fontId="8" numFmtId="0" xfId="0" applyAlignment="1" applyFont="1">
      <alignment readingOrder="0"/>
    </xf>
    <xf borderId="0" fillId="4" fontId="15" numFmtId="0" xfId="0" applyAlignment="1" applyFont="1">
      <alignment vertical="bottom"/>
    </xf>
    <xf borderId="0" fillId="0" fontId="4" numFmtId="164" xfId="0" applyAlignment="1" applyFont="1" applyNumberFormat="1">
      <alignment readingOrder="0" vertical="bottom"/>
    </xf>
    <xf borderId="1" fillId="0" fontId="6" numFmtId="0" xfId="0" applyAlignment="1" applyBorder="1" applyFont="1">
      <alignment readingOrder="0"/>
    </xf>
    <xf borderId="1" fillId="0" fontId="6" numFmtId="0" xfId="0" applyBorder="1" applyFont="1"/>
    <xf borderId="1" fillId="0" fontId="4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2" fillId="0" fontId="9" numFmtId="0" xfId="0" applyAlignment="1" applyBorder="1" applyFont="1">
      <alignment readingOrder="0" vertical="bottom"/>
    </xf>
    <xf borderId="1" fillId="0" fontId="9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bigail Bope" id="{4d4fb16a-f59a-4df0-b124-a024f955a11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53" dT="2024-09-16T15:47:52.00" personId="{4d4fb16a-f59a-4df0-b124-a024f955a113}" id="{de5eac9f-1e26-47bb-930c-eae5fcce7fad}" done="0">
    <x18tc:text xml:space="preserve">Corrected the label ID from previous data</x18tc:text>
  </x18tc:threadedComment>
  <x18tc:threadedComment ref="A125" dT="2024-09-16T15:47:41.00" personId="{4d4fb16a-f59a-4df0-b124-a024f955a113}" id="{440245e6-9030-439b-b92f-8f28dd539a58}" done="0">
    <x18tc:text xml:space="preserve">Corrected the label ID's from previous data</x18tc:text>
  </x18tc:threadedComment>
  <x18tc:threadedComment ref="A120" dT="2024-09-16T15:47:34.00" personId="{4d4fb16a-f59a-4df0-b124-a024f955a113}" id="{af471b39-21d8-499a-86c9-d38cebdd6cff}" done="0">
    <x18tc:text xml:space="preserve">Corrected the label ID from previous data</x18tc:text>
  </x18tc:threadedComment>
  <x18tc:threadedComment ref="A106" dT="2024-09-16T15:46:52.00" personId="{4d4fb16a-f59a-4df0-b124-a024f955a113}" id="{41d5e263-00dc-49dc-8ffa-aaf41e20c223}" done="0">
    <x18tc:text xml:space="preserve">Corrected the label ID's from previous data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8" max="8" width="14.13"/>
    <col customWidth="1" min="11" max="12" width="11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/>
      <c r="B2" s="8"/>
      <c r="C2" s="8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10">
        <f t="shared" ref="O2:R2" si="1">SUM(O4:O714)</f>
        <v>9</v>
      </c>
      <c r="P2" s="10">
        <f t="shared" si="1"/>
        <v>32</v>
      </c>
      <c r="Q2" s="10">
        <f t="shared" si="1"/>
        <v>22</v>
      </c>
      <c r="R2" s="10">
        <f t="shared" si="1"/>
        <v>82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>
      <c r="A3" s="7" t="s">
        <v>18</v>
      </c>
      <c r="B3" s="8"/>
      <c r="C3" s="8"/>
      <c r="D3" s="8">
        <v>45508.0</v>
      </c>
      <c r="E3" s="9"/>
      <c r="F3" s="9"/>
      <c r="G3" s="9"/>
      <c r="H3" s="9"/>
      <c r="I3" s="9"/>
      <c r="J3" s="9"/>
      <c r="K3" s="9"/>
      <c r="L3" s="9"/>
      <c r="M3" s="9"/>
      <c r="N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>
      <c r="A4" s="11" t="s">
        <v>19</v>
      </c>
      <c r="B4" s="11"/>
      <c r="C4" s="11"/>
      <c r="D4" s="11"/>
      <c r="E4" s="11"/>
      <c r="F4" s="11">
        <v>0.0</v>
      </c>
      <c r="G4" s="11">
        <v>0.0</v>
      </c>
      <c r="H4" s="11"/>
      <c r="I4" s="11">
        <v>0.0</v>
      </c>
      <c r="J4" s="11">
        <v>0.0</v>
      </c>
      <c r="K4" s="11"/>
      <c r="L4" s="11"/>
      <c r="M4" s="11">
        <v>66.0</v>
      </c>
      <c r="N4" s="11" t="s">
        <v>20</v>
      </c>
      <c r="O4" s="11">
        <v>1.0</v>
      </c>
      <c r="P4" s="11">
        <v>4.0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>
      <c r="A5" s="11"/>
      <c r="B5" s="11"/>
      <c r="C5" s="11"/>
      <c r="D5" s="11"/>
      <c r="E5" s="11"/>
      <c r="F5" s="6"/>
      <c r="G5" s="6"/>
      <c r="H5" s="6"/>
      <c r="I5" s="6"/>
      <c r="J5" s="6"/>
      <c r="K5" s="11"/>
      <c r="L5" s="11"/>
      <c r="M5" s="11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11" t="s">
        <v>21</v>
      </c>
      <c r="B6" s="11"/>
      <c r="C6" s="11"/>
      <c r="D6" s="11"/>
      <c r="E6" s="11"/>
      <c r="F6" s="11">
        <v>0.0</v>
      </c>
      <c r="G6" s="11">
        <v>0.0</v>
      </c>
      <c r="H6" s="11"/>
      <c r="I6" s="11">
        <v>0.0</v>
      </c>
      <c r="J6" s="11">
        <v>0.0</v>
      </c>
      <c r="K6" s="11"/>
      <c r="L6" s="11"/>
      <c r="M6" s="11">
        <v>56.3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>
      <c r="A8" s="11" t="s">
        <v>22</v>
      </c>
      <c r="B8" s="11"/>
      <c r="C8" s="11"/>
      <c r="D8" s="11"/>
      <c r="E8" s="11"/>
      <c r="F8" s="11">
        <v>0.0</v>
      </c>
      <c r="G8" s="11">
        <v>0.0</v>
      </c>
      <c r="H8" s="11"/>
      <c r="I8" s="11">
        <v>0.0</v>
      </c>
      <c r="J8" s="11">
        <v>0.0</v>
      </c>
      <c r="K8" s="11"/>
      <c r="L8" s="11"/>
      <c r="M8" s="11">
        <v>45.4</v>
      </c>
      <c r="N8" s="11" t="s">
        <v>23</v>
      </c>
      <c r="O8" s="11"/>
      <c r="P8" s="6"/>
      <c r="Q8" s="11">
        <v>2.0</v>
      </c>
      <c r="R8" s="11">
        <v>9.0</v>
      </c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12" t="s">
        <v>18</v>
      </c>
      <c r="B11" s="13"/>
      <c r="C11" s="13"/>
      <c r="D11" s="13">
        <v>45532.0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14" t="s">
        <v>19</v>
      </c>
      <c r="B12" s="6"/>
      <c r="C12" s="6"/>
      <c r="D12" s="6"/>
      <c r="E12" s="6"/>
      <c r="F12" s="11">
        <v>1.0</v>
      </c>
      <c r="G12" s="11">
        <v>5.0</v>
      </c>
      <c r="H12" s="11"/>
      <c r="I12" s="11">
        <v>1.0</v>
      </c>
      <c r="J12" s="11">
        <v>1.0</v>
      </c>
      <c r="K12" s="11"/>
      <c r="L12" s="11">
        <v>12.0</v>
      </c>
      <c r="M12" s="11">
        <v>154.8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11" t="s">
        <v>24</v>
      </c>
      <c r="B13" s="6"/>
      <c r="C13" s="6"/>
      <c r="D13" s="6"/>
      <c r="E13" s="6"/>
      <c r="F13" s="11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11" t="s">
        <v>25</v>
      </c>
      <c r="B14" s="6"/>
      <c r="C14" s="6"/>
      <c r="D14" s="6"/>
      <c r="E14" s="6"/>
      <c r="F14" s="11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11" t="s">
        <v>26</v>
      </c>
      <c r="B15" s="6"/>
      <c r="C15" s="6"/>
      <c r="D15" s="6"/>
      <c r="E15" s="6"/>
      <c r="F15" s="11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11" t="s">
        <v>27</v>
      </c>
      <c r="B16" s="6"/>
      <c r="C16" s="6"/>
      <c r="D16" s="6"/>
      <c r="E16" s="6"/>
      <c r="F16" s="11"/>
      <c r="G16" s="6"/>
      <c r="H16" s="6"/>
      <c r="I16" s="6"/>
      <c r="J16" s="6"/>
      <c r="K16" s="6"/>
      <c r="L16" s="6"/>
      <c r="M16" s="6"/>
      <c r="N16" s="1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>
      <c r="A17" s="11" t="s">
        <v>28</v>
      </c>
      <c r="B17" s="6"/>
      <c r="C17" s="6"/>
      <c r="D17" s="6"/>
      <c r="E17" s="6"/>
      <c r="F17" s="1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>
      <c r="A18" s="11" t="s">
        <v>29</v>
      </c>
      <c r="B18" s="6"/>
      <c r="C18" s="6"/>
      <c r="D18" s="6"/>
      <c r="E18" s="6"/>
      <c r="F18" s="11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>
      <c r="A19" s="11" t="s">
        <v>30</v>
      </c>
      <c r="B19" s="6"/>
      <c r="C19" s="6"/>
      <c r="D19" s="6"/>
      <c r="E19" s="6"/>
      <c r="F19" s="11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>
      <c r="A20" s="11" t="s">
        <v>31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>
      <c r="A21" s="11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>
      <c r="A22" s="14" t="s">
        <v>21</v>
      </c>
      <c r="B22" s="6"/>
      <c r="C22" s="6"/>
      <c r="D22" s="6"/>
      <c r="E22" s="6"/>
      <c r="F22" s="11">
        <v>1.0</v>
      </c>
      <c r="G22" s="11">
        <v>3.0</v>
      </c>
      <c r="H22" s="11"/>
      <c r="I22" s="11">
        <v>0.0</v>
      </c>
      <c r="J22" s="11">
        <v>0.0</v>
      </c>
      <c r="K22" s="6"/>
      <c r="L22" s="6"/>
      <c r="M22" s="11">
        <v>148.0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>
      <c r="A23" s="11" t="s">
        <v>32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>
      <c r="A24" s="15" t="s">
        <v>33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>
      <c r="A25" s="11" t="s">
        <v>34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>
      <c r="A26" s="11" t="s">
        <v>35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>
      <c r="A27" s="11" t="s">
        <v>36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>
      <c r="A29" s="11" t="s">
        <v>37</v>
      </c>
      <c r="B29" s="11"/>
      <c r="C29" s="11"/>
      <c r="D29" s="11"/>
      <c r="E29" s="11"/>
      <c r="F29" s="11">
        <v>0.0</v>
      </c>
      <c r="G29" s="11">
        <v>0.0</v>
      </c>
      <c r="H29" s="11"/>
      <c r="I29" s="11">
        <v>0.0</v>
      </c>
      <c r="J29" s="11">
        <v>0.0</v>
      </c>
      <c r="K29" s="6"/>
      <c r="L29" s="6"/>
      <c r="M29" s="11">
        <v>62.7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>
      <c r="A30" s="11" t="s">
        <v>38</v>
      </c>
      <c r="B30" s="11"/>
      <c r="C30" s="11"/>
      <c r="D30" s="11"/>
      <c r="E30" s="11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>
      <c r="A32" s="11" t="s">
        <v>39</v>
      </c>
      <c r="B32" s="11"/>
      <c r="C32" s="11"/>
      <c r="D32" s="11"/>
      <c r="E32" s="11"/>
      <c r="F32" s="11">
        <v>0.0</v>
      </c>
      <c r="G32" s="11">
        <v>0.0</v>
      </c>
      <c r="H32" s="11"/>
      <c r="I32" s="11">
        <v>0.0</v>
      </c>
      <c r="J32" s="11">
        <v>0.0</v>
      </c>
      <c r="K32" s="6"/>
      <c r="L32" s="6"/>
      <c r="M32" s="11">
        <v>47.5</v>
      </c>
      <c r="N32" s="11" t="s">
        <v>40</v>
      </c>
      <c r="O32" s="11">
        <v>2.0</v>
      </c>
      <c r="P32" s="11">
        <v>10.0</v>
      </c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>
      <c r="A34" s="11" t="s">
        <v>41</v>
      </c>
      <c r="B34" s="6"/>
      <c r="C34" s="6"/>
      <c r="D34" s="6"/>
      <c r="E34" s="6"/>
      <c r="F34" s="11">
        <v>0.0</v>
      </c>
      <c r="G34" s="11">
        <v>0.0</v>
      </c>
      <c r="H34" s="11"/>
      <c r="I34" s="11">
        <v>0.0</v>
      </c>
      <c r="J34" s="11">
        <v>0.0</v>
      </c>
      <c r="K34" s="6"/>
      <c r="L34" s="6"/>
      <c r="M34" s="11">
        <v>28.9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>
      <c r="A36" s="11" t="s">
        <v>42</v>
      </c>
      <c r="B36" s="6"/>
      <c r="C36" s="6"/>
      <c r="D36" s="6"/>
      <c r="E36" s="6"/>
      <c r="F36" s="11">
        <v>0.0</v>
      </c>
      <c r="G36" s="11">
        <v>0.0</v>
      </c>
      <c r="H36" s="11"/>
      <c r="I36" s="11">
        <v>0.0</v>
      </c>
      <c r="J36" s="11">
        <v>0.0</v>
      </c>
      <c r="K36" s="6"/>
      <c r="L36" s="6"/>
      <c r="M36" s="11">
        <v>81.5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>
      <c r="A38" s="11" t="s">
        <v>43</v>
      </c>
      <c r="B38" s="6"/>
      <c r="C38" s="6"/>
      <c r="D38" s="6"/>
      <c r="E38" s="6"/>
      <c r="F38" s="11">
        <v>1.0</v>
      </c>
      <c r="G38" s="11">
        <v>1.0</v>
      </c>
      <c r="H38" s="11"/>
      <c r="I38" s="11">
        <v>0.0</v>
      </c>
      <c r="J38" s="11">
        <v>0.0</v>
      </c>
      <c r="K38" s="6"/>
      <c r="L38" s="6"/>
      <c r="M38" s="11">
        <v>100.5</v>
      </c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>
      <c r="A39" s="11" t="s">
        <v>44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>
      <c r="A40" s="11" t="s">
        <v>45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>
      <c r="A42" s="11" t="s">
        <v>46</v>
      </c>
      <c r="B42" s="6"/>
      <c r="C42" s="6"/>
      <c r="D42" s="6"/>
      <c r="E42" s="6"/>
      <c r="F42" s="11">
        <v>1.0</v>
      </c>
      <c r="G42" s="11">
        <v>1.0</v>
      </c>
      <c r="H42" s="11"/>
      <c r="I42" s="11">
        <v>0.0</v>
      </c>
      <c r="J42" s="11">
        <v>0.0</v>
      </c>
      <c r="K42" s="6"/>
      <c r="L42" s="6"/>
      <c r="M42" s="11">
        <v>66.5</v>
      </c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>
      <c r="A44" s="11" t="s">
        <v>47</v>
      </c>
      <c r="B44" s="6"/>
      <c r="C44" s="6"/>
      <c r="D44" s="6"/>
      <c r="E44" s="6"/>
      <c r="F44" s="11">
        <v>0.0</v>
      </c>
      <c r="G44" s="11">
        <v>0.0</v>
      </c>
      <c r="H44" s="11"/>
      <c r="I44" s="11">
        <v>0.0</v>
      </c>
      <c r="J44" s="11">
        <v>0.0</v>
      </c>
      <c r="K44" s="6"/>
      <c r="L44" s="6"/>
      <c r="M44" s="11">
        <v>59.4</v>
      </c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>
      <c r="A46" s="11" t="s">
        <v>48</v>
      </c>
      <c r="B46" s="6"/>
      <c r="C46" s="6"/>
      <c r="D46" s="6"/>
      <c r="E46" s="6"/>
      <c r="F46" s="11">
        <v>0.0</v>
      </c>
      <c r="G46" s="11">
        <v>0.0</v>
      </c>
      <c r="H46" s="11"/>
      <c r="I46" s="11">
        <v>0.0</v>
      </c>
      <c r="J46" s="11">
        <v>0.0</v>
      </c>
      <c r="K46" s="6"/>
      <c r="L46" s="6"/>
      <c r="M46" s="11">
        <v>81.2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>
      <c r="A48" s="11" t="s">
        <v>49</v>
      </c>
      <c r="B48" s="6"/>
      <c r="C48" s="6"/>
      <c r="D48" s="6"/>
      <c r="E48" s="6"/>
      <c r="F48" s="11">
        <v>1.0</v>
      </c>
      <c r="G48" s="11">
        <v>1.0</v>
      </c>
      <c r="H48" s="11"/>
      <c r="I48" s="11">
        <v>0.0</v>
      </c>
      <c r="J48" s="11">
        <v>0.0</v>
      </c>
      <c r="K48" s="6"/>
      <c r="L48" s="6"/>
      <c r="M48" s="11">
        <v>81.5</v>
      </c>
      <c r="N48" s="11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>
      <c r="A49" s="11" t="s">
        <v>50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>
      <c r="A51" s="16" t="s">
        <v>22</v>
      </c>
      <c r="B51" s="6"/>
      <c r="C51" s="6"/>
      <c r="D51" s="6"/>
      <c r="E51" s="6"/>
      <c r="F51" s="11">
        <v>1.0</v>
      </c>
      <c r="G51" s="11">
        <v>4.0</v>
      </c>
      <c r="H51" s="11"/>
      <c r="I51" s="11">
        <v>0.0</v>
      </c>
      <c r="J51" s="11">
        <v>0.0</v>
      </c>
      <c r="K51" s="11"/>
      <c r="L51" s="11">
        <v>12.0</v>
      </c>
      <c r="M51" s="11">
        <v>135.7</v>
      </c>
      <c r="N51" s="11" t="s">
        <v>51</v>
      </c>
      <c r="O51" s="6"/>
      <c r="P51" s="6"/>
      <c r="Q51" s="11">
        <v>3.0</v>
      </c>
      <c r="R51" s="11">
        <v>13.0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>
      <c r="A52" s="11" t="s">
        <v>52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>
      <c r="A53" s="11" t="s">
        <v>53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>
      <c r="A54" s="11" t="s">
        <v>54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>
      <c r="A55" s="15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>
      <c r="A56" s="11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>
      <c r="A58" s="11" t="s">
        <v>57</v>
      </c>
      <c r="B58" s="6"/>
      <c r="C58" s="6"/>
      <c r="D58" s="6"/>
      <c r="E58" s="6"/>
      <c r="F58" s="11">
        <v>0.0</v>
      </c>
      <c r="G58" s="11">
        <v>0.0</v>
      </c>
      <c r="H58" s="11"/>
      <c r="I58" s="11">
        <v>0.0</v>
      </c>
      <c r="J58" s="11">
        <v>0.0</v>
      </c>
      <c r="K58" s="6"/>
      <c r="L58" s="6"/>
      <c r="M58" s="11">
        <v>84.1</v>
      </c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>
      <c r="A60" s="11" t="s">
        <v>58</v>
      </c>
      <c r="B60" s="6"/>
      <c r="C60" s="6"/>
      <c r="D60" s="6"/>
      <c r="E60" s="6"/>
      <c r="F60" s="11">
        <v>0.0</v>
      </c>
      <c r="G60" s="11">
        <v>0.0</v>
      </c>
      <c r="H60" s="11"/>
      <c r="I60" s="11">
        <v>0.0</v>
      </c>
      <c r="J60" s="11">
        <v>0.0</v>
      </c>
      <c r="K60" s="6"/>
      <c r="L60" s="6"/>
      <c r="M60" s="11">
        <v>59.7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>
      <c r="A62" s="11" t="s">
        <v>59</v>
      </c>
      <c r="B62" s="6"/>
      <c r="C62" s="6"/>
      <c r="D62" s="6"/>
      <c r="E62" s="6"/>
      <c r="F62" s="11">
        <v>0.0</v>
      </c>
      <c r="G62" s="11">
        <v>0.0</v>
      </c>
      <c r="H62" s="11"/>
      <c r="I62" s="11">
        <v>0.0</v>
      </c>
      <c r="J62" s="11">
        <v>0.0</v>
      </c>
      <c r="K62" s="6"/>
      <c r="L62" s="6"/>
      <c r="M62" s="11">
        <v>49.6</v>
      </c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>
      <c r="A64" s="11" t="s">
        <v>60</v>
      </c>
      <c r="B64" s="6"/>
      <c r="C64" s="6"/>
      <c r="D64" s="6"/>
      <c r="E64" s="6"/>
      <c r="F64" s="11">
        <v>0.0</v>
      </c>
      <c r="G64" s="11">
        <v>0.0</v>
      </c>
      <c r="H64" s="11"/>
      <c r="I64" s="11">
        <v>0.0</v>
      </c>
      <c r="J64" s="11">
        <v>0.0</v>
      </c>
      <c r="K64" s="6"/>
      <c r="L64" s="6"/>
      <c r="M64" s="11">
        <v>72.2</v>
      </c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>
      <c r="A66" s="11" t="s">
        <v>61</v>
      </c>
      <c r="B66" s="6"/>
      <c r="C66" s="6"/>
      <c r="D66" s="6"/>
      <c r="E66" s="6"/>
      <c r="F66" s="11">
        <v>0.0</v>
      </c>
      <c r="G66" s="11">
        <v>0.0</v>
      </c>
      <c r="H66" s="11"/>
      <c r="I66" s="11">
        <v>0.0</v>
      </c>
      <c r="J66" s="11">
        <v>0.0</v>
      </c>
      <c r="K66" s="6"/>
      <c r="L66" s="6"/>
      <c r="M66" s="11">
        <v>57.5</v>
      </c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>
      <c r="A68" s="11" t="s">
        <v>62</v>
      </c>
      <c r="B68" s="6"/>
      <c r="C68" s="6"/>
      <c r="D68" s="6"/>
      <c r="E68" s="6"/>
      <c r="F68" s="11">
        <v>0.0</v>
      </c>
      <c r="G68" s="11">
        <v>0.0</v>
      </c>
      <c r="H68" s="11"/>
      <c r="I68" s="11">
        <v>0.0</v>
      </c>
      <c r="J68" s="11">
        <v>0.0</v>
      </c>
      <c r="K68" s="6"/>
      <c r="L68" s="6"/>
      <c r="M68" s="11">
        <v>86.2</v>
      </c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>
      <c r="A70" s="12" t="s">
        <v>18</v>
      </c>
      <c r="B70" s="13"/>
      <c r="C70" s="13"/>
      <c r="D70" s="13">
        <v>45546.0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>
      <c r="A71" s="14" t="s">
        <v>19</v>
      </c>
      <c r="B71" s="6"/>
      <c r="C71" s="6"/>
      <c r="D71" s="6"/>
      <c r="E71" s="6"/>
      <c r="F71" s="11">
        <v>1.0</v>
      </c>
      <c r="G71" s="11">
        <v>10.0</v>
      </c>
      <c r="H71" s="11"/>
      <c r="I71" s="11">
        <v>1.0</v>
      </c>
      <c r="J71" s="11">
        <v>2.0</v>
      </c>
      <c r="K71" s="11"/>
      <c r="L71" s="11">
        <v>12.0</v>
      </c>
      <c r="M71" s="11">
        <v>178.9</v>
      </c>
      <c r="N71" s="11" t="s">
        <v>63</v>
      </c>
      <c r="O71" s="11">
        <v>2.0</v>
      </c>
      <c r="P71" s="11">
        <v>7.0</v>
      </c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>
      <c r="A72" s="14" t="s">
        <v>24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>
      <c r="A73" s="14" t="s">
        <v>25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>
      <c r="A74" s="14" t="s">
        <v>26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>
      <c r="A75" s="14" t="s">
        <v>27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>
      <c r="A76" s="14" t="s">
        <v>28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>
      <c r="A77" s="14" t="s">
        <v>29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>
      <c r="A78" s="14" t="s">
        <v>30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>
      <c r="A79" s="14" t="s">
        <v>31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>
      <c r="A80" s="11" t="s">
        <v>64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>
      <c r="A81" s="11" t="s">
        <v>65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>
      <c r="A82" s="11" t="s">
        <v>66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>
      <c r="A83" s="11" t="s">
        <v>67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>
      <c r="A84" s="17" t="s">
        <v>68</v>
      </c>
      <c r="B84" s="18"/>
      <c r="C84" s="18"/>
      <c r="D84" s="18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>
      <c r="A85" s="11" t="s">
        <v>69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>
      <c r="A86" s="11" t="s">
        <v>70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>
      <c r="A87" s="11" t="s">
        <v>71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>
      <c r="A89" s="14" t="s">
        <v>21</v>
      </c>
      <c r="B89" s="6"/>
      <c r="C89" s="6"/>
      <c r="D89" s="6"/>
      <c r="E89" s="6"/>
      <c r="F89" s="11">
        <v>1.0</v>
      </c>
      <c r="G89" s="11">
        <v>6.0</v>
      </c>
      <c r="H89" s="11"/>
      <c r="I89" s="11">
        <v>1.0</v>
      </c>
      <c r="J89" s="11">
        <v>2.0</v>
      </c>
      <c r="K89" s="6"/>
      <c r="L89" s="6"/>
      <c r="M89" s="11">
        <v>188.4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>
      <c r="A90" s="14" t="s">
        <v>32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>
      <c r="A91" s="19" t="s">
        <v>33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>
      <c r="A92" s="14" t="s">
        <v>34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>
      <c r="A93" s="14" t="s">
        <v>35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>
      <c r="A94" s="14" t="s">
        <v>36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>
      <c r="A95" s="11" t="s">
        <v>72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>
      <c r="A96" s="11" t="s">
        <v>73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>
      <c r="A97" s="11" t="s">
        <v>74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>
      <c r="A98" s="11" t="s">
        <v>75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>
      <c r="A99" s="11" t="s">
        <v>76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>
      <c r="A100" s="11" t="s">
        <v>77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>
      <c r="A102" s="14" t="s">
        <v>37</v>
      </c>
      <c r="B102" s="6"/>
      <c r="C102" s="6"/>
      <c r="D102" s="6"/>
      <c r="E102" s="6"/>
      <c r="F102" s="11">
        <v>0.0</v>
      </c>
      <c r="G102" s="11">
        <v>0.0</v>
      </c>
      <c r="H102" s="11"/>
      <c r="I102" s="11">
        <v>0.0</v>
      </c>
      <c r="J102" s="11">
        <v>0.0</v>
      </c>
      <c r="K102" s="6"/>
      <c r="L102" s="6"/>
      <c r="M102" s="11">
        <v>79.2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>
      <c r="A103" s="14" t="s">
        <v>38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>
      <c r="A104" s="20" t="s">
        <v>78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>
      <c r="A105" s="21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>
      <c r="A106" s="14" t="s">
        <v>39</v>
      </c>
      <c r="B106" s="6"/>
      <c r="C106" s="6"/>
      <c r="D106" s="6"/>
      <c r="E106" s="6"/>
      <c r="F106" s="11">
        <v>1.0</v>
      </c>
      <c r="G106" s="11">
        <v>1.0</v>
      </c>
      <c r="H106" s="11"/>
      <c r="I106" s="11">
        <v>0.0</v>
      </c>
      <c r="J106" s="11">
        <v>0.0</v>
      </c>
      <c r="K106" s="6"/>
      <c r="L106" s="6"/>
      <c r="M106" s="11">
        <v>74.8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>
      <c r="A107" s="20" t="s">
        <v>79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>
      <c r="A108" s="20" t="s">
        <v>80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>
      <c r="A109" s="21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>
      <c r="A110" s="14" t="s">
        <v>41</v>
      </c>
      <c r="B110" s="6"/>
      <c r="C110" s="6"/>
      <c r="D110" s="6"/>
      <c r="E110" s="6"/>
      <c r="F110" s="11">
        <v>0.0</v>
      </c>
      <c r="G110" s="11">
        <v>0.0</v>
      </c>
      <c r="H110" s="11"/>
      <c r="I110" s="11">
        <v>0.0</v>
      </c>
      <c r="J110" s="11">
        <v>0.0</v>
      </c>
      <c r="K110" s="6"/>
      <c r="L110" s="6"/>
      <c r="M110" s="11">
        <v>52.7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>
      <c r="A111" s="2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>
      <c r="A112" s="14" t="s">
        <v>42</v>
      </c>
      <c r="B112" s="6"/>
      <c r="C112" s="6"/>
      <c r="D112" s="6"/>
      <c r="E112" s="6"/>
      <c r="F112" s="11">
        <v>1.0</v>
      </c>
      <c r="G112" s="11">
        <v>1.0</v>
      </c>
      <c r="H112" s="11"/>
      <c r="I112" s="11">
        <v>0.0</v>
      </c>
      <c r="J112" s="11">
        <v>0.0</v>
      </c>
      <c r="K112" s="6"/>
      <c r="L112" s="6"/>
      <c r="M112" s="11">
        <v>119.5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>
      <c r="A113" s="22" t="s">
        <v>81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>
      <c r="A114" s="22" t="s">
        <v>82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>
      <c r="A115" s="22" t="s">
        <v>83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>
      <c r="A116" s="23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>
      <c r="A117" s="14" t="s">
        <v>43</v>
      </c>
      <c r="B117" s="6"/>
      <c r="C117" s="6"/>
      <c r="D117" s="6"/>
      <c r="E117" s="6"/>
      <c r="F117" s="11">
        <v>1.0</v>
      </c>
      <c r="G117" s="11">
        <v>3.0</v>
      </c>
      <c r="H117" s="11"/>
      <c r="I117" s="11">
        <v>0.0</v>
      </c>
      <c r="J117" s="11">
        <v>0.0</v>
      </c>
      <c r="K117" s="6"/>
      <c r="L117" s="6"/>
      <c r="M117" s="11">
        <v>133.2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>
      <c r="A118" s="14" t="s">
        <v>44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>
      <c r="A119" s="14" t="s">
        <v>45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>
      <c r="A120" s="20" t="s">
        <v>84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>
      <c r="A121" s="20" t="s">
        <v>85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>
      <c r="A122" s="20" t="s">
        <v>86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>
      <c r="A124" s="14" t="s">
        <v>46</v>
      </c>
      <c r="B124" s="6"/>
      <c r="C124" s="6"/>
      <c r="D124" s="6"/>
      <c r="E124" s="6"/>
      <c r="F124" s="11">
        <v>1.0</v>
      </c>
      <c r="G124" s="11">
        <v>3.0</v>
      </c>
      <c r="H124" s="11"/>
      <c r="I124" s="11">
        <v>0.0</v>
      </c>
      <c r="J124" s="11">
        <v>0.0</v>
      </c>
      <c r="K124" s="6"/>
      <c r="L124" s="6"/>
      <c r="M124" s="11">
        <v>93.4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>
      <c r="A125" s="20" t="s">
        <v>87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>
      <c r="A126" s="20" t="s">
        <v>88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>
      <c r="A127" s="20" t="s">
        <v>89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>
      <c r="A128" s="20" t="s">
        <v>90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>
      <c r="A129" s="20" t="s">
        <v>91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>
      <c r="A130" s="21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>
      <c r="A131" s="14" t="s">
        <v>47</v>
      </c>
      <c r="B131" s="6"/>
      <c r="C131" s="6"/>
      <c r="D131" s="6"/>
      <c r="E131" s="6"/>
      <c r="F131" s="11">
        <v>0.0</v>
      </c>
      <c r="G131" s="11">
        <v>0.0</v>
      </c>
      <c r="H131" s="11"/>
      <c r="I131" s="11">
        <v>0.0</v>
      </c>
      <c r="J131" s="11">
        <v>0.0</v>
      </c>
      <c r="K131" s="6"/>
      <c r="L131" s="6"/>
      <c r="M131" s="11">
        <v>91.9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>
      <c r="A132" s="20" t="s">
        <v>92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>
      <c r="A133" s="2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>
      <c r="A134" s="14" t="s">
        <v>48</v>
      </c>
      <c r="B134" s="6"/>
      <c r="C134" s="6"/>
      <c r="D134" s="6"/>
      <c r="E134" s="6"/>
      <c r="F134" s="11">
        <v>0.0</v>
      </c>
      <c r="G134" s="11">
        <v>0.0</v>
      </c>
      <c r="H134" s="11"/>
      <c r="I134" s="11">
        <v>0.0</v>
      </c>
      <c r="J134" s="11">
        <v>0.0</v>
      </c>
      <c r="K134" s="6"/>
      <c r="L134" s="6"/>
      <c r="M134" s="11">
        <v>98.8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>
      <c r="A135" s="22" t="s">
        <v>93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>
      <c r="A136" s="2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>
      <c r="A137" s="14" t="s">
        <v>49</v>
      </c>
      <c r="B137" s="6"/>
      <c r="C137" s="6"/>
      <c r="D137" s="6"/>
      <c r="E137" s="6"/>
      <c r="F137" s="11">
        <v>1.0</v>
      </c>
      <c r="G137" s="11">
        <v>3.0</v>
      </c>
      <c r="H137" s="11"/>
      <c r="I137" s="11">
        <v>0.0</v>
      </c>
      <c r="J137" s="11">
        <v>0.0</v>
      </c>
      <c r="K137" s="6"/>
      <c r="L137" s="6"/>
      <c r="M137" s="11">
        <v>179.9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>
      <c r="A138" s="14" t="s">
        <v>50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>
      <c r="A139" s="20" t="s">
        <v>94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>
      <c r="A140" s="20" t="s">
        <v>95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>
      <c r="A141" s="20" t="s">
        <v>96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>
      <c r="A142" s="20" t="s">
        <v>97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>
      <c r="A143" s="24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>
      <c r="A144" s="20" t="s">
        <v>98</v>
      </c>
      <c r="B144" s="6"/>
      <c r="C144" s="6"/>
      <c r="D144" s="6"/>
      <c r="E144" s="6"/>
      <c r="F144" s="11">
        <v>0.0</v>
      </c>
      <c r="G144" s="11">
        <v>0.0</v>
      </c>
      <c r="H144" s="11"/>
      <c r="I144" s="11">
        <v>0.0</v>
      </c>
      <c r="J144" s="11">
        <v>0.0</v>
      </c>
      <c r="K144" s="6"/>
      <c r="L144" s="6"/>
      <c r="M144" s="11">
        <v>73.4</v>
      </c>
      <c r="N144" s="11" t="s">
        <v>99</v>
      </c>
      <c r="O144" s="15">
        <v>1.0</v>
      </c>
      <c r="P144" s="11">
        <v>3.0</v>
      </c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>
      <c r="A146" s="16" t="s">
        <v>22</v>
      </c>
      <c r="B146" s="6"/>
      <c r="C146" s="6"/>
      <c r="D146" s="6"/>
      <c r="E146" s="6"/>
      <c r="F146" s="11">
        <v>2.0</v>
      </c>
      <c r="G146" s="11">
        <v>9.0</v>
      </c>
      <c r="H146" s="11"/>
      <c r="I146" s="11">
        <v>1.0</v>
      </c>
      <c r="J146" s="11">
        <v>1.0</v>
      </c>
      <c r="K146" s="6"/>
      <c r="L146" s="6"/>
      <c r="M146" s="11">
        <v>162.6</v>
      </c>
      <c r="N146" s="11" t="s">
        <v>100</v>
      </c>
      <c r="O146" s="6"/>
      <c r="P146" s="6"/>
      <c r="Q146" s="11">
        <v>5.0</v>
      </c>
      <c r="R146" s="11">
        <v>23.0</v>
      </c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>
      <c r="A147" s="16" t="s">
        <v>52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>
      <c r="A148" s="16" t="s">
        <v>53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>
      <c r="A149" s="16" t="s">
        <v>54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>
      <c r="A150" s="25" t="s">
        <v>55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>
      <c r="A151" s="16" t="s">
        <v>56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>
      <c r="A152" s="20" t="s">
        <v>101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>
      <c r="A153" s="20" t="s">
        <v>102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>
      <c r="A154" s="20" t="s">
        <v>103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>
      <c r="A155" s="20" t="s">
        <v>104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>
      <c r="A156" s="20" t="s">
        <v>105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>
      <c r="A157" s="20" t="s">
        <v>106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>
      <c r="A158" s="20" t="s">
        <v>107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>
      <c r="A159" s="24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>
      <c r="A160" s="16" t="s">
        <v>57</v>
      </c>
      <c r="B160" s="6"/>
      <c r="C160" s="6"/>
      <c r="D160" s="6"/>
      <c r="E160" s="6"/>
      <c r="F160" s="11">
        <v>1.0</v>
      </c>
      <c r="G160" s="11">
        <v>1.0</v>
      </c>
      <c r="H160" s="11"/>
      <c r="I160" s="11">
        <v>0.0</v>
      </c>
      <c r="J160" s="11">
        <v>0.0</v>
      </c>
      <c r="K160" s="6"/>
      <c r="L160" s="6"/>
      <c r="M160" s="11">
        <v>121.3</v>
      </c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>
      <c r="A161" s="20" t="s">
        <v>108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>
      <c r="A162" s="20" t="s">
        <v>109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>
      <c r="A163" s="2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>
      <c r="A164" s="16" t="s">
        <v>58</v>
      </c>
      <c r="B164" s="6"/>
      <c r="C164" s="6"/>
      <c r="D164" s="6"/>
      <c r="E164" s="6"/>
      <c r="F164" s="11">
        <v>0.0</v>
      </c>
      <c r="G164" s="11">
        <v>0.0</v>
      </c>
      <c r="H164" s="11"/>
      <c r="I164" s="11">
        <v>0.0</v>
      </c>
      <c r="J164" s="11">
        <v>0.0</v>
      </c>
      <c r="K164" s="6"/>
      <c r="L164" s="6"/>
      <c r="M164" s="11">
        <v>87.6</v>
      </c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>
      <c r="A165" s="2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>
      <c r="A166" s="16" t="s">
        <v>59</v>
      </c>
      <c r="B166" s="6"/>
      <c r="C166" s="6"/>
      <c r="D166" s="6"/>
      <c r="E166" s="6"/>
      <c r="F166" s="11">
        <v>0.0</v>
      </c>
      <c r="G166" s="11">
        <v>0.0</v>
      </c>
      <c r="H166" s="11"/>
      <c r="I166" s="11">
        <v>0.0</v>
      </c>
      <c r="J166" s="11">
        <v>0.0</v>
      </c>
      <c r="K166" s="6"/>
      <c r="L166" s="6"/>
      <c r="M166" s="11">
        <v>91.8</v>
      </c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>
      <c r="A167" s="20" t="s">
        <v>110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>
      <c r="A168" s="2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>
      <c r="A169" s="16" t="s">
        <v>60</v>
      </c>
      <c r="B169" s="6"/>
      <c r="C169" s="6"/>
      <c r="D169" s="6"/>
      <c r="E169" s="6"/>
      <c r="F169" s="11">
        <v>1.0</v>
      </c>
      <c r="G169" s="11">
        <v>1.0</v>
      </c>
      <c r="H169" s="11"/>
      <c r="I169" s="11">
        <v>0.0</v>
      </c>
      <c r="J169" s="11">
        <v>0.0</v>
      </c>
      <c r="K169" s="6"/>
      <c r="L169" s="6"/>
      <c r="M169" s="11">
        <v>96.4</v>
      </c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>
      <c r="A170" s="20" t="s">
        <v>111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>
      <c r="A171" s="20" t="s">
        <v>112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>
      <c r="A172" s="2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>
      <c r="A173" s="16" t="s">
        <v>61</v>
      </c>
      <c r="B173" s="6"/>
      <c r="C173" s="6"/>
      <c r="D173" s="6"/>
      <c r="E173" s="6"/>
      <c r="F173" s="11">
        <v>0.0</v>
      </c>
      <c r="G173" s="11">
        <v>0.0</v>
      </c>
      <c r="H173" s="11"/>
      <c r="I173" s="11">
        <v>0.0</v>
      </c>
      <c r="J173" s="11">
        <v>0.0</v>
      </c>
      <c r="K173" s="6"/>
      <c r="L173" s="6"/>
      <c r="M173" s="11">
        <v>88.8</v>
      </c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>
      <c r="A174" s="20" t="s">
        <v>113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>
      <c r="A175" s="2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>
      <c r="A176" s="16" t="s">
        <v>62</v>
      </c>
      <c r="B176" s="6"/>
      <c r="C176" s="6"/>
      <c r="D176" s="6"/>
      <c r="E176" s="6"/>
      <c r="F176" s="11">
        <v>1.0</v>
      </c>
      <c r="G176" s="11">
        <v>1.0</v>
      </c>
      <c r="H176" s="11"/>
      <c r="I176" s="11">
        <v>0.0</v>
      </c>
      <c r="J176" s="11">
        <v>0.0</v>
      </c>
      <c r="K176" s="6"/>
      <c r="L176" s="6"/>
      <c r="M176" s="11">
        <v>117.1</v>
      </c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>
      <c r="A177" s="11" t="s">
        <v>114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>
      <c r="A178" s="11" t="s">
        <v>115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>
      <c r="A179" s="11" t="s">
        <v>116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>
      <c r="A181" s="11" t="s">
        <v>117</v>
      </c>
      <c r="B181" s="6"/>
      <c r="C181" s="6"/>
      <c r="D181" s="6"/>
      <c r="E181" s="6"/>
      <c r="F181" s="11">
        <v>0.0</v>
      </c>
      <c r="G181" s="11">
        <v>0.0</v>
      </c>
      <c r="H181" s="11"/>
      <c r="I181" s="11">
        <v>0.0</v>
      </c>
      <c r="J181" s="11">
        <v>0.0</v>
      </c>
      <c r="K181" s="6"/>
      <c r="L181" s="6"/>
      <c r="M181" s="11">
        <v>82.6</v>
      </c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>
      <c r="A183" s="11" t="s">
        <v>118</v>
      </c>
      <c r="B183" s="6"/>
      <c r="C183" s="6"/>
      <c r="D183" s="6"/>
      <c r="E183" s="6"/>
      <c r="F183" s="11">
        <v>0.0</v>
      </c>
      <c r="G183" s="11">
        <v>0.0</v>
      </c>
      <c r="H183" s="11"/>
      <c r="I183" s="11">
        <v>0.0</v>
      </c>
      <c r="J183" s="11">
        <v>0.0</v>
      </c>
      <c r="K183" s="6"/>
      <c r="L183" s="6"/>
      <c r="M183" s="11">
        <v>67.1</v>
      </c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>
      <c r="A185" s="11" t="s">
        <v>119</v>
      </c>
      <c r="B185" s="6"/>
      <c r="C185" s="6"/>
      <c r="D185" s="6"/>
      <c r="E185" s="6"/>
      <c r="F185" s="11">
        <v>1.0</v>
      </c>
      <c r="G185" s="11">
        <v>1.0</v>
      </c>
      <c r="H185" s="11"/>
      <c r="I185" s="11">
        <v>0.0</v>
      </c>
      <c r="J185" s="11">
        <v>0.0</v>
      </c>
      <c r="K185" s="6"/>
      <c r="L185" s="6"/>
      <c r="M185" s="11">
        <v>105.9</v>
      </c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>
      <c r="A186" s="11" t="s">
        <v>120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>
      <c r="A187" s="11" t="s">
        <v>121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>
      <c r="A189" s="11" t="s">
        <v>122</v>
      </c>
      <c r="B189" s="6"/>
      <c r="C189" s="6"/>
      <c r="D189" s="6"/>
      <c r="E189" s="6"/>
      <c r="F189" s="11">
        <v>0.0</v>
      </c>
      <c r="G189" s="11">
        <v>0.0</v>
      </c>
      <c r="H189" s="11"/>
      <c r="I189" s="11">
        <v>0.0</v>
      </c>
      <c r="J189" s="11">
        <v>0.0</v>
      </c>
      <c r="K189" s="6"/>
      <c r="L189" s="6"/>
      <c r="M189" s="11">
        <v>74.4</v>
      </c>
      <c r="N189" s="11" t="s">
        <v>123</v>
      </c>
      <c r="O189" s="11">
        <v>1.0</v>
      </c>
      <c r="P189" s="11">
        <v>2.0</v>
      </c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>
      <c r="A190" s="11" t="s">
        <v>124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>
      <c r="A192" s="11" t="s">
        <v>125</v>
      </c>
      <c r="B192" s="6"/>
      <c r="C192" s="6"/>
      <c r="D192" s="6"/>
      <c r="E192" s="6"/>
      <c r="F192" s="11">
        <v>1.0</v>
      </c>
      <c r="G192" s="11">
        <v>1.0</v>
      </c>
      <c r="H192" s="11"/>
      <c r="I192" s="11">
        <v>0.0</v>
      </c>
      <c r="J192" s="11">
        <v>0.0</v>
      </c>
      <c r="K192" s="6"/>
      <c r="L192" s="6"/>
      <c r="M192" s="11">
        <v>71.6</v>
      </c>
      <c r="N192" s="11" t="s">
        <v>99</v>
      </c>
      <c r="O192" s="6"/>
      <c r="P192" s="6"/>
      <c r="Q192" s="11">
        <v>1.0</v>
      </c>
      <c r="R192" s="11">
        <v>3.0</v>
      </c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>
      <c r="A193" s="11" t="s">
        <v>126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>
      <c r="A195" s="12" t="s">
        <v>18</v>
      </c>
      <c r="B195" s="13"/>
      <c r="C195" s="13"/>
      <c r="D195" s="13">
        <v>45560.0</v>
      </c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>
      <c r="A196" s="14" t="s">
        <v>19</v>
      </c>
      <c r="B196" s="6"/>
      <c r="C196" s="6"/>
      <c r="D196" s="6"/>
      <c r="E196" s="6"/>
      <c r="F196" s="11">
        <v>1.0</v>
      </c>
      <c r="G196" s="11">
        <v>16.0</v>
      </c>
      <c r="H196" s="11"/>
      <c r="I196" s="11">
        <v>1.0</v>
      </c>
      <c r="J196" s="11">
        <v>4.0</v>
      </c>
      <c r="K196" s="6"/>
      <c r="L196" s="6"/>
      <c r="M196" s="11">
        <v>180.9</v>
      </c>
      <c r="N196" s="11" t="s">
        <v>127</v>
      </c>
      <c r="O196" s="11">
        <v>2.0</v>
      </c>
      <c r="P196" s="11">
        <v>6.0</v>
      </c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>
      <c r="A197" s="14" t="s">
        <v>24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>
      <c r="A198" s="14" t="s">
        <v>25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>
      <c r="A199" s="14" t="s">
        <v>26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>
      <c r="A200" s="14" t="s">
        <v>27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>
      <c r="A201" s="14" t="s">
        <v>28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>
      <c r="A202" s="14" t="s">
        <v>29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>
      <c r="A203" s="14" t="s">
        <v>30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>
      <c r="A204" s="14" t="s">
        <v>31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>
      <c r="A205" s="14" t="s">
        <v>64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>
      <c r="A206" s="14" t="s">
        <v>65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>
      <c r="A207" s="14" t="s">
        <v>66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>
      <c r="A208" s="14" t="s">
        <v>67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>
      <c r="A209" s="27" t="s">
        <v>68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>
      <c r="A210" s="14" t="s">
        <v>69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>
      <c r="A211" s="14" t="s">
        <v>70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>
      <c r="A212" s="14" t="s">
        <v>71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>
      <c r="A213" s="20" t="s">
        <v>128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>
      <c r="A214" s="22" t="s">
        <v>129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>
      <c r="A215" s="22" t="s">
        <v>130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>
      <c r="A216" s="22" t="s">
        <v>131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>
      <c r="A217" s="22" t="s">
        <v>132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>
      <c r="A218" s="22" t="s">
        <v>133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>
      <c r="A219" s="22" t="s">
        <v>134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>
      <c r="A220" s="22" t="s">
        <v>135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>
      <c r="A221" s="2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>
      <c r="A222" s="14" t="s">
        <v>21</v>
      </c>
      <c r="B222" s="6"/>
      <c r="C222" s="6"/>
      <c r="D222" s="6"/>
      <c r="E222" s="6"/>
      <c r="F222" s="11">
        <v>1.0</v>
      </c>
      <c r="G222" s="11">
        <v>11.0</v>
      </c>
      <c r="H222" s="11"/>
      <c r="I222" s="11">
        <v>1.0</v>
      </c>
      <c r="J222" s="11">
        <v>5.0</v>
      </c>
      <c r="K222" s="6"/>
      <c r="L222" s="6"/>
      <c r="M222" s="11">
        <v>191.1</v>
      </c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>
      <c r="A223" s="14" t="s">
        <v>32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>
      <c r="A224" s="19" t="s">
        <v>33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>
      <c r="A225" s="14" t="s">
        <v>34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>
      <c r="A226" s="14" t="s">
        <v>35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>
      <c r="A227" s="14" t="s">
        <v>36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>
      <c r="A228" s="14" t="s">
        <v>72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>
      <c r="A229" s="14" t="s">
        <v>73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>
      <c r="A230" s="14" t="s">
        <v>74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>
      <c r="A231" s="14" t="s">
        <v>75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>
      <c r="A232" s="14" t="s">
        <v>76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>
      <c r="A233" s="14" t="s">
        <v>77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>
      <c r="A234" s="22" t="s">
        <v>136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>
      <c r="A235" s="22" t="s">
        <v>137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>
      <c r="A236" s="22" t="s">
        <v>138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>
      <c r="A237" s="22" t="s">
        <v>139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>
      <c r="A238" s="22" t="s">
        <v>140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>
      <c r="A239" s="22" t="s">
        <v>141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>
      <c r="A240" s="22" t="s">
        <v>142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>
      <c r="A241" s="22" t="s">
        <v>143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>
      <c r="A242" s="22" t="s">
        <v>144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>
      <c r="A243" s="28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>
      <c r="A244" s="14" t="s">
        <v>37</v>
      </c>
      <c r="B244" s="21"/>
      <c r="C244" s="21"/>
      <c r="D244" s="21"/>
      <c r="E244" s="6"/>
      <c r="F244" s="11">
        <v>0.0</v>
      </c>
      <c r="G244" s="11">
        <v>0.0</v>
      </c>
      <c r="H244" s="11"/>
      <c r="I244" s="11">
        <v>0.0</v>
      </c>
      <c r="J244" s="11">
        <v>0.0</v>
      </c>
      <c r="K244" s="6"/>
      <c r="L244" s="6"/>
      <c r="M244" s="11">
        <v>97.2</v>
      </c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>
      <c r="A245" s="14" t="s">
        <v>38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>
      <c r="A246" s="14" t="s">
        <v>78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>
      <c r="A247" s="22" t="s">
        <v>145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>
      <c r="A248" s="28"/>
      <c r="B248" s="21"/>
      <c r="C248" s="21"/>
      <c r="D248" s="2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>
      <c r="A249" s="14" t="s">
        <v>39</v>
      </c>
      <c r="E249" s="6"/>
      <c r="F249" s="11">
        <v>1.0</v>
      </c>
      <c r="G249" s="11">
        <v>2.0</v>
      </c>
      <c r="H249" s="11"/>
      <c r="I249" s="11">
        <v>0.0</v>
      </c>
      <c r="J249" s="11">
        <v>0.0</v>
      </c>
      <c r="K249" s="6"/>
      <c r="L249" s="6"/>
      <c r="M249" s="11">
        <v>115.5</v>
      </c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>
      <c r="A250" s="14" t="s">
        <v>79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>
      <c r="A251" s="14" t="s">
        <v>80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>
      <c r="A252" s="22" t="s">
        <v>146</v>
      </c>
      <c r="B252" s="21"/>
      <c r="C252" s="21"/>
      <c r="D252" s="2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>
      <c r="A253" s="22" t="s">
        <v>147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>
      <c r="A254" s="22" t="s">
        <v>148</v>
      </c>
      <c r="B254" s="21"/>
      <c r="C254" s="21"/>
      <c r="D254" s="2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>
      <c r="A255" s="28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>
      <c r="A256" s="14" t="s">
        <v>41</v>
      </c>
      <c r="E256" s="6"/>
      <c r="F256" s="11">
        <v>0.0</v>
      </c>
      <c r="G256" s="11">
        <v>0.0</v>
      </c>
      <c r="H256" s="11"/>
      <c r="I256" s="11">
        <v>0.0</v>
      </c>
      <c r="J256" s="11">
        <v>0.0</v>
      </c>
      <c r="K256" s="6"/>
      <c r="L256" s="6"/>
      <c r="M256" s="11">
        <v>96.7</v>
      </c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>
      <c r="A257" s="22" t="s">
        <v>149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>
      <c r="A258" s="22" t="s">
        <v>150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>
      <c r="A259" s="28"/>
      <c r="B259" s="23"/>
      <c r="C259" s="23"/>
      <c r="D259" s="23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>
      <c r="A260" s="14" t="s">
        <v>42</v>
      </c>
      <c r="E260" s="6"/>
      <c r="F260" s="11">
        <v>1.0</v>
      </c>
      <c r="G260" s="11">
        <v>4.0</v>
      </c>
      <c r="H260" s="11"/>
      <c r="I260" s="11">
        <v>0.0</v>
      </c>
      <c r="J260" s="11">
        <v>0.0</v>
      </c>
      <c r="K260" s="6"/>
      <c r="L260" s="6"/>
      <c r="M260" s="11">
        <v>161.4</v>
      </c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>
      <c r="A261" s="19" t="s">
        <v>81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>
      <c r="A262" s="19" t="s">
        <v>82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>
      <c r="A263" s="19" t="s">
        <v>83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>
      <c r="A264" s="22" t="s">
        <v>151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>
      <c r="A265" s="22" t="s">
        <v>152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>
      <c r="A266" s="22" t="s">
        <v>153</v>
      </c>
      <c r="B266" s="21"/>
      <c r="C266" s="21"/>
      <c r="D266" s="2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>
      <c r="A267" s="22" t="s">
        <v>154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>
      <c r="A268" s="28"/>
      <c r="E268" s="6"/>
      <c r="F268" s="11">
        <v>1.0</v>
      </c>
      <c r="G268" s="11">
        <v>7.0</v>
      </c>
      <c r="H268" s="11"/>
      <c r="I268" s="11">
        <v>0.0</v>
      </c>
      <c r="J268" s="11">
        <v>0.0</v>
      </c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>
      <c r="A269" s="14" t="s">
        <v>43</v>
      </c>
      <c r="E269" s="6"/>
      <c r="F269" s="6"/>
      <c r="G269" s="6"/>
      <c r="H269" s="6"/>
      <c r="I269" s="6"/>
      <c r="J269" s="6"/>
      <c r="K269" s="6"/>
      <c r="L269" s="6"/>
      <c r="M269" s="11">
        <v>167.2</v>
      </c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>
      <c r="A270" s="14" t="s">
        <v>44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>
      <c r="A271" s="14" t="s">
        <v>45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>
      <c r="A272" s="14" t="s">
        <v>84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>
      <c r="A273" s="14" t="s">
        <v>85</v>
      </c>
      <c r="B273" s="21"/>
      <c r="C273" s="21"/>
      <c r="D273" s="2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>
      <c r="A274" s="14" t="s">
        <v>86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>
      <c r="A275" s="22" t="s">
        <v>155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>
      <c r="A276" s="22" t="s">
        <v>156</v>
      </c>
      <c r="B276" s="21"/>
      <c r="C276" s="21"/>
      <c r="D276" s="2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>
      <c r="A277" s="22" t="s">
        <v>157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>
      <c r="A278" s="22" t="s">
        <v>158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>
      <c r="A279" s="22" t="s">
        <v>159</v>
      </c>
      <c r="B279" s="23"/>
      <c r="C279" s="23"/>
      <c r="D279" s="23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>
      <c r="A280" s="22" t="s">
        <v>160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>
      <c r="A281" s="28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>
      <c r="A282" s="14" t="s">
        <v>46</v>
      </c>
      <c r="E282" s="6"/>
      <c r="F282" s="11">
        <v>1.0</v>
      </c>
      <c r="G282" s="11">
        <v>6.0</v>
      </c>
      <c r="H282" s="11"/>
      <c r="I282" s="11">
        <v>0.0</v>
      </c>
      <c r="J282" s="11">
        <v>0.0</v>
      </c>
      <c r="K282" s="6"/>
      <c r="L282" s="6"/>
      <c r="M282" s="11">
        <v>134.4</v>
      </c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>
      <c r="A283" s="14" t="s">
        <v>87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>
      <c r="A284" s="14" t="s">
        <v>88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>
      <c r="A285" s="14" t="s">
        <v>89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>
      <c r="A286" s="14" t="s">
        <v>90</v>
      </c>
      <c r="B286" s="21"/>
      <c r="C286" s="21"/>
      <c r="D286" s="2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>
      <c r="A287" s="14" t="s">
        <v>91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>
      <c r="A288" s="22" t="s">
        <v>161</v>
      </c>
      <c r="B288" s="21"/>
      <c r="C288" s="21"/>
      <c r="D288" s="2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>
      <c r="A289" s="22" t="s">
        <v>162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>
      <c r="A290" s="22" t="s">
        <v>163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>
      <c r="A291" s="22" t="s">
        <v>164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>
      <c r="A292" s="28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>
      <c r="A293" s="14" t="s">
        <v>47</v>
      </c>
      <c r="E293" s="6"/>
      <c r="F293" s="11">
        <v>1.0</v>
      </c>
      <c r="G293" s="11">
        <v>1.0</v>
      </c>
      <c r="H293" s="11"/>
      <c r="I293" s="11">
        <v>0.0</v>
      </c>
      <c r="J293" s="11">
        <v>0.0</v>
      </c>
      <c r="K293" s="6"/>
      <c r="L293" s="6"/>
      <c r="M293" s="11">
        <v>131.8</v>
      </c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>
      <c r="A294" s="14" t="s">
        <v>92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>
      <c r="A295" s="22" t="s">
        <v>165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>
      <c r="A296" s="22" t="s">
        <v>166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>
      <c r="A297" s="28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>
      <c r="A298" s="14" t="s">
        <v>48</v>
      </c>
      <c r="E298" s="6"/>
      <c r="F298" s="11">
        <v>1.0</v>
      </c>
      <c r="G298" s="11">
        <v>2.0</v>
      </c>
      <c r="H298" s="11"/>
      <c r="I298" s="11">
        <v>0.0</v>
      </c>
      <c r="J298" s="11">
        <v>0.0</v>
      </c>
      <c r="K298" s="6"/>
      <c r="L298" s="6"/>
      <c r="M298" s="11">
        <v>128.1</v>
      </c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>
      <c r="A299" s="19" t="s">
        <v>93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>
      <c r="A300" s="22" t="s">
        <v>167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>
      <c r="A301" s="22" t="s">
        <v>168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>
      <c r="A302" s="22" t="s">
        <v>169</v>
      </c>
      <c r="B302" s="21"/>
      <c r="C302" s="21"/>
      <c r="D302" s="2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>
      <c r="A303" s="22" t="s">
        <v>170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>
      <c r="A304" s="28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>
      <c r="A305" s="14" t="s">
        <v>49</v>
      </c>
      <c r="E305" s="6"/>
      <c r="F305" s="11">
        <v>1.0</v>
      </c>
      <c r="G305" s="11">
        <v>6.0</v>
      </c>
      <c r="H305" s="11"/>
      <c r="I305" s="11">
        <v>0.0</v>
      </c>
      <c r="J305" s="11">
        <v>0.0</v>
      </c>
      <c r="K305" s="6"/>
      <c r="L305" s="6"/>
      <c r="M305" s="11">
        <v>152.3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>
      <c r="A306" s="14" t="s">
        <v>50</v>
      </c>
      <c r="B306" s="21"/>
      <c r="C306" s="21"/>
      <c r="D306" s="2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>
      <c r="A307" s="14" t="s">
        <v>94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>
      <c r="A308" s="14" t="s">
        <v>95</v>
      </c>
      <c r="B308" s="21"/>
      <c r="C308" s="21"/>
      <c r="D308" s="2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>
      <c r="A309" s="14" t="s">
        <v>96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>
      <c r="A310" s="14" t="s">
        <v>97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>
      <c r="A311" s="22" t="s">
        <v>171</v>
      </c>
      <c r="B311" s="21"/>
      <c r="C311" s="21"/>
      <c r="D311" s="2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>
      <c r="A312" s="22" t="s">
        <v>172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>
      <c r="A313" s="22" t="s">
        <v>173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>
      <c r="A314" s="22" t="s">
        <v>174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>
      <c r="A315" s="28"/>
      <c r="B315" s="21"/>
      <c r="C315" s="21"/>
      <c r="D315" s="2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>
      <c r="A316" s="14" t="s">
        <v>98</v>
      </c>
      <c r="E316" s="6"/>
      <c r="F316" s="11">
        <v>0.0</v>
      </c>
      <c r="G316" s="11">
        <v>0.0</v>
      </c>
      <c r="H316" s="11"/>
      <c r="I316" s="11">
        <v>0.0</v>
      </c>
      <c r="J316" s="11">
        <v>0.0</v>
      </c>
      <c r="K316" s="6"/>
      <c r="L316" s="6"/>
      <c r="M316" s="11">
        <v>112.5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>
      <c r="A317" s="22" t="s">
        <v>175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>
      <c r="A318" s="22" t="s">
        <v>176</v>
      </c>
      <c r="B318" s="21"/>
      <c r="C318" s="21"/>
      <c r="D318" s="2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>
      <c r="A319" s="2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>
      <c r="A320" s="20" t="s">
        <v>177</v>
      </c>
      <c r="E320" s="6"/>
      <c r="F320" s="11">
        <v>0.0</v>
      </c>
      <c r="G320" s="11">
        <v>0.0</v>
      </c>
      <c r="H320" s="11"/>
      <c r="I320" s="11">
        <v>0.0</v>
      </c>
      <c r="J320" s="11">
        <v>0.0</v>
      </c>
      <c r="K320" s="6"/>
      <c r="L320" s="6"/>
      <c r="M320" s="11">
        <v>51.2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>
      <c r="A321" s="24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>
      <c r="A322" s="14" t="s">
        <v>22</v>
      </c>
      <c r="E322" s="6"/>
      <c r="F322" s="11">
        <v>2.0</v>
      </c>
      <c r="G322" s="11">
        <v>17.0</v>
      </c>
      <c r="H322" s="11"/>
      <c r="I322" s="11">
        <v>1.0</v>
      </c>
      <c r="J322" s="11">
        <v>3.0</v>
      </c>
      <c r="K322" s="6"/>
      <c r="L322" s="6"/>
      <c r="M322" s="11">
        <v>186.1</v>
      </c>
      <c r="N322" s="11" t="s">
        <v>20</v>
      </c>
      <c r="O322" s="6"/>
      <c r="P322" s="6"/>
      <c r="Q322" s="11">
        <v>1.0</v>
      </c>
      <c r="R322" s="11">
        <v>4.0</v>
      </c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>
      <c r="A323" s="14" t="s">
        <v>52</v>
      </c>
      <c r="B323" s="21"/>
      <c r="C323" s="21"/>
      <c r="D323" s="21"/>
      <c r="E323" s="6"/>
      <c r="F323" s="6"/>
      <c r="G323" s="6"/>
      <c r="H323" s="6"/>
      <c r="I323" s="6"/>
      <c r="J323" s="6"/>
      <c r="K323" s="6"/>
      <c r="L323" s="6"/>
      <c r="M323" s="6"/>
      <c r="N323" s="11" t="s">
        <v>178</v>
      </c>
      <c r="O323" s="6"/>
      <c r="P323" s="6"/>
      <c r="Q323" s="11">
        <v>6.0</v>
      </c>
      <c r="R323" s="11">
        <v>21.0</v>
      </c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>
      <c r="A324" s="14" t="s">
        <v>53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>
      <c r="A325" s="14" t="s">
        <v>54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>
      <c r="A326" s="19" t="s">
        <v>55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>
      <c r="A327" s="14" t="s">
        <v>56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>
      <c r="A328" s="14" t="s">
        <v>101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>
      <c r="A329" s="14" t="s">
        <v>102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>
      <c r="A330" s="14" t="s">
        <v>103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>
      <c r="A331" s="14" t="s">
        <v>104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>
      <c r="A332" s="14" t="s">
        <v>105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>
      <c r="A333" s="14" t="s">
        <v>106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>
      <c r="A334" s="14" t="s">
        <v>107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>
      <c r="A335" s="20" t="s">
        <v>179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>
      <c r="A336" s="20" t="s">
        <v>180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>
      <c r="A337" s="20" t="s">
        <v>181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>
      <c r="A338" s="20" t="s">
        <v>182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>
      <c r="A339" s="20" t="s">
        <v>183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>
      <c r="A340" s="20" t="s">
        <v>184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>
      <c r="A341" s="20" t="s">
        <v>185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>
      <c r="A342" s="20" t="s">
        <v>186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>
      <c r="A343" s="20" t="s">
        <v>187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>
      <c r="A344" s="20" t="s">
        <v>188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>
      <c r="A345" s="20" t="s">
        <v>189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>
      <c r="A346" s="24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>
      <c r="A347" s="14" t="s">
        <v>57</v>
      </c>
      <c r="B347" s="6"/>
      <c r="C347" s="6"/>
      <c r="D347" s="6"/>
      <c r="E347" s="6"/>
      <c r="F347" s="11">
        <v>1.0</v>
      </c>
      <c r="G347" s="11">
        <v>4.0</v>
      </c>
      <c r="H347" s="11"/>
      <c r="I347" s="11">
        <v>0.0</v>
      </c>
      <c r="J347" s="11">
        <v>0.0</v>
      </c>
      <c r="K347" s="6"/>
      <c r="L347" s="6"/>
      <c r="M347" s="11">
        <v>146.2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>
      <c r="A348" s="14" t="s">
        <v>108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>
      <c r="A349" s="14" t="s">
        <v>109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>
      <c r="A350" s="20" t="s">
        <v>190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>
      <c r="A351" s="20" t="s">
        <v>191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>
      <c r="A352" s="20" t="s">
        <v>192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>
      <c r="A353" s="20" t="s">
        <v>193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>
      <c r="A354" s="24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>
      <c r="A355" s="14" t="s">
        <v>58</v>
      </c>
      <c r="B355" s="6"/>
      <c r="C355" s="6"/>
      <c r="D355" s="6"/>
      <c r="E355" s="6"/>
      <c r="F355" s="11">
        <v>1.0</v>
      </c>
      <c r="G355" s="11">
        <v>2.0</v>
      </c>
      <c r="H355" s="11"/>
      <c r="I355" s="11">
        <v>0.0</v>
      </c>
      <c r="J355" s="11">
        <v>0.0</v>
      </c>
      <c r="K355" s="6"/>
      <c r="L355" s="6"/>
      <c r="M355" s="11">
        <v>128.8</v>
      </c>
      <c r="N355" s="11" t="s">
        <v>123</v>
      </c>
      <c r="O355" s="6"/>
      <c r="P355" s="6"/>
      <c r="Q355" s="11">
        <v>1.0</v>
      </c>
      <c r="R355" s="11">
        <v>2.0</v>
      </c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>
      <c r="A356" s="20" t="s">
        <v>194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>
      <c r="A357" s="20" t="s">
        <v>195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>
      <c r="A358" s="20" t="s">
        <v>196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>
      <c r="A359" s="20" t="s">
        <v>197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>
      <c r="A360" s="24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>
      <c r="A361" s="14" t="s">
        <v>59</v>
      </c>
      <c r="B361" s="6"/>
      <c r="C361" s="6"/>
      <c r="D361" s="6"/>
      <c r="E361" s="6"/>
      <c r="F361" s="11">
        <v>0.0</v>
      </c>
      <c r="G361" s="11">
        <v>0.0</v>
      </c>
      <c r="H361" s="11"/>
      <c r="I361" s="11">
        <v>0.0</v>
      </c>
      <c r="J361" s="11">
        <v>0.0</v>
      </c>
      <c r="K361" s="6"/>
      <c r="L361" s="6"/>
      <c r="M361" s="11">
        <v>136.2</v>
      </c>
      <c r="N361" s="11" t="s">
        <v>123</v>
      </c>
      <c r="O361" s="6"/>
      <c r="P361" s="6"/>
      <c r="Q361" s="11">
        <v>1.0</v>
      </c>
      <c r="R361" s="11">
        <v>2.0</v>
      </c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>
      <c r="A362" s="14" t="s">
        <v>110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>
      <c r="A363" s="20" t="s">
        <v>198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>
      <c r="A364" s="24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>
      <c r="A365" s="14" t="s">
        <v>60</v>
      </c>
      <c r="B365" s="6"/>
      <c r="C365" s="6"/>
      <c r="D365" s="6"/>
      <c r="E365" s="6"/>
      <c r="F365" s="11">
        <v>1.0</v>
      </c>
      <c r="G365" s="11">
        <v>2.0</v>
      </c>
      <c r="H365" s="11"/>
      <c r="I365" s="11">
        <v>0.0</v>
      </c>
      <c r="J365" s="11">
        <v>0.0</v>
      </c>
      <c r="K365" s="6"/>
      <c r="L365" s="6"/>
      <c r="M365" s="11">
        <v>141.3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>
      <c r="A366" s="14" t="s">
        <v>111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>
      <c r="A367" s="14" t="s">
        <v>112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>
      <c r="A368" s="20" t="s">
        <v>199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>
      <c r="A369" s="20" t="s">
        <v>200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>
      <c r="A370" s="20" t="s">
        <v>201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>
      <c r="A371" s="24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>
      <c r="A372" s="14" t="s">
        <v>61</v>
      </c>
      <c r="B372" s="6"/>
      <c r="C372" s="6"/>
      <c r="D372" s="6"/>
      <c r="E372" s="6"/>
      <c r="F372" s="11">
        <v>1.0</v>
      </c>
      <c r="G372" s="11">
        <v>1.0</v>
      </c>
      <c r="H372" s="11"/>
      <c r="I372" s="11">
        <v>0.0</v>
      </c>
      <c r="J372" s="11">
        <v>0.0</v>
      </c>
      <c r="K372" s="6"/>
      <c r="L372" s="6"/>
      <c r="M372" s="11">
        <v>133.1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>
      <c r="A373" s="14" t="s">
        <v>113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>
      <c r="A374" s="20" t="s">
        <v>202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>
      <c r="A375" s="20" t="s">
        <v>203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>
      <c r="A376" s="24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>
      <c r="A377" s="14" t="s">
        <v>62</v>
      </c>
      <c r="B377" s="6"/>
      <c r="C377" s="6"/>
      <c r="D377" s="6"/>
      <c r="E377" s="6"/>
      <c r="F377" s="11">
        <v>1.0</v>
      </c>
      <c r="G377" s="11">
        <v>2.0</v>
      </c>
      <c r="H377" s="11"/>
      <c r="I377" s="11">
        <v>0.0</v>
      </c>
      <c r="J377" s="11">
        <v>0.0</v>
      </c>
      <c r="K377" s="6"/>
      <c r="L377" s="6"/>
      <c r="M377" s="11">
        <v>164.0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>
      <c r="A378" s="14" t="s">
        <v>114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>
      <c r="A379" s="14" t="s">
        <v>115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>
      <c r="A380" s="14" t="s">
        <v>116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>
      <c r="A381" s="11" t="s">
        <v>204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>
      <c r="A382" s="11" t="s">
        <v>205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>
      <c r="A384" s="14" t="s">
        <v>117</v>
      </c>
      <c r="B384" s="6"/>
      <c r="C384" s="6"/>
      <c r="D384" s="6"/>
      <c r="E384" s="6"/>
      <c r="F384" s="11">
        <v>0.0</v>
      </c>
      <c r="G384" s="11">
        <v>0.0</v>
      </c>
      <c r="H384" s="11"/>
      <c r="I384" s="11">
        <v>0.0</v>
      </c>
      <c r="J384" s="11">
        <v>0.0</v>
      </c>
      <c r="K384" s="6"/>
      <c r="L384" s="6"/>
      <c r="M384" s="11">
        <v>126.7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>
      <c r="A385" s="20" t="s">
        <v>206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>
      <c r="A386" s="20" t="s">
        <v>207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>
      <c r="A387" s="21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>
      <c r="A388" s="14" t="s">
        <v>118</v>
      </c>
      <c r="B388" s="6"/>
      <c r="C388" s="6"/>
      <c r="D388" s="6"/>
      <c r="E388" s="6"/>
      <c r="F388" s="11">
        <v>0.0</v>
      </c>
      <c r="G388" s="11">
        <v>0.0</v>
      </c>
      <c r="H388" s="11"/>
      <c r="I388" s="11">
        <v>0.0</v>
      </c>
      <c r="J388" s="11">
        <v>0.0</v>
      </c>
      <c r="K388" s="6"/>
      <c r="L388" s="6"/>
      <c r="M388" s="11">
        <v>115.4</v>
      </c>
      <c r="N388" s="11" t="s">
        <v>20</v>
      </c>
      <c r="O388" s="6"/>
      <c r="P388" s="6"/>
      <c r="Q388" s="11">
        <v>1.0</v>
      </c>
      <c r="R388" s="11">
        <v>4.0</v>
      </c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>
      <c r="A389" s="20" t="s">
        <v>208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>
      <c r="A390" s="21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>
      <c r="A391" s="14" t="s">
        <v>119</v>
      </c>
      <c r="B391" s="6"/>
      <c r="C391" s="6"/>
      <c r="D391" s="6"/>
      <c r="E391" s="6"/>
      <c r="F391" s="11">
        <v>1.0</v>
      </c>
      <c r="G391" s="11">
        <v>2.0</v>
      </c>
      <c r="H391" s="11"/>
      <c r="I391" s="11">
        <v>0.0</v>
      </c>
      <c r="J391" s="11">
        <v>0.0</v>
      </c>
      <c r="K391" s="6"/>
      <c r="L391" s="6"/>
      <c r="M391" s="11">
        <v>144.6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>
      <c r="A392" s="14" t="s">
        <v>120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>
      <c r="A393" s="14" t="s">
        <v>121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>
      <c r="A394" s="20" t="s">
        <v>209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>
      <c r="A395" s="20" t="s">
        <v>210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>
      <c r="A396" s="20" t="s">
        <v>211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>
      <c r="A397" s="21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>
      <c r="A398" s="14" t="s">
        <v>122</v>
      </c>
      <c r="B398" s="6"/>
      <c r="C398" s="6"/>
      <c r="D398" s="6"/>
      <c r="E398" s="6"/>
      <c r="F398" s="11">
        <v>0.0</v>
      </c>
      <c r="G398" s="11">
        <v>0.0</v>
      </c>
      <c r="H398" s="11"/>
      <c r="I398" s="11">
        <v>0.0</v>
      </c>
      <c r="J398" s="11">
        <v>0.0</v>
      </c>
      <c r="K398" s="6"/>
      <c r="L398" s="6"/>
      <c r="M398" s="11">
        <v>123.2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>
      <c r="A399" s="14" t="s">
        <v>124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>
      <c r="A400" s="20" t="s">
        <v>212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>
      <c r="A401" s="2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>
      <c r="A402" s="14" t="s">
        <v>125</v>
      </c>
      <c r="B402" s="6"/>
      <c r="C402" s="6"/>
      <c r="D402" s="6"/>
      <c r="E402" s="6"/>
      <c r="F402" s="11">
        <v>1.0</v>
      </c>
      <c r="G402" s="11">
        <v>2.0</v>
      </c>
      <c r="H402" s="11"/>
      <c r="I402" s="11">
        <v>0.0</v>
      </c>
      <c r="J402" s="11">
        <v>0.0</v>
      </c>
      <c r="K402" s="6"/>
      <c r="L402" s="6"/>
      <c r="M402" s="11">
        <v>125.0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>
      <c r="A403" s="14" t="s">
        <v>126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>
      <c r="A404" s="20" t="s">
        <v>213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>
      <c r="A405" s="20" t="s">
        <v>214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>
      <c r="A406" s="20" t="s">
        <v>215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>
      <c r="A407" s="24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>
      <c r="A408" s="20" t="s">
        <v>216</v>
      </c>
      <c r="B408" s="6"/>
      <c r="C408" s="6"/>
      <c r="D408" s="6"/>
      <c r="E408" s="6"/>
      <c r="F408" s="11">
        <v>1.0</v>
      </c>
      <c r="G408" s="11">
        <v>1.0</v>
      </c>
      <c r="H408" s="11"/>
      <c r="I408" s="11">
        <v>0.0</v>
      </c>
      <c r="J408" s="11">
        <v>0.0</v>
      </c>
      <c r="K408" s="6"/>
      <c r="L408" s="6"/>
      <c r="M408" s="11">
        <v>149.9</v>
      </c>
      <c r="N408" s="11" t="s">
        <v>217</v>
      </c>
      <c r="O408" s="6"/>
      <c r="P408" s="6"/>
      <c r="Q408" s="11">
        <v>1.0</v>
      </c>
      <c r="R408" s="11">
        <v>1.0</v>
      </c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>
      <c r="A409" s="20" t="s">
        <v>218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>
      <c r="A410" s="20" t="s">
        <v>219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>
      <c r="A411" s="20" t="s">
        <v>220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>
      <c r="A412" s="24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>
      <c r="A413" s="20" t="s">
        <v>221</v>
      </c>
      <c r="B413" s="6"/>
      <c r="C413" s="6"/>
      <c r="D413" s="6"/>
      <c r="E413" s="6"/>
      <c r="F413" s="11">
        <v>0.0</v>
      </c>
      <c r="G413" s="11">
        <v>0.0</v>
      </c>
      <c r="H413" s="11"/>
      <c r="I413" s="11">
        <v>0.0</v>
      </c>
      <c r="J413" s="11">
        <v>0.0</v>
      </c>
      <c r="K413" s="6"/>
      <c r="L413" s="6"/>
      <c r="M413" s="11">
        <v>90.5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>
      <c r="A414" s="20" t="s">
        <v>222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>
      <c r="A415" s="24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>
      <c r="A416" s="20" t="s">
        <v>223</v>
      </c>
      <c r="B416" s="6"/>
      <c r="C416" s="6"/>
      <c r="D416" s="6"/>
      <c r="E416" s="6"/>
      <c r="F416" s="11">
        <v>0.0</v>
      </c>
      <c r="G416" s="11">
        <v>0.0</v>
      </c>
      <c r="H416" s="11"/>
      <c r="I416" s="11">
        <v>0.0</v>
      </c>
      <c r="J416" s="11">
        <v>0.0</v>
      </c>
      <c r="K416" s="6"/>
      <c r="L416" s="6"/>
      <c r="M416" s="11">
        <v>37.7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>
      <c r="A417" s="24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>
      <c r="A418" s="20" t="s">
        <v>224</v>
      </c>
      <c r="B418" s="6"/>
      <c r="C418" s="6"/>
      <c r="D418" s="6"/>
      <c r="E418" s="6"/>
      <c r="F418" s="11">
        <v>0.0</v>
      </c>
      <c r="G418" s="11">
        <v>0.0</v>
      </c>
      <c r="H418" s="11"/>
      <c r="I418" s="11">
        <v>0.0</v>
      </c>
      <c r="J418" s="11">
        <v>0.0</v>
      </c>
      <c r="K418" s="6"/>
      <c r="L418" s="6"/>
      <c r="M418" s="11">
        <v>51.6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>
      <c r="A419" s="20" t="s">
        <v>225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>
      <c r="A420" s="24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>
      <c r="A421" s="20" t="s">
        <v>226</v>
      </c>
      <c r="B421" s="6"/>
      <c r="C421" s="6"/>
      <c r="D421" s="6"/>
      <c r="E421" s="6"/>
      <c r="F421" s="11">
        <v>0.0</v>
      </c>
      <c r="G421" s="11">
        <v>0.0</v>
      </c>
      <c r="H421" s="11"/>
      <c r="I421" s="11">
        <v>0.0</v>
      </c>
      <c r="J421" s="11">
        <v>0.0</v>
      </c>
      <c r="K421" s="6"/>
      <c r="L421" s="6"/>
      <c r="M421" s="11">
        <v>55.2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>
      <c r="A422" s="24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>
      <c r="A423" s="12" t="s">
        <v>18</v>
      </c>
      <c r="B423" s="13"/>
      <c r="C423" s="13"/>
      <c r="D423" s="13">
        <v>45574.0</v>
      </c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>
      <c r="A424" s="14" t="s">
        <v>19</v>
      </c>
      <c r="B424" s="11">
        <f>31-13</f>
        <v>18</v>
      </c>
      <c r="C424" s="11">
        <v>13.0</v>
      </c>
      <c r="D424" s="6"/>
      <c r="E424" s="6"/>
      <c r="F424" s="11">
        <v>2.0</v>
      </c>
      <c r="G424" s="11">
        <v>20.0</v>
      </c>
      <c r="H424" s="11"/>
      <c r="I424" s="11">
        <v>1.0</v>
      </c>
      <c r="J424" s="11">
        <v>6.0</v>
      </c>
      <c r="K424" s="6"/>
      <c r="L424" s="6"/>
      <c r="M424" s="11">
        <v>190.5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>
      <c r="A425" s="14" t="s">
        <v>24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>
      <c r="A426" s="14" t="s">
        <v>25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>
      <c r="A427" s="14" t="s">
        <v>26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>
      <c r="A428" s="14" t="s">
        <v>27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>
      <c r="A429" s="14" t="s">
        <v>28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>
      <c r="A430" s="14" t="s">
        <v>29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>
      <c r="A431" s="14" t="s">
        <v>30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>
      <c r="A432" s="14" t="s">
        <v>31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>
      <c r="A433" s="14" t="s">
        <v>64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>
      <c r="A434" s="14" t="s">
        <v>65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>
      <c r="A435" s="14" t="s">
        <v>66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>
      <c r="A436" s="14" t="s">
        <v>67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>
      <c r="A437" s="27" t="s">
        <v>68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>
      <c r="A438" s="14" t="s">
        <v>69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>
      <c r="A439" s="14" t="s">
        <v>70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>
      <c r="A440" s="14" t="s">
        <v>71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>
      <c r="A441" s="14" t="s">
        <v>128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>
      <c r="A442" s="19" t="s">
        <v>129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>
      <c r="A443" s="19" t="s">
        <v>130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>
      <c r="A444" s="19" t="s">
        <v>131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>
      <c r="A445" s="19" t="s">
        <v>132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>
      <c r="A446" s="19" t="s">
        <v>133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>
      <c r="A447" s="19" t="s">
        <v>134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>
      <c r="A448" s="19" t="s">
        <v>135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>
      <c r="A449" s="22" t="s">
        <v>227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>
      <c r="A450" s="22" t="s">
        <v>228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>
      <c r="A451" s="22" t="s">
        <v>229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>
      <c r="A452" s="22" t="s">
        <v>230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>
      <c r="A453" s="22" t="s">
        <v>231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>
      <c r="A454" s="22" t="s">
        <v>232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>
      <c r="A455" s="23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>
      <c r="A456" s="14" t="s">
        <v>21</v>
      </c>
      <c r="B456" s="11">
        <f>25-7</f>
        <v>18</v>
      </c>
      <c r="C456" s="11">
        <v>7.0</v>
      </c>
      <c r="D456" s="6"/>
      <c r="E456" s="6"/>
      <c r="F456" s="11">
        <v>1.0</v>
      </c>
      <c r="G456" s="11">
        <v>13.0</v>
      </c>
      <c r="H456" s="11"/>
      <c r="I456" s="11">
        <v>1.0</v>
      </c>
      <c r="J456" s="11">
        <v>6.0</v>
      </c>
      <c r="K456" s="6"/>
      <c r="L456" s="6"/>
      <c r="M456" s="11">
        <v>195.8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>
      <c r="A457" s="14" t="s">
        <v>32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>
      <c r="A458" s="19" t="s">
        <v>33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>
      <c r="A459" s="14" t="s">
        <v>34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>
      <c r="A460" s="14" t="s">
        <v>35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>
      <c r="A461" s="14" t="s">
        <v>36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>
      <c r="A462" s="14" t="s">
        <v>72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>
      <c r="A463" s="14" t="s">
        <v>73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>
      <c r="A464" s="14" t="s">
        <v>74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>
      <c r="A465" s="14" t="s">
        <v>75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>
      <c r="A466" s="14" t="s">
        <v>76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>
      <c r="A467" s="14" t="s">
        <v>77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>
      <c r="A468" s="19" t="s">
        <v>136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>
      <c r="A469" s="19" t="s">
        <v>137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>
      <c r="A470" s="19" t="s">
        <v>138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>
      <c r="A471" s="19" t="s">
        <v>139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>
      <c r="A472" s="19" t="s">
        <v>140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>
      <c r="A473" s="19" t="s">
        <v>141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>
      <c r="A474" s="19" t="s">
        <v>142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>
      <c r="A475" s="19" t="s">
        <v>143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>
      <c r="A476" s="19" t="s">
        <v>144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>
      <c r="A477" s="22" t="s">
        <v>233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>
      <c r="A478" s="22" t="s">
        <v>234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>
      <c r="A479" s="22" t="s">
        <v>235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>
      <c r="A480" s="22" t="s">
        <v>236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>
      <c r="A481" s="23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>
      <c r="A482" s="14" t="s">
        <v>37</v>
      </c>
      <c r="B482" s="11">
        <v>5.0</v>
      </c>
      <c r="C482" s="11">
        <v>0.0</v>
      </c>
      <c r="D482" s="6"/>
      <c r="E482" s="6"/>
      <c r="F482" s="11">
        <v>0.0</v>
      </c>
      <c r="G482" s="11">
        <v>0.0</v>
      </c>
      <c r="H482" s="11"/>
      <c r="I482" s="11">
        <v>0.0</v>
      </c>
      <c r="J482" s="11">
        <v>0.0</v>
      </c>
      <c r="K482" s="6"/>
      <c r="L482" s="6"/>
      <c r="M482" s="11">
        <v>108.5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>
      <c r="A483" s="14" t="s">
        <v>38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>
      <c r="A484" s="14" t="s">
        <v>78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>
      <c r="A485" s="19" t="s">
        <v>145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>
      <c r="A486" s="22" t="s">
        <v>237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>
      <c r="A487" s="23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>
      <c r="A488" s="14" t="s">
        <v>39</v>
      </c>
      <c r="B488" s="11">
        <v>7.0</v>
      </c>
      <c r="C488" s="11">
        <v>0.0</v>
      </c>
      <c r="D488" s="6"/>
      <c r="E488" s="6"/>
      <c r="F488" s="11">
        <v>1.0</v>
      </c>
      <c r="G488" s="11">
        <v>3.0</v>
      </c>
      <c r="H488" s="11"/>
      <c r="I488" s="11">
        <v>0.0</v>
      </c>
      <c r="J488" s="11">
        <v>0.0</v>
      </c>
      <c r="K488" s="6"/>
      <c r="L488" s="6"/>
      <c r="M488" s="11">
        <v>131.1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>
      <c r="A489" s="14" t="s">
        <v>79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>
      <c r="A490" s="14" t="s">
        <v>80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>
      <c r="A491" s="19" t="s">
        <v>146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>
      <c r="A492" s="19" t="s">
        <v>147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>
      <c r="A493" s="19" t="s">
        <v>148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>
      <c r="A494" s="22" t="s">
        <v>238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>
      <c r="A495" s="23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>
      <c r="A496" s="14" t="s">
        <v>41</v>
      </c>
      <c r="B496" s="11">
        <v>4.0</v>
      </c>
      <c r="C496" s="11">
        <v>0.0</v>
      </c>
      <c r="D496" s="6"/>
      <c r="E496" s="6"/>
      <c r="F496" s="11">
        <v>0.0</v>
      </c>
      <c r="G496" s="11">
        <v>0.0</v>
      </c>
      <c r="H496" s="11"/>
      <c r="I496" s="11">
        <v>0.0</v>
      </c>
      <c r="J496" s="11">
        <v>0.0</v>
      </c>
      <c r="K496" s="6"/>
      <c r="L496" s="6"/>
      <c r="M496" s="11">
        <v>106.3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>
      <c r="A497" s="19" t="s">
        <v>149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>
      <c r="A498" s="19" t="s">
        <v>150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>
      <c r="A499" s="22" t="s">
        <v>239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>
      <c r="A500" s="23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>
      <c r="A501" s="14" t="s">
        <v>42</v>
      </c>
      <c r="B501" s="11">
        <v>10.0</v>
      </c>
      <c r="C501" s="11">
        <v>0.0</v>
      </c>
      <c r="D501" s="6"/>
      <c r="E501" s="6"/>
      <c r="F501" s="11">
        <v>1.0</v>
      </c>
      <c r="G501" s="11">
        <v>5.0</v>
      </c>
      <c r="H501" s="11"/>
      <c r="I501" s="11">
        <v>0.0</v>
      </c>
      <c r="J501" s="11">
        <v>0.0</v>
      </c>
      <c r="K501" s="6"/>
      <c r="L501" s="6"/>
      <c r="M501" s="11">
        <v>166.5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>
      <c r="A502" s="19" t="s">
        <v>81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>
      <c r="A503" s="19" t="s">
        <v>82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>
      <c r="A504" s="19" t="s">
        <v>83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>
      <c r="A505" s="19" t="s">
        <v>151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>
      <c r="A506" s="19" t="s">
        <v>152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>
      <c r="A507" s="19" t="s">
        <v>153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>
      <c r="A508" s="19" t="s">
        <v>154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>
      <c r="A509" s="22" t="s">
        <v>240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>
      <c r="A510" s="22" t="s">
        <v>241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>
      <c r="A511" s="23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>
      <c r="A512" s="14" t="s">
        <v>43</v>
      </c>
      <c r="B512" s="11">
        <v>8.0</v>
      </c>
      <c r="C512" s="11">
        <v>4.0</v>
      </c>
      <c r="D512" s="6"/>
      <c r="E512" s="6"/>
      <c r="F512" s="11">
        <v>1.0</v>
      </c>
      <c r="G512" s="11">
        <v>7.0</v>
      </c>
      <c r="H512" s="11"/>
      <c r="I512" s="11">
        <v>0.0</v>
      </c>
      <c r="J512" s="11">
        <v>0.0</v>
      </c>
      <c r="K512" s="6"/>
      <c r="L512" s="6"/>
      <c r="M512" s="11">
        <v>182.1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>
      <c r="A513" s="14" t="s">
        <v>44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>
      <c r="A514" s="14" t="s">
        <v>45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>
      <c r="A515" s="14" t="s">
        <v>84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>
      <c r="A516" s="14" t="s">
        <v>85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>
      <c r="A517" s="14" t="s">
        <v>86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>
      <c r="A518" s="19" t="s">
        <v>155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>
      <c r="A519" s="19" t="s">
        <v>156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>
      <c r="A520" s="19" t="s">
        <v>157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>
      <c r="A521" s="19" t="s">
        <v>158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>
      <c r="A522" s="19" t="s">
        <v>159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>
      <c r="A523" s="19" t="s">
        <v>160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>
      <c r="A524" s="23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>
      <c r="A525" s="14" t="s">
        <v>46</v>
      </c>
      <c r="B525" s="11">
        <v>10.0</v>
      </c>
      <c r="C525" s="11">
        <v>3.0</v>
      </c>
      <c r="D525" s="6"/>
      <c r="E525" s="6"/>
      <c r="F525" s="11">
        <v>1.0</v>
      </c>
      <c r="G525" s="11">
        <v>8.0</v>
      </c>
      <c r="H525" s="11"/>
      <c r="I525" s="11">
        <v>0.0</v>
      </c>
      <c r="J525" s="11">
        <v>0.0</v>
      </c>
      <c r="K525" s="6"/>
      <c r="L525" s="6"/>
      <c r="M525" s="11">
        <v>143.5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>
      <c r="A526" s="14" t="s">
        <v>87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>
      <c r="A527" s="14" t="s">
        <v>88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>
      <c r="A528" s="14" t="s">
        <v>89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>
      <c r="A529" s="14" t="s">
        <v>90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>
      <c r="A530" s="14" t="s">
        <v>91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>
      <c r="A531" s="19" t="s">
        <v>161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>
      <c r="A532" s="19" t="s">
        <v>162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>
      <c r="A533" s="19" t="s">
        <v>163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>
      <c r="A534" s="19" t="s">
        <v>164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>
      <c r="A535" s="22" t="s">
        <v>242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>
      <c r="A536" s="22" t="s">
        <v>243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>
      <c r="A537" s="22" t="s">
        <v>244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>
      <c r="A538" s="23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>
      <c r="A539" s="14" t="s">
        <v>47</v>
      </c>
      <c r="B539" s="11">
        <v>6.0</v>
      </c>
      <c r="C539" s="11">
        <v>0.0</v>
      </c>
      <c r="D539" s="6"/>
      <c r="E539" s="6"/>
      <c r="F539" s="11">
        <v>1.0</v>
      </c>
      <c r="G539" s="11">
        <v>2.0</v>
      </c>
      <c r="H539" s="11"/>
      <c r="I539" s="11">
        <v>0.0</v>
      </c>
      <c r="J539" s="11">
        <v>0.0</v>
      </c>
      <c r="K539" s="6"/>
      <c r="L539" s="6"/>
      <c r="M539" s="11">
        <v>147.7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>
      <c r="A540" s="14" t="s">
        <v>92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>
      <c r="A541" s="19" t="s">
        <v>165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>
      <c r="A542" s="19" t="s">
        <v>166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>
      <c r="A543" s="22" t="s">
        <v>245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>
      <c r="A544" s="22" t="s">
        <v>246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>
      <c r="A545" s="23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>
      <c r="A546" s="14" t="s">
        <v>48</v>
      </c>
      <c r="B546" s="11">
        <v>6.0</v>
      </c>
      <c r="C546" s="11">
        <v>0.0</v>
      </c>
      <c r="D546" s="6"/>
      <c r="E546" s="6"/>
      <c r="F546" s="11">
        <v>1.0</v>
      </c>
      <c r="G546" s="11">
        <v>2.0</v>
      </c>
      <c r="H546" s="11"/>
      <c r="I546" s="11">
        <v>0.0</v>
      </c>
      <c r="J546" s="11">
        <v>0.0</v>
      </c>
      <c r="K546" s="6"/>
      <c r="L546" s="6"/>
      <c r="M546" s="11">
        <v>151.4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>
      <c r="A547" s="19" t="s">
        <v>93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>
      <c r="A548" s="19" t="s">
        <v>167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>
      <c r="A549" s="19" t="s">
        <v>168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>
      <c r="A550" s="19" t="s">
        <v>169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>
      <c r="A551" s="19" t="s">
        <v>170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>
      <c r="A552" s="23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>
      <c r="A553" s="14" t="s">
        <v>49</v>
      </c>
      <c r="B553" s="11">
        <v>10.0</v>
      </c>
      <c r="C553" s="11">
        <v>4.0</v>
      </c>
      <c r="D553" s="6"/>
      <c r="E553" s="6"/>
      <c r="F553" s="11">
        <v>1.0</v>
      </c>
      <c r="G553" s="11">
        <v>9.0</v>
      </c>
      <c r="H553" s="11"/>
      <c r="I553" s="11">
        <v>0.0</v>
      </c>
      <c r="J553" s="11">
        <v>0.0</v>
      </c>
      <c r="K553" s="6"/>
      <c r="L553" s="6"/>
      <c r="M553" s="11">
        <v>172.1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>
      <c r="A554" s="14" t="s">
        <v>50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>
      <c r="A555" s="14" t="s">
        <v>94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>
      <c r="A556" s="14" t="s">
        <v>95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>
      <c r="A557" s="14" t="s">
        <v>96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>
      <c r="A558" s="14" t="s">
        <v>97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>
      <c r="A559" s="19" t="s">
        <v>171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>
      <c r="A560" s="19" t="s">
        <v>172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>
      <c r="A561" s="19" t="s">
        <v>173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>
      <c r="A562" s="19" t="s">
        <v>174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>
      <c r="A563" s="22" t="s">
        <v>247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>
      <c r="A564" s="22" t="s">
        <v>248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>
      <c r="A565" s="22" t="s">
        <v>249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>
      <c r="A566" s="22" t="s">
        <v>250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>
      <c r="A567" s="23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>
      <c r="A568" s="14" t="s">
        <v>98</v>
      </c>
      <c r="B568" s="11">
        <v>4.0</v>
      </c>
      <c r="C568" s="11">
        <v>0.0</v>
      </c>
      <c r="D568" s="6"/>
      <c r="E568" s="6"/>
      <c r="F568" s="11">
        <v>0.0</v>
      </c>
      <c r="G568" s="11">
        <v>0.0</v>
      </c>
      <c r="H568" s="11"/>
      <c r="I568" s="11">
        <v>0.0</v>
      </c>
      <c r="J568" s="11">
        <v>0.0</v>
      </c>
      <c r="K568" s="6"/>
      <c r="L568" s="6"/>
      <c r="M568" s="11">
        <v>131.5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>
      <c r="A569" s="19" t="s">
        <v>175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>
      <c r="A570" s="19" t="s">
        <v>176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>
      <c r="A571" s="20" t="s">
        <v>251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>
      <c r="A572" s="21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>
      <c r="A573" s="14" t="s">
        <v>177</v>
      </c>
      <c r="B573" s="11">
        <v>2.0</v>
      </c>
      <c r="C573" s="11">
        <v>0.0</v>
      </c>
      <c r="D573" s="6"/>
      <c r="E573" s="6"/>
      <c r="F573" s="11">
        <v>0.0</v>
      </c>
      <c r="G573" s="11">
        <v>0.0</v>
      </c>
      <c r="H573" s="11"/>
      <c r="I573" s="11">
        <v>0.0</v>
      </c>
      <c r="J573" s="11">
        <v>0.0</v>
      </c>
      <c r="K573" s="6"/>
      <c r="L573" s="6"/>
      <c r="M573" s="11">
        <v>62.8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>
      <c r="A574" s="20" t="s">
        <v>252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>
      <c r="A575" s="24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>
      <c r="A576" s="20" t="s">
        <v>253</v>
      </c>
      <c r="B576" s="11">
        <v>6.0</v>
      </c>
      <c r="C576" s="11">
        <v>0.0</v>
      </c>
      <c r="D576" s="6"/>
      <c r="E576" s="6"/>
      <c r="F576" s="11">
        <v>1.0</v>
      </c>
      <c r="G576" s="11">
        <v>2.0</v>
      </c>
      <c r="H576" s="11"/>
      <c r="I576" s="11">
        <v>0.0</v>
      </c>
      <c r="J576" s="11">
        <v>0.0</v>
      </c>
      <c r="K576" s="6"/>
      <c r="L576" s="6"/>
      <c r="M576" s="11">
        <v>140.8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>
      <c r="A577" s="20" t="s">
        <v>254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>
      <c r="A578" s="20" t="s">
        <v>255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>
      <c r="A579" s="20" t="s">
        <v>256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>
      <c r="A580" s="20" t="s">
        <v>257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>
      <c r="A581" s="11" t="s">
        <v>258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>
      <c r="A583" s="14" t="s">
        <v>22</v>
      </c>
      <c r="B583" s="11">
        <f>32-13</f>
        <v>19</v>
      </c>
      <c r="C583" s="11">
        <v>13.0</v>
      </c>
      <c r="D583" s="6"/>
      <c r="E583" s="6"/>
      <c r="F583" s="11">
        <v>2.0</v>
      </c>
      <c r="G583" s="11">
        <v>21.0</v>
      </c>
      <c r="H583" s="11"/>
      <c r="I583" s="11">
        <v>1.0</v>
      </c>
      <c r="J583" s="11">
        <v>6.0</v>
      </c>
      <c r="K583" s="6"/>
      <c r="L583" s="6"/>
      <c r="M583" s="11">
        <v>188.7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>
      <c r="A584" s="14" t="s">
        <v>52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>
      <c r="A585" s="14" t="s">
        <v>53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>
      <c r="A586" s="14" t="s">
        <v>54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>
      <c r="A587" s="19" t="s">
        <v>55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>
      <c r="A588" s="14" t="s">
        <v>56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>
      <c r="A589" s="14" t="s">
        <v>101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>
      <c r="A590" s="14" t="s">
        <v>102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>
      <c r="A591" s="14" t="s">
        <v>103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>
      <c r="A592" s="14" t="s">
        <v>104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>
      <c r="A593" s="14" t="s">
        <v>105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>
      <c r="A594" s="14" t="s">
        <v>106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>
      <c r="A595" s="14" t="s">
        <v>107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>
      <c r="A596" s="14" t="s">
        <v>179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>
      <c r="A597" s="14" t="s">
        <v>180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>
      <c r="A598" s="14" t="s">
        <v>181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>
      <c r="A599" s="14" t="s">
        <v>182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>
      <c r="A600" s="14" t="s">
        <v>183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>
      <c r="A601" s="14" t="s">
        <v>184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>
      <c r="A602" s="14" t="s">
        <v>185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>
      <c r="A603" s="14" t="s">
        <v>186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>
      <c r="A604" s="14" t="s">
        <v>187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>
      <c r="A605" s="14" t="s">
        <v>188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>
      <c r="A606" s="14" t="s">
        <v>189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>
      <c r="A607" s="20" t="s">
        <v>259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>
      <c r="A608" s="20" t="s">
        <v>260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>
      <c r="A609" s="20" t="s">
        <v>261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>
      <c r="A610" s="20" t="s">
        <v>184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>
      <c r="A611" s="20" t="s">
        <v>262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>
      <c r="A612" s="20" t="s">
        <v>263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>
      <c r="A613" s="20" t="s">
        <v>264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>
      <c r="A614" s="20" t="s">
        <v>265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>
      <c r="A615" s="24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>
      <c r="A616" s="14" t="s">
        <v>57</v>
      </c>
      <c r="B616" s="11">
        <v>3.0</v>
      </c>
      <c r="C616" s="11">
        <v>6.0</v>
      </c>
      <c r="D616" s="6"/>
      <c r="E616" s="6"/>
      <c r="F616" s="11">
        <v>1.0</v>
      </c>
      <c r="G616" s="11">
        <v>5.0</v>
      </c>
      <c r="H616" s="11"/>
      <c r="I616" s="11">
        <v>0.0</v>
      </c>
      <c r="J616" s="11">
        <v>0.0</v>
      </c>
      <c r="K616" s="6"/>
      <c r="L616" s="6"/>
      <c r="M616" s="11">
        <v>169.2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>
      <c r="A617" s="14" t="s">
        <v>108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>
      <c r="A618" s="14" t="s">
        <v>109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>
      <c r="A619" s="14" t="s">
        <v>190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>
      <c r="A620" s="14" t="s">
        <v>191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>
      <c r="A621" s="14" t="s">
        <v>192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>
      <c r="A622" s="14" t="s">
        <v>193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>
      <c r="A623" s="20" t="s">
        <v>266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>
      <c r="A624" s="20" t="s">
        <v>267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>
      <c r="A625" s="21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>
      <c r="A626" s="14" t="s">
        <v>58</v>
      </c>
      <c r="B626" s="11">
        <v>6.0</v>
      </c>
      <c r="C626" s="11">
        <v>0.0</v>
      </c>
      <c r="D626" s="6"/>
      <c r="E626" s="6"/>
      <c r="F626" s="11">
        <v>1.0</v>
      </c>
      <c r="G626" s="11">
        <v>2.0</v>
      </c>
      <c r="H626" s="11"/>
      <c r="I626" s="11">
        <v>0.0</v>
      </c>
      <c r="J626" s="11">
        <v>0.0</v>
      </c>
      <c r="K626" s="6"/>
      <c r="L626" s="6"/>
      <c r="M626" s="11">
        <v>142.0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>
      <c r="A627" s="14" t="s">
        <v>194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>
      <c r="A628" s="14" t="s">
        <v>195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>
      <c r="A629" s="14" t="s">
        <v>196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>
      <c r="A630" s="14" t="s">
        <v>197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>
      <c r="A631" s="20" t="s">
        <v>268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>
      <c r="A632" s="2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>
      <c r="A633" s="14" t="s">
        <v>59</v>
      </c>
      <c r="B633" s="11">
        <v>4.0</v>
      </c>
      <c r="C633" s="11">
        <v>0.0</v>
      </c>
      <c r="D633" s="6"/>
      <c r="E633" s="6"/>
      <c r="F633" s="11">
        <v>0.0</v>
      </c>
      <c r="G633" s="11">
        <v>0.0</v>
      </c>
      <c r="H633" s="11"/>
      <c r="I633" s="11">
        <v>0.0</v>
      </c>
      <c r="J633" s="11">
        <v>0.0</v>
      </c>
      <c r="K633" s="6"/>
      <c r="L633" s="6"/>
      <c r="M633" s="11">
        <v>152.6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>
      <c r="A634" s="14" t="s">
        <v>110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>
      <c r="A635" s="14" t="s">
        <v>198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>
      <c r="A636" s="20" t="s">
        <v>269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>
      <c r="A637" s="21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>
      <c r="A638" s="14" t="s">
        <v>60</v>
      </c>
      <c r="B638" s="11">
        <v>8.0</v>
      </c>
      <c r="C638" s="11">
        <v>0.0</v>
      </c>
      <c r="D638" s="6"/>
      <c r="E638" s="6"/>
      <c r="F638" s="11">
        <v>1.0</v>
      </c>
      <c r="G638" s="11">
        <v>3.0</v>
      </c>
      <c r="H638" s="11"/>
      <c r="I638" s="11">
        <v>0.0</v>
      </c>
      <c r="J638" s="11">
        <v>0.0</v>
      </c>
      <c r="K638" s="6"/>
      <c r="L638" s="6"/>
      <c r="M638" s="11">
        <v>155.5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>
      <c r="A639" s="14" t="s">
        <v>111</v>
      </c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>
      <c r="A640" s="14" t="s">
        <v>112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>
      <c r="A641" s="14" t="s">
        <v>199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>
      <c r="A642" s="14" t="s">
        <v>200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>
      <c r="A643" s="14" t="s">
        <v>201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>
      <c r="A644" s="20" t="s">
        <v>270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>
      <c r="A645" s="20" t="s">
        <v>271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>
      <c r="A646" s="2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>
      <c r="A647" s="14" t="s">
        <v>61</v>
      </c>
      <c r="B647" s="11">
        <v>6.0</v>
      </c>
      <c r="C647" s="11">
        <v>0.0</v>
      </c>
      <c r="D647" s="6"/>
      <c r="E647" s="6"/>
      <c r="F647" s="11">
        <v>1.0</v>
      </c>
      <c r="G647" s="11">
        <v>2.0</v>
      </c>
      <c r="H647" s="11"/>
      <c r="I647" s="11">
        <v>0.0</v>
      </c>
      <c r="J647" s="11">
        <v>0.0</v>
      </c>
      <c r="K647" s="6"/>
      <c r="L647" s="6"/>
      <c r="M647" s="11">
        <v>151.2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>
      <c r="A648" s="14" t="s">
        <v>113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>
      <c r="A649" s="14" t="s">
        <v>202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>
      <c r="A650" s="14" t="s">
        <v>203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>
      <c r="A651" s="20" t="s">
        <v>272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>
      <c r="A652" s="20" t="s">
        <v>273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>
      <c r="A653" s="21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>
      <c r="A654" s="14" t="s">
        <v>62</v>
      </c>
      <c r="B654" s="11">
        <v>8.0</v>
      </c>
      <c r="C654" s="11">
        <v>0.0</v>
      </c>
      <c r="D654" s="6"/>
      <c r="E654" s="6"/>
      <c r="F654" s="11">
        <v>1.0</v>
      </c>
      <c r="G654" s="11">
        <v>3.0</v>
      </c>
      <c r="H654" s="11"/>
      <c r="I654" s="11">
        <v>0.0</v>
      </c>
      <c r="J654" s="11">
        <v>0.0</v>
      </c>
      <c r="K654" s="6"/>
      <c r="L654" s="6"/>
      <c r="M654" s="11">
        <v>174.9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>
      <c r="A655" s="14" t="s">
        <v>114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>
      <c r="A656" s="14" t="s">
        <v>115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>
      <c r="A657" s="14" t="s">
        <v>116</v>
      </c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>
      <c r="A658" s="14" t="s">
        <v>204</v>
      </c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>
      <c r="A659" s="14" t="s">
        <v>205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>
      <c r="A660" s="20" t="s">
        <v>274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>
      <c r="A661" s="20" t="s">
        <v>275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>
      <c r="A662" s="21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>
      <c r="A663" s="14" t="s">
        <v>117</v>
      </c>
      <c r="B663" s="11">
        <v>4.0</v>
      </c>
      <c r="C663" s="11">
        <v>0.0</v>
      </c>
      <c r="D663" s="6"/>
      <c r="E663" s="6"/>
      <c r="F663" s="11">
        <v>0.0</v>
      </c>
      <c r="G663" s="11">
        <v>0.0</v>
      </c>
      <c r="H663" s="11"/>
      <c r="I663" s="11">
        <v>0.0</v>
      </c>
      <c r="J663" s="11">
        <v>0.0</v>
      </c>
      <c r="K663" s="6"/>
      <c r="L663" s="6"/>
      <c r="M663" s="11">
        <v>146.2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>
      <c r="A664" s="14" t="s">
        <v>206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>
      <c r="A665" s="14" t="s">
        <v>207</v>
      </c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>
      <c r="A666" s="20" t="s">
        <v>276</v>
      </c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>
      <c r="A667" s="21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>
      <c r="A668" s="14" t="s">
        <v>118</v>
      </c>
      <c r="B668" s="11">
        <v>3.0</v>
      </c>
      <c r="C668" s="11">
        <v>0.0</v>
      </c>
      <c r="D668" s="6"/>
      <c r="E668" s="6"/>
      <c r="F668" s="11">
        <v>0.0</v>
      </c>
      <c r="G668" s="11">
        <v>0.0</v>
      </c>
      <c r="H668" s="11"/>
      <c r="I668" s="11">
        <v>0.0</v>
      </c>
      <c r="J668" s="11">
        <v>0.0</v>
      </c>
      <c r="K668" s="6"/>
      <c r="L668" s="6"/>
      <c r="M668" s="11">
        <v>127.3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>
      <c r="A669" s="14" t="s">
        <v>208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>
      <c r="A670" s="20" t="s">
        <v>277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>
      <c r="A671" s="21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>
      <c r="A672" s="14" t="s">
        <v>119</v>
      </c>
      <c r="B672" s="11">
        <v>8.0</v>
      </c>
      <c r="C672" s="11">
        <v>0.0</v>
      </c>
      <c r="D672" s="6"/>
      <c r="E672" s="6"/>
      <c r="F672" s="11">
        <v>1.0</v>
      </c>
      <c r="G672" s="11">
        <v>3.0</v>
      </c>
      <c r="H672" s="11"/>
      <c r="I672" s="11">
        <v>0.0</v>
      </c>
      <c r="J672" s="11">
        <v>0.0</v>
      </c>
      <c r="K672" s="6"/>
      <c r="L672" s="6"/>
      <c r="M672" s="11">
        <v>162.3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>
      <c r="A673" s="14" t="s">
        <v>120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>
      <c r="A674" s="14" t="s">
        <v>121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>
      <c r="A675" s="14" t="s">
        <v>209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>
      <c r="A676" s="14" t="s">
        <v>210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>
      <c r="A677" s="14" t="s">
        <v>211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>
      <c r="A678" s="20" t="s">
        <v>278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>
      <c r="A679" s="20" t="s">
        <v>279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>
      <c r="A680" s="21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>
      <c r="A681" s="14" t="s">
        <v>122</v>
      </c>
      <c r="B681" s="11">
        <v>4.0</v>
      </c>
      <c r="C681" s="11">
        <v>0.0</v>
      </c>
      <c r="D681" s="6"/>
      <c r="E681" s="6"/>
      <c r="F681" s="11">
        <v>0.0</v>
      </c>
      <c r="G681" s="11">
        <v>0.0</v>
      </c>
      <c r="H681" s="11"/>
      <c r="I681" s="11">
        <v>0.0</v>
      </c>
      <c r="J681" s="11">
        <v>0.0</v>
      </c>
      <c r="K681" s="6"/>
      <c r="L681" s="6"/>
      <c r="M681" s="11">
        <v>137.0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>
      <c r="A682" s="14" t="s">
        <v>124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>
      <c r="A683" s="14" t="s">
        <v>212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>
      <c r="A684" s="20" t="s">
        <v>280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>
      <c r="A685" s="21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>
      <c r="A686" s="14" t="s">
        <v>125</v>
      </c>
      <c r="B686" s="11">
        <v>7.0</v>
      </c>
      <c r="C686" s="11">
        <v>1.0</v>
      </c>
      <c r="D686" s="6"/>
      <c r="E686" s="6"/>
      <c r="F686" s="11">
        <v>1.0</v>
      </c>
      <c r="G686" s="11">
        <v>4.0</v>
      </c>
      <c r="H686" s="11"/>
      <c r="I686" s="11">
        <v>0.0</v>
      </c>
      <c r="J686" s="11">
        <v>0.0</v>
      </c>
      <c r="K686" s="6"/>
      <c r="L686" s="6"/>
      <c r="M686" s="11">
        <v>143.5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>
      <c r="A687" s="14" t="s">
        <v>126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>
      <c r="A688" s="14" t="s">
        <v>213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>
      <c r="A689" s="14" t="s">
        <v>214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>
      <c r="A690" s="14" t="s">
        <v>215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>
      <c r="A691" s="20" t="s">
        <v>281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>
      <c r="A692" s="20" t="s">
        <v>282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>
      <c r="A693" s="20" t="s">
        <v>283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>
      <c r="A694" s="21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>
      <c r="A695" s="14" t="s">
        <v>216</v>
      </c>
      <c r="B695" s="11">
        <v>4.0</v>
      </c>
      <c r="C695" s="11">
        <v>0.0</v>
      </c>
      <c r="D695" s="6"/>
      <c r="E695" s="6"/>
      <c r="F695" s="11">
        <v>1.0</v>
      </c>
      <c r="G695" s="11">
        <v>1.0</v>
      </c>
      <c r="H695" s="11"/>
      <c r="I695" s="11">
        <v>0.0</v>
      </c>
      <c r="J695" s="11">
        <v>0.0</v>
      </c>
      <c r="K695" s="6"/>
      <c r="L695" s="6"/>
      <c r="M695" s="11">
        <v>125.6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>
      <c r="A696" s="14" t="s">
        <v>218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>
      <c r="A697" s="14" t="s">
        <v>219</v>
      </c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>
      <c r="A698" s="14" t="s">
        <v>220</v>
      </c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>
      <c r="A699" s="21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>
      <c r="A700" s="14" t="s">
        <v>221</v>
      </c>
      <c r="B700" s="11">
        <v>3.0</v>
      </c>
      <c r="C700" s="11">
        <v>0.0</v>
      </c>
      <c r="D700" s="6"/>
      <c r="E700" s="6"/>
      <c r="F700" s="11">
        <v>0.0</v>
      </c>
      <c r="G700" s="11">
        <v>0.0</v>
      </c>
      <c r="H700" s="11"/>
      <c r="I700" s="11">
        <v>0.0</v>
      </c>
      <c r="J700" s="11">
        <v>0.0</v>
      </c>
      <c r="K700" s="6"/>
      <c r="L700" s="6"/>
      <c r="M700" s="11">
        <v>107.8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>
      <c r="A701" s="14" t="s">
        <v>222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>
      <c r="A702" s="20" t="s">
        <v>284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>
      <c r="A703" s="21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>
      <c r="A704" s="14" t="s">
        <v>223</v>
      </c>
      <c r="B704" s="11">
        <v>2.0</v>
      </c>
      <c r="C704" s="11">
        <v>0.0</v>
      </c>
      <c r="D704" s="6"/>
      <c r="E704" s="6"/>
      <c r="F704" s="11">
        <v>0.0</v>
      </c>
      <c r="G704" s="11">
        <v>0.0</v>
      </c>
      <c r="H704" s="11"/>
      <c r="I704" s="11">
        <v>0.0</v>
      </c>
      <c r="J704" s="11">
        <v>0.0</v>
      </c>
      <c r="K704" s="6"/>
      <c r="L704" s="6"/>
      <c r="M704" s="11">
        <v>60.7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>
      <c r="A705" s="20" t="s">
        <v>285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>
      <c r="A706" s="21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>
      <c r="A707" s="14" t="s">
        <v>224</v>
      </c>
      <c r="B707" s="11">
        <v>2.0</v>
      </c>
      <c r="C707" s="11">
        <v>0.0</v>
      </c>
      <c r="D707" s="6"/>
      <c r="E707" s="6"/>
      <c r="F707" s="11">
        <v>0.0</v>
      </c>
      <c r="G707" s="11">
        <v>0.0</v>
      </c>
      <c r="H707" s="11"/>
      <c r="I707" s="11">
        <v>0.0</v>
      </c>
      <c r="J707" s="11">
        <v>0.0</v>
      </c>
      <c r="K707" s="6"/>
      <c r="L707" s="6"/>
      <c r="M707" s="6"/>
      <c r="N707" s="11" t="s">
        <v>286</v>
      </c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>
      <c r="A708" s="14" t="s">
        <v>225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>
      <c r="A709" s="21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>
      <c r="A710" s="14" t="s">
        <v>226</v>
      </c>
      <c r="B710" s="11">
        <v>0.0</v>
      </c>
      <c r="C710" s="11">
        <v>2.0</v>
      </c>
      <c r="D710" s="6"/>
      <c r="E710" s="6"/>
      <c r="F710" s="11">
        <v>0.0</v>
      </c>
      <c r="G710" s="11">
        <v>0.0</v>
      </c>
      <c r="H710" s="11"/>
      <c r="I710" s="11">
        <v>0.0</v>
      </c>
      <c r="J710" s="11">
        <v>0.0</v>
      </c>
      <c r="K710" s="6"/>
      <c r="L710" s="6"/>
      <c r="M710" s="11">
        <v>63.1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>
      <c r="A711" s="20" t="s">
        <v>287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>
      <c r="A712" s="24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>
      <c r="A713" s="20" t="s">
        <v>288</v>
      </c>
      <c r="B713" s="11">
        <v>2.0</v>
      </c>
      <c r="C713" s="11">
        <v>0.0</v>
      </c>
      <c r="D713" s="6"/>
      <c r="E713" s="6"/>
      <c r="F713" s="11">
        <v>0.0</v>
      </c>
      <c r="G713" s="11">
        <v>0.0</v>
      </c>
      <c r="H713" s="11"/>
      <c r="I713" s="11">
        <v>0.0</v>
      </c>
      <c r="J713" s="11">
        <v>0.0</v>
      </c>
      <c r="K713" s="6"/>
      <c r="L713" s="6"/>
      <c r="M713" s="11">
        <v>64.0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>
      <c r="A714" s="20" t="s">
        <v>289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>
      <c r="A715" s="24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>
      <c r="A716" s="24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>
      <c r="A717" s="24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88"/>
  </cols>
  <sheetData>
    <row r="1">
      <c r="A1" s="1" t="s">
        <v>0</v>
      </c>
      <c r="B1" s="29" t="s">
        <v>290</v>
      </c>
      <c r="C1" s="2" t="s">
        <v>291</v>
      </c>
      <c r="D1" s="1" t="s">
        <v>292</v>
      </c>
      <c r="E1" s="1" t="s">
        <v>6</v>
      </c>
      <c r="F1" s="1" t="s">
        <v>8</v>
      </c>
      <c r="G1" s="1" t="s">
        <v>9</v>
      </c>
      <c r="H1" s="3" t="s">
        <v>11</v>
      </c>
      <c r="I1" s="5" t="s">
        <v>12</v>
      </c>
      <c r="J1" s="5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10">
        <f t="shared" ref="K2:N2" si="1">SUM(K4:K546)</f>
        <v>17</v>
      </c>
      <c r="L2" s="10">
        <f t="shared" si="1"/>
        <v>52</v>
      </c>
      <c r="M2" s="10">
        <f t="shared" si="1"/>
        <v>5</v>
      </c>
      <c r="N2" s="10">
        <f t="shared" si="1"/>
        <v>19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45508.0</v>
      </c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19</v>
      </c>
      <c r="B4" s="11">
        <v>25.6</v>
      </c>
      <c r="C4" s="11">
        <v>18.1</v>
      </c>
      <c r="D4" s="11">
        <v>0.0</v>
      </c>
      <c r="E4" s="11">
        <v>0.0</v>
      </c>
      <c r="F4" s="11">
        <v>0.0</v>
      </c>
      <c r="G4" s="11">
        <v>0.0</v>
      </c>
      <c r="I4" s="11">
        <v>47.1</v>
      </c>
      <c r="J4" s="11" t="s">
        <v>293</v>
      </c>
      <c r="K4" s="11">
        <v>5.0</v>
      </c>
      <c r="L4" s="11">
        <v>13.0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294</v>
      </c>
      <c r="B6" s="6"/>
      <c r="C6" s="6"/>
      <c r="D6" s="11">
        <v>0.0</v>
      </c>
      <c r="E6" s="11">
        <v>0.0</v>
      </c>
      <c r="F6" s="11">
        <v>0.0</v>
      </c>
      <c r="G6" s="11">
        <v>0.0</v>
      </c>
      <c r="I6" s="6"/>
      <c r="J6" s="11" t="s">
        <v>40</v>
      </c>
      <c r="K6" s="6"/>
      <c r="L6" s="6"/>
      <c r="M6" s="11">
        <v>2.0</v>
      </c>
      <c r="N6" s="11">
        <v>10.0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2" t="s">
        <v>18</v>
      </c>
      <c r="B8" s="13">
        <v>45532.0</v>
      </c>
      <c r="C8" s="9"/>
      <c r="D8" s="9"/>
      <c r="E8" s="9"/>
      <c r="F8" s="9"/>
      <c r="G8" s="9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4" t="s">
        <v>19</v>
      </c>
      <c r="B9" s="6"/>
      <c r="C9" s="6"/>
      <c r="D9" s="11">
        <v>0.0</v>
      </c>
      <c r="E9" s="11">
        <v>0.0</v>
      </c>
      <c r="F9" s="11">
        <v>0.0</v>
      </c>
      <c r="G9" s="11">
        <v>0.0</v>
      </c>
      <c r="H9" s="11">
        <v>9.0</v>
      </c>
      <c r="I9" s="11">
        <v>138.2</v>
      </c>
      <c r="J9" s="11" t="s">
        <v>295</v>
      </c>
      <c r="K9" s="11">
        <v>5.0</v>
      </c>
      <c r="L9" s="11">
        <v>11.0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24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25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21</v>
      </c>
      <c r="B13" s="6"/>
      <c r="C13" s="6"/>
      <c r="D13" s="11">
        <v>0.0</v>
      </c>
      <c r="E13" s="11">
        <v>0.0</v>
      </c>
      <c r="F13" s="11">
        <v>0.0</v>
      </c>
      <c r="G13" s="11">
        <v>0.0</v>
      </c>
      <c r="H13" s="6"/>
      <c r="I13" s="11">
        <v>64.6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37</v>
      </c>
      <c r="B15" s="6"/>
      <c r="C15" s="6"/>
      <c r="D15" s="11">
        <v>0.0</v>
      </c>
      <c r="E15" s="11">
        <v>0.0</v>
      </c>
      <c r="F15" s="11">
        <v>0.0</v>
      </c>
      <c r="G15" s="11">
        <v>0.0</v>
      </c>
      <c r="H15" s="6"/>
      <c r="I15" s="11">
        <v>68.5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39</v>
      </c>
      <c r="B17" s="6"/>
      <c r="C17" s="6"/>
      <c r="D17" s="11">
        <v>0.0</v>
      </c>
      <c r="E17" s="11">
        <v>0.0</v>
      </c>
      <c r="F17" s="11">
        <v>0.0</v>
      </c>
      <c r="G17" s="11">
        <v>0.0</v>
      </c>
      <c r="H17" s="6"/>
      <c r="I17" s="11">
        <v>93.4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41</v>
      </c>
      <c r="B20" s="6"/>
      <c r="C20" s="6"/>
      <c r="D20" s="11">
        <v>0.0</v>
      </c>
      <c r="E20" s="11">
        <v>0.0</v>
      </c>
      <c r="F20" s="11">
        <v>0.0</v>
      </c>
      <c r="G20" s="11">
        <v>0.0</v>
      </c>
      <c r="H20" s="6"/>
      <c r="I20" s="11">
        <v>141.6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149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150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1" t="s">
        <v>42</v>
      </c>
      <c r="B24" s="6"/>
      <c r="C24" s="6"/>
      <c r="D24" s="11">
        <v>0.0</v>
      </c>
      <c r="E24" s="11">
        <v>0.0</v>
      </c>
      <c r="F24" s="11">
        <v>0.0</v>
      </c>
      <c r="G24" s="11">
        <v>0.0</v>
      </c>
      <c r="H24" s="6"/>
      <c r="I24" s="11">
        <v>119.9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81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43</v>
      </c>
      <c r="B27" s="6"/>
      <c r="C27" s="6"/>
      <c r="D27" s="11">
        <v>0.0</v>
      </c>
      <c r="E27" s="11">
        <v>0.0</v>
      </c>
      <c r="F27" s="11">
        <v>0.0</v>
      </c>
      <c r="G27" s="11">
        <v>0.0</v>
      </c>
      <c r="H27" s="6"/>
      <c r="I27" s="11">
        <v>120.5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44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22</v>
      </c>
      <c r="B30" s="6"/>
      <c r="C30" s="6"/>
      <c r="D30" s="11">
        <v>0.0</v>
      </c>
      <c r="E30" s="11">
        <v>0.0</v>
      </c>
      <c r="F30" s="11">
        <v>0.0</v>
      </c>
      <c r="G30" s="11">
        <v>0.0</v>
      </c>
      <c r="H30" s="11">
        <v>14.0</v>
      </c>
      <c r="I30" s="11">
        <v>78.3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296</v>
      </c>
      <c r="B32" s="6"/>
      <c r="C32" s="6"/>
      <c r="D32" s="11">
        <v>0.0</v>
      </c>
      <c r="E32" s="11">
        <v>0.0</v>
      </c>
      <c r="F32" s="11">
        <v>0.0</v>
      </c>
      <c r="G32" s="11">
        <v>0.0</v>
      </c>
      <c r="H32" s="6"/>
      <c r="I32" s="11">
        <v>76.5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58</v>
      </c>
      <c r="B34" s="6"/>
      <c r="C34" s="6"/>
      <c r="D34" s="11">
        <v>0.0</v>
      </c>
      <c r="E34" s="11">
        <v>0.0</v>
      </c>
      <c r="F34" s="11">
        <v>0.0</v>
      </c>
      <c r="G34" s="11">
        <v>0.0</v>
      </c>
      <c r="H34" s="6"/>
      <c r="I34" s="11">
        <v>134.8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194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" t="s">
        <v>297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59</v>
      </c>
      <c r="B38" s="6"/>
      <c r="C38" s="6"/>
      <c r="D38" s="11">
        <v>0.0</v>
      </c>
      <c r="E38" s="11">
        <v>0.0</v>
      </c>
      <c r="F38" s="11">
        <v>0.0</v>
      </c>
      <c r="G38" s="11">
        <v>0.0</v>
      </c>
      <c r="H38" s="6"/>
      <c r="I38" s="11">
        <v>129.3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110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60</v>
      </c>
      <c r="B41" s="6"/>
      <c r="C41" s="6"/>
      <c r="D41" s="11">
        <v>0.0</v>
      </c>
      <c r="E41" s="11">
        <v>0.0</v>
      </c>
      <c r="F41" s="11">
        <v>0.0</v>
      </c>
      <c r="G41" s="11">
        <v>0.0</v>
      </c>
      <c r="H41" s="6"/>
      <c r="I41" s="11">
        <v>94.6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111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61</v>
      </c>
      <c r="B44" s="6"/>
      <c r="C44" s="6"/>
      <c r="D44" s="11">
        <v>0.0</v>
      </c>
      <c r="E44" s="11">
        <v>0.0</v>
      </c>
      <c r="F44" s="11">
        <v>0.0</v>
      </c>
      <c r="G44" s="11">
        <v>0.0</v>
      </c>
      <c r="H44" s="6"/>
      <c r="I44" s="11">
        <v>111.5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113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62</v>
      </c>
      <c r="B47" s="6"/>
      <c r="C47" s="6"/>
      <c r="D47" s="11">
        <v>0.0</v>
      </c>
      <c r="E47" s="11">
        <v>0.0</v>
      </c>
      <c r="F47" s="11">
        <v>0.0</v>
      </c>
      <c r="G47" s="11">
        <v>0.0</v>
      </c>
      <c r="H47" s="6"/>
      <c r="I47" s="11">
        <v>56.6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117</v>
      </c>
      <c r="B49" s="6"/>
      <c r="C49" s="6"/>
      <c r="D49" s="11">
        <v>0.0</v>
      </c>
      <c r="E49" s="11">
        <v>0.0</v>
      </c>
      <c r="F49" s="11">
        <v>0.0</v>
      </c>
      <c r="G49" s="11">
        <v>0.0</v>
      </c>
      <c r="H49" s="6"/>
      <c r="I49" s="11">
        <v>59.1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 t="s">
        <v>118</v>
      </c>
      <c r="B51" s="6"/>
      <c r="C51" s="6"/>
      <c r="D51" s="11">
        <v>0.0</v>
      </c>
      <c r="E51" s="11">
        <v>0.0</v>
      </c>
      <c r="F51" s="11">
        <v>0.0</v>
      </c>
      <c r="G51" s="11">
        <v>0.0</v>
      </c>
      <c r="H51" s="6"/>
      <c r="I51" s="11">
        <v>82.4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119</v>
      </c>
      <c r="B53" s="6"/>
      <c r="C53" s="6"/>
      <c r="D53" s="11">
        <v>0.0</v>
      </c>
      <c r="E53" s="11">
        <v>0.0</v>
      </c>
      <c r="F53" s="11">
        <v>0.0</v>
      </c>
      <c r="G53" s="11">
        <v>0.0</v>
      </c>
      <c r="H53" s="6"/>
      <c r="I53" s="11">
        <v>46.2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122</v>
      </c>
      <c r="B55" s="6"/>
      <c r="C55" s="6"/>
      <c r="D55" s="11">
        <v>0.0</v>
      </c>
      <c r="E55" s="11">
        <v>0.0</v>
      </c>
      <c r="F55" s="11">
        <v>0.0</v>
      </c>
      <c r="G55" s="11">
        <v>0.0</v>
      </c>
      <c r="H55" s="6"/>
      <c r="I55" s="11">
        <v>65.3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125</v>
      </c>
      <c r="B57" s="6"/>
      <c r="C57" s="6"/>
      <c r="D57" s="11">
        <v>0.0</v>
      </c>
      <c r="E57" s="11">
        <v>0.0</v>
      </c>
      <c r="F57" s="11">
        <v>0.0</v>
      </c>
      <c r="G57" s="11">
        <v>0.0</v>
      </c>
      <c r="H57" s="6"/>
      <c r="I57" s="11">
        <v>54.2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2" t="s">
        <v>18</v>
      </c>
      <c r="B59" s="13">
        <v>45546.0</v>
      </c>
      <c r="C59" s="9"/>
      <c r="D59" s="9"/>
      <c r="E59" s="9"/>
      <c r="F59" s="9"/>
      <c r="G59" s="9"/>
      <c r="H59" s="9"/>
      <c r="I59" s="9"/>
      <c r="J59" s="9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4" t="s">
        <v>19</v>
      </c>
      <c r="B60" s="6"/>
      <c r="C60" s="6"/>
      <c r="D60" s="11">
        <v>0.0</v>
      </c>
      <c r="E60" s="11">
        <v>0.0</v>
      </c>
      <c r="F60" s="11">
        <v>0.0</v>
      </c>
      <c r="G60" s="11">
        <v>0.0</v>
      </c>
      <c r="H60" s="11">
        <v>16.0</v>
      </c>
      <c r="I60" s="11">
        <v>162.6</v>
      </c>
      <c r="J60" s="11" t="s">
        <v>298</v>
      </c>
      <c r="K60" s="11">
        <v>1.0</v>
      </c>
      <c r="L60" s="11">
        <v>1.0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4" t="s">
        <v>24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4" t="s">
        <v>25</v>
      </c>
      <c r="B62" s="1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20" t="s">
        <v>64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21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4" t="s">
        <v>21</v>
      </c>
      <c r="B65" s="6"/>
      <c r="C65" s="6"/>
      <c r="D65" s="11">
        <v>0.0</v>
      </c>
      <c r="E65" s="11">
        <v>0.0</v>
      </c>
      <c r="F65" s="11">
        <v>0.0</v>
      </c>
      <c r="G65" s="11">
        <v>0.0</v>
      </c>
      <c r="H65" s="6"/>
      <c r="I65" s="11">
        <v>98.4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20" t="s">
        <v>32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1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4" t="s">
        <v>37</v>
      </c>
      <c r="B68" s="6"/>
      <c r="C68" s="6"/>
      <c r="D68" s="11">
        <v>0.0</v>
      </c>
      <c r="E68" s="11">
        <v>0.0</v>
      </c>
      <c r="F68" s="11">
        <v>0.0</v>
      </c>
      <c r="G68" s="11">
        <v>0.0</v>
      </c>
      <c r="H68" s="6"/>
      <c r="I68" s="11">
        <v>97.8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20" t="s">
        <v>38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21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4" t="s">
        <v>39</v>
      </c>
      <c r="B71" s="6"/>
      <c r="C71" s="6"/>
      <c r="D71" s="11">
        <v>1.0</v>
      </c>
      <c r="E71" s="11">
        <v>1.0</v>
      </c>
      <c r="F71" s="11">
        <v>0.0</v>
      </c>
      <c r="G71" s="11">
        <v>0.0</v>
      </c>
      <c r="H71" s="6"/>
      <c r="I71" s="11">
        <v>108.7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4" t="s">
        <v>79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5" t="s">
        <v>146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20" t="s">
        <v>80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21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4" t="s">
        <v>41</v>
      </c>
      <c r="B76" s="6"/>
      <c r="C76" s="6"/>
      <c r="D76" s="11">
        <v>1.0</v>
      </c>
      <c r="E76" s="11">
        <v>1.0</v>
      </c>
      <c r="F76" s="11">
        <v>0.0</v>
      </c>
      <c r="G76" s="11">
        <v>0.0</v>
      </c>
      <c r="H76" s="6"/>
      <c r="I76" s="11">
        <v>171.3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4" t="s">
        <v>149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4" t="s">
        <v>150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0" t="s">
        <v>239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0" t="s">
        <v>299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4" t="s">
        <v>42</v>
      </c>
      <c r="B82" s="6"/>
      <c r="C82" s="6"/>
      <c r="D82" s="11">
        <v>1.0</v>
      </c>
      <c r="E82" s="11">
        <v>1.0</v>
      </c>
      <c r="F82" s="11">
        <v>0.0</v>
      </c>
      <c r="G82" s="11">
        <v>0.0</v>
      </c>
      <c r="H82" s="6"/>
      <c r="I82" s="11">
        <v>121.4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4" t="s">
        <v>81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20" t="s">
        <v>82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0" t="s">
        <v>83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21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4" t="s">
        <v>43</v>
      </c>
      <c r="B87" s="6"/>
      <c r="C87" s="6"/>
      <c r="D87" s="11">
        <v>1.0</v>
      </c>
      <c r="E87" s="11">
        <v>4.0</v>
      </c>
      <c r="F87" s="11">
        <v>0.0</v>
      </c>
      <c r="G87" s="11">
        <v>0.0</v>
      </c>
      <c r="H87" s="6"/>
      <c r="I87" s="11">
        <v>154.3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4" t="s">
        <v>44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0" t="s">
        <v>84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20" t="s">
        <v>85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20" t="s">
        <v>45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20" t="s">
        <v>86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20" t="s">
        <v>155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1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0" t="s">
        <v>87</v>
      </c>
      <c r="B95" s="6"/>
      <c r="C95" s="6"/>
      <c r="D95" s="11">
        <v>0.0</v>
      </c>
      <c r="E95" s="11">
        <v>0.0</v>
      </c>
      <c r="F95" s="11">
        <v>0.0</v>
      </c>
      <c r="G95" s="11">
        <v>0.0</v>
      </c>
      <c r="H95" s="6"/>
      <c r="I95" s="11">
        <v>63.7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1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0" t="s">
        <v>47</v>
      </c>
      <c r="B97" s="6"/>
      <c r="C97" s="6"/>
      <c r="D97" s="11">
        <v>0.0</v>
      </c>
      <c r="E97" s="11">
        <v>0.0</v>
      </c>
      <c r="F97" s="11">
        <v>0.0</v>
      </c>
      <c r="G97" s="11">
        <v>0.0</v>
      </c>
      <c r="H97" s="6"/>
      <c r="I97" s="11">
        <v>21.2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1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0" t="s">
        <v>48</v>
      </c>
      <c r="B99" s="6"/>
      <c r="C99" s="6"/>
      <c r="D99" s="11">
        <v>0.0</v>
      </c>
      <c r="E99" s="11">
        <v>0.0</v>
      </c>
      <c r="F99" s="11">
        <v>0.0</v>
      </c>
      <c r="G99" s="11">
        <v>0.0</v>
      </c>
      <c r="H99" s="6"/>
      <c r="I99" s="11">
        <v>42.3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4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0" t="s">
        <v>49</v>
      </c>
      <c r="B101" s="6"/>
      <c r="C101" s="6"/>
      <c r="D101" s="11">
        <v>0.0</v>
      </c>
      <c r="E101" s="11">
        <v>0.0</v>
      </c>
      <c r="F101" s="11">
        <v>0.0</v>
      </c>
      <c r="G101" s="11">
        <v>0.0</v>
      </c>
      <c r="H101" s="6"/>
      <c r="I101" s="11">
        <v>80.6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0" t="s">
        <v>95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0" t="s">
        <v>98</v>
      </c>
      <c r="B104" s="6"/>
      <c r="C104" s="6"/>
      <c r="D104" s="11">
        <v>0.0</v>
      </c>
      <c r="E104" s="11">
        <v>0.0</v>
      </c>
      <c r="F104" s="11">
        <v>0.0</v>
      </c>
      <c r="G104" s="11">
        <v>0.0</v>
      </c>
      <c r="H104" s="6"/>
      <c r="I104" s="11">
        <v>31.6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4" t="s">
        <v>22</v>
      </c>
      <c r="B106" s="6"/>
      <c r="C106" s="6"/>
      <c r="D106" s="11">
        <v>0.0</v>
      </c>
      <c r="E106" s="11">
        <v>0.0</v>
      </c>
      <c r="F106" s="11">
        <v>0.0</v>
      </c>
      <c r="G106" s="11">
        <v>0.0</v>
      </c>
      <c r="H106" s="11">
        <v>18.0</v>
      </c>
      <c r="I106" s="11">
        <v>121.4</v>
      </c>
      <c r="J106" s="11" t="s">
        <v>300</v>
      </c>
      <c r="K106" s="6"/>
      <c r="L106" s="6"/>
      <c r="M106" s="11">
        <v>2.0</v>
      </c>
      <c r="N106" s="11">
        <v>8.0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20" t="s">
        <v>52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21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4" t="s">
        <v>296</v>
      </c>
      <c r="B109" s="6"/>
      <c r="C109" s="6"/>
      <c r="D109" s="11">
        <v>0.0</v>
      </c>
      <c r="E109" s="11">
        <v>0.0</v>
      </c>
      <c r="F109" s="11">
        <v>0.0</v>
      </c>
      <c r="G109" s="11">
        <v>0.0</v>
      </c>
      <c r="H109" s="6"/>
      <c r="I109" s="11">
        <v>115.7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0" t="s">
        <v>301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1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4" t="s">
        <v>58</v>
      </c>
      <c r="B112" s="6"/>
      <c r="C112" s="6"/>
      <c r="D112" s="11">
        <v>1.0</v>
      </c>
      <c r="E112" s="11">
        <v>1.0</v>
      </c>
      <c r="F112" s="11">
        <v>0.0</v>
      </c>
      <c r="G112" s="11">
        <v>0.0</v>
      </c>
      <c r="H112" s="6"/>
      <c r="I112" s="11">
        <v>168.2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 t="s">
        <v>194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 t="s">
        <v>297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20" t="s">
        <v>196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21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 t="s">
        <v>59</v>
      </c>
      <c r="B117" s="6"/>
      <c r="C117" s="6"/>
      <c r="D117" s="11">
        <v>1.0</v>
      </c>
      <c r="E117" s="11">
        <v>3.0</v>
      </c>
      <c r="F117" s="11">
        <v>0.0</v>
      </c>
      <c r="G117" s="11">
        <v>0.0</v>
      </c>
      <c r="H117" s="6"/>
      <c r="I117" s="11">
        <v>155.2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 t="s">
        <v>110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20" t="s">
        <v>198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0" t="s">
        <v>269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0" t="s">
        <v>302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0" t="s">
        <v>303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0" t="s">
        <v>304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4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4" t="s">
        <v>60</v>
      </c>
      <c r="B125" s="6"/>
      <c r="C125" s="6"/>
      <c r="D125" s="11">
        <v>0.0</v>
      </c>
      <c r="E125" s="11">
        <v>0.0</v>
      </c>
      <c r="F125" s="11">
        <v>0.0</v>
      </c>
      <c r="G125" s="11">
        <v>0.0</v>
      </c>
      <c r="H125" s="6"/>
      <c r="I125" s="11">
        <v>128.9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4" t="s">
        <v>111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0" t="s">
        <v>199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1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4" t="s">
        <v>61</v>
      </c>
      <c r="B129" s="6"/>
      <c r="C129" s="6"/>
      <c r="D129" s="11">
        <v>1.0</v>
      </c>
      <c r="E129" s="11">
        <v>1.0</v>
      </c>
      <c r="F129" s="11">
        <v>0.0</v>
      </c>
      <c r="G129" s="11">
        <v>0.0</v>
      </c>
      <c r="H129" s="6"/>
      <c r="I129" s="11">
        <v>151.8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4" t="s">
        <v>113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20" t="s">
        <v>202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0" t="s">
        <v>203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1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4" t="s">
        <v>62</v>
      </c>
      <c r="B134" s="6"/>
      <c r="C134" s="6"/>
      <c r="D134" s="11">
        <v>0.0</v>
      </c>
      <c r="E134" s="11">
        <v>0.0</v>
      </c>
      <c r="F134" s="11">
        <v>0.0</v>
      </c>
      <c r="G134" s="11">
        <v>0.0</v>
      </c>
      <c r="H134" s="6"/>
      <c r="I134" s="11">
        <v>97.2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0" t="s">
        <v>114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1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4" t="s">
        <v>117</v>
      </c>
      <c r="B137" s="6"/>
      <c r="C137" s="6"/>
      <c r="D137" s="11">
        <v>0.0</v>
      </c>
      <c r="E137" s="11">
        <v>0.0</v>
      </c>
      <c r="F137" s="11">
        <v>0.0</v>
      </c>
      <c r="G137" s="11">
        <v>0.0</v>
      </c>
      <c r="H137" s="6"/>
      <c r="I137" s="11">
        <v>120.8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0" t="s">
        <v>206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1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4" t="s">
        <v>118</v>
      </c>
      <c r="B140" s="6"/>
      <c r="C140" s="6"/>
      <c r="D140" s="11">
        <v>0.0</v>
      </c>
      <c r="E140" s="11">
        <v>0.0</v>
      </c>
      <c r="F140" s="11">
        <v>0.0</v>
      </c>
      <c r="G140" s="11">
        <v>0.0</v>
      </c>
      <c r="H140" s="6"/>
      <c r="I140" s="11">
        <v>122.6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20" t="s">
        <v>208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21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119</v>
      </c>
      <c r="B143" s="6"/>
      <c r="C143" s="6"/>
      <c r="D143" s="11">
        <v>0.0</v>
      </c>
      <c r="E143" s="11">
        <v>0.0</v>
      </c>
      <c r="F143" s="11">
        <v>0.0</v>
      </c>
      <c r="G143" s="11">
        <v>0.0</v>
      </c>
      <c r="H143" s="6"/>
      <c r="I143" s="11">
        <v>39.2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1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4" t="s">
        <v>122</v>
      </c>
      <c r="B145" s="6"/>
      <c r="C145" s="6"/>
      <c r="D145" s="11">
        <v>0.0</v>
      </c>
      <c r="E145" s="11">
        <v>0.0</v>
      </c>
      <c r="F145" s="11">
        <v>0.0</v>
      </c>
      <c r="G145" s="11">
        <v>0.0</v>
      </c>
      <c r="H145" s="6"/>
      <c r="I145" s="11">
        <v>103.4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0" t="s">
        <v>124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21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4" t="s">
        <v>125</v>
      </c>
      <c r="B148" s="6"/>
      <c r="C148" s="6"/>
      <c r="D148" s="11">
        <v>0.0</v>
      </c>
      <c r="E148" s="11">
        <v>0.0</v>
      </c>
      <c r="F148" s="11">
        <v>0.0</v>
      </c>
      <c r="G148" s="11">
        <v>0.0</v>
      </c>
      <c r="H148" s="6"/>
      <c r="I148" s="11">
        <v>83.2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 t="s">
        <v>213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305</v>
      </c>
      <c r="B151" s="6"/>
      <c r="C151" s="6"/>
      <c r="D151" s="11">
        <v>0.0</v>
      </c>
      <c r="E151" s="11">
        <v>0.0</v>
      </c>
      <c r="F151" s="11">
        <v>0.0</v>
      </c>
      <c r="G151" s="11">
        <v>0.0</v>
      </c>
      <c r="H151" s="6"/>
      <c r="I151" s="11">
        <v>128.8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1" t="s">
        <v>221</v>
      </c>
      <c r="B153" s="6"/>
      <c r="C153" s="6"/>
      <c r="D153" s="11">
        <v>0.0</v>
      </c>
      <c r="E153" s="11">
        <v>0.0</v>
      </c>
      <c r="F153" s="11">
        <v>0.0</v>
      </c>
      <c r="G153" s="11">
        <v>0.0</v>
      </c>
      <c r="H153" s="6"/>
      <c r="I153" s="11">
        <v>84.9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223</v>
      </c>
      <c r="B155" s="6"/>
      <c r="C155" s="6"/>
      <c r="D155" s="11">
        <v>0.0</v>
      </c>
      <c r="E155" s="11">
        <v>0.0</v>
      </c>
      <c r="F155" s="11">
        <v>0.0</v>
      </c>
      <c r="G155" s="11">
        <v>0.0</v>
      </c>
      <c r="H155" s="6"/>
      <c r="I155" s="11">
        <v>73.2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2" t="s">
        <v>18</v>
      </c>
      <c r="B157" s="13">
        <v>45560.0</v>
      </c>
      <c r="C157" s="9"/>
      <c r="D157" s="9"/>
      <c r="E157" s="9"/>
      <c r="F157" s="9"/>
      <c r="G157" s="9"/>
      <c r="H157" s="9"/>
      <c r="I157" s="9"/>
      <c r="J157" s="9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4" t="s">
        <v>19</v>
      </c>
      <c r="B158" s="6"/>
      <c r="C158" s="6"/>
      <c r="D158" s="11">
        <v>1.0</v>
      </c>
      <c r="E158" s="11">
        <v>1.0</v>
      </c>
      <c r="F158" s="11">
        <v>1.0</v>
      </c>
      <c r="G158" s="11">
        <v>1.0</v>
      </c>
      <c r="H158" s="6"/>
      <c r="I158" s="11">
        <v>187.8</v>
      </c>
      <c r="J158" s="11" t="s">
        <v>306</v>
      </c>
      <c r="K158" s="11">
        <v>2.0</v>
      </c>
      <c r="L158" s="11">
        <v>13.0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4" t="s">
        <v>24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 t="s">
        <v>25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4" t="s">
        <v>64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0" t="s">
        <v>65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0" t="s">
        <v>31</v>
      </c>
      <c r="B163" s="6"/>
      <c r="C163" s="6"/>
      <c r="D163" s="6"/>
      <c r="E163" s="6"/>
      <c r="F163" s="6"/>
      <c r="G163" s="6"/>
      <c r="H163" s="6"/>
      <c r="I163" s="6"/>
      <c r="J163" s="11" t="s">
        <v>99</v>
      </c>
      <c r="K163" s="11">
        <v>1.0</v>
      </c>
      <c r="L163" s="11">
        <v>3.0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0" t="s">
        <v>228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24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4" t="s">
        <v>21</v>
      </c>
      <c r="B166" s="6"/>
      <c r="C166" s="6"/>
      <c r="D166" s="11">
        <v>0.0</v>
      </c>
      <c r="E166" s="11">
        <v>0.0</v>
      </c>
      <c r="F166" s="11">
        <v>0.0</v>
      </c>
      <c r="G166" s="11">
        <v>0.0</v>
      </c>
      <c r="H166" s="6"/>
      <c r="I166" s="11">
        <v>149.2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4" t="s">
        <v>32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0" t="s">
        <v>33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1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4" t="s">
        <v>37</v>
      </c>
      <c r="B170" s="6"/>
      <c r="C170" s="6"/>
      <c r="D170" s="11">
        <v>0.0</v>
      </c>
      <c r="E170" s="11">
        <v>0.0</v>
      </c>
      <c r="F170" s="11">
        <v>0.0</v>
      </c>
      <c r="G170" s="11">
        <v>0.0</v>
      </c>
      <c r="H170" s="6"/>
      <c r="I170" s="11">
        <v>127.3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 t="s">
        <v>38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20" t="s">
        <v>78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21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 t="s">
        <v>39</v>
      </c>
      <c r="B174" s="6"/>
      <c r="C174" s="6"/>
      <c r="D174" s="11">
        <v>1.0</v>
      </c>
      <c r="E174" s="11">
        <v>2.0</v>
      </c>
      <c r="F174" s="11">
        <v>0.0</v>
      </c>
      <c r="G174" s="11">
        <v>0.0</v>
      </c>
      <c r="H174" s="6"/>
      <c r="I174" s="11">
        <v>123.4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4" t="s">
        <v>79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9" t="s">
        <v>146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 t="s">
        <v>80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0" t="s">
        <v>148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 t="s">
        <v>41</v>
      </c>
      <c r="B180" s="6"/>
      <c r="C180" s="6"/>
      <c r="D180" s="11">
        <v>1.0</v>
      </c>
      <c r="E180" s="11">
        <v>3.0</v>
      </c>
      <c r="F180" s="11">
        <v>0.0</v>
      </c>
      <c r="G180" s="11">
        <v>0.0</v>
      </c>
      <c r="H180" s="6"/>
      <c r="I180" s="11">
        <v>185.3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 t="s">
        <v>149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4" t="s">
        <v>150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4" t="s">
        <v>239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4" t="s">
        <v>299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0" t="s">
        <v>307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0" t="s">
        <v>308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0" t="s">
        <v>309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4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 t="s">
        <v>42</v>
      </c>
      <c r="B189" s="6"/>
      <c r="C189" s="6"/>
      <c r="D189" s="11">
        <v>1.0</v>
      </c>
      <c r="E189" s="11">
        <v>2.0</v>
      </c>
      <c r="F189" s="11">
        <v>0.0</v>
      </c>
      <c r="G189" s="11">
        <v>0.0</v>
      </c>
      <c r="H189" s="6"/>
      <c r="I189" s="11">
        <v>115.1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 t="s">
        <v>81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 t="s">
        <v>82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83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20" t="s">
        <v>151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21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 t="s">
        <v>43</v>
      </c>
      <c r="B195" s="6"/>
      <c r="C195" s="6"/>
      <c r="D195" s="11">
        <v>1.0</v>
      </c>
      <c r="E195" s="11">
        <v>7.0</v>
      </c>
      <c r="F195" s="11">
        <v>0.0</v>
      </c>
      <c r="G195" s="11">
        <v>0.0</v>
      </c>
      <c r="H195" s="6"/>
      <c r="I195" s="11">
        <v>180.8</v>
      </c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44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84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85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45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 t="s">
        <v>86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 t="s">
        <v>155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20" t="s">
        <v>159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20" t="s">
        <v>160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20" t="s">
        <v>310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20" t="s">
        <v>157</v>
      </c>
      <c r="B205" s="6"/>
      <c r="C205" s="6"/>
      <c r="D205" s="6"/>
      <c r="E205" s="6"/>
      <c r="F205" s="6"/>
      <c r="G205" s="6"/>
      <c r="H205" s="6"/>
      <c r="I205" s="6"/>
      <c r="J205" s="11" t="s">
        <v>99</v>
      </c>
      <c r="K205" s="11">
        <v>1.0</v>
      </c>
      <c r="L205" s="11">
        <v>3.0</v>
      </c>
      <c r="M205" s="11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0" t="s">
        <v>156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1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 t="s">
        <v>87</v>
      </c>
      <c r="B208" s="6"/>
      <c r="C208" s="6"/>
      <c r="D208" s="11">
        <v>0.0</v>
      </c>
      <c r="E208" s="11">
        <v>0.0</v>
      </c>
      <c r="F208" s="11">
        <v>0.0</v>
      </c>
      <c r="G208" s="11">
        <v>0.0</v>
      </c>
      <c r="H208" s="6"/>
      <c r="I208" s="11">
        <v>95.2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0" t="s">
        <v>88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1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4" t="s">
        <v>47</v>
      </c>
      <c r="B211" s="6"/>
      <c r="C211" s="6"/>
      <c r="D211" s="11">
        <v>0.0</v>
      </c>
      <c r="E211" s="11">
        <v>0.0</v>
      </c>
      <c r="F211" s="11">
        <v>0.0</v>
      </c>
      <c r="G211" s="11">
        <v>0.0</v>
      </c>
      <c r="H211" s="6"/>
      <c r="I211" s="11">
        <v>48.5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0" t="s">
        <v>92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48</v>
      </c>
      <c r="B214" s="6"/>
      <c r="C214" s="6"/>
      <c r="D214" s="11">
        <v>0.0</v>
      </c>
      <c r="E214" s="11">
        <v>0.0</v>
      </c>
      <c r="F214" s="11">
        <v>0.0</v>
      </c>
      <c r="G214" s="11">
        <v>0.0</v>
      </c>
      <c r="H214" s="6"/>
      <c r="I214" s="11">
        <v>87.2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0" t="s">
        <v>93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21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49</v>
      </c>
      <c r="B217" s="6"/>
      <c r="C217" s="6"/>
      <c r="D217" s="11">
        <v>0.0</v>
      </c>
      <c r="E217" s="11">
        <v>0.0</v>
      </c>
      <c r="F217" s="11">
        <v>0.0</v>
      </c>
      <c r="G217" s="11">
        <v>0.0</v>
      </c>
      <c r="H217" s="6"/>
      <c r="I217" s="11">
        <v>116.4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95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20" t="s">
        <v>96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21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 t="s">
        <v>98</v>
      </c>
      <c r="B221" s="6"/>
      <c r="C221" s="6"/>
      <c r="D221" s="11">
        <v>0.0</v>
      </c>
      <c r="E221" s="11">
        <v>0.0</v>
      </c>
      <c r="F221" s="11">
        <v>0.0</v>
      </c>
      <c r="G221" s="11">
        <v>0.0</v>
      </c>
      <c r="H221" s="6"/>
      <c r="I221" s="11">
        <v>69.5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20" t="s">
        <v>175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21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5" t="s">
        <v>177</v>
      </c>
      <c r="B224" s="6"/>
      <c r="C224" s="6"/>
      <c r="D224" s="11">
        <v>0.0</v>
      </c>
      <c r="E224" s="11">
        <v>0.0</v>
      </c>
      <c r="F224" s="11">
        <v>0.0</v>
      </c>
      <c r="G224" s="11">
        <v>0.0</v>
      </c>
      <c r="H224" s="6"/>
      <c r="I224" s="11">
        <v>79.3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5" t="s">
        <v>252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5" t="s">
        <v>253</v>
      </c>
      <c r="B227" s="6"/>
      <c r="C227" s="6"/>
      <c r="D227" s="11">
        <v>0.0</v>
      </c>
      <c r="E227" s="11">
        <v>0.0</v>
      </c>
      <c r="F227" s="11">
        <v>0.0</v>
      </c>
      <c r="G227" s="11">
        <v>0.0</v>
      </c>
      <c r="H227" s="6"/>
      <c r="I227" s="11">
        <v>98.9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5" t="s">
        <v>254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5" t="s">
        <v>311</v>
      </c>
      <c r="B230" s="6"/>
      <c r="C230" s="6"/>
      <c r="D230" s="11">
        <v>0.0</v>
      </c>
      <c r="E230" s="11">
        <v>0.0</v>
      </c>
      <c r="F230" s="11">
        <v>0.0</v>
      </c>
      <c r="G230" s="11">
        <v>0.0</v>
      </c>
      <c r="H230" s="6"/>
      <c r="I230" s="11">
        <v>68.4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5" t="s">
        <v>312</v>
      </c>
      <c r="B232" s="6"/>
      <c r="C232" s="6"/>
      <c r="D232" s="11">
        <v>0.0</v>
      </c>
      <c r="E232" s="11">
        <v>0.0</v>
      </c>
      <c r="F232" s="11">
        <v>0.0</v>
      </c>
      <c r="G232" s="11">
        <v>0.0</v>
      </c>
      <c r="H232" s="6"/>
      <c r="I232" s="11">
        <v>85.3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5" t="s">
        <v>313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5" t="s">
        <v>314</v>
      </c>
      <c r="B235" s="6"/>
      <c r="C235" s="6"/>
      <c r="D235" s="11">
        <v>0.0</v>
      </c>
      <c r="E235" s="11">
        <v>0.0</v>
      </c>
      <c r="F235" s="11">
        <v>0.0</v>
      </c>
      <c r="G235" s="11">
        <v>0.0</v>
      </c>
      <c r="H235" s="6"/>
      <c r="I235" s="11">
        <v>64.8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5" t="s">
        <v>315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5" t="s">
        <v>316</v>
      </c>
      <c r="B238" s="6"/>
      <c r="C238" s="6"/>
      <c r="D238" s="11">
        <v>0.0</v>
      </c>
      <c r="E238" s="11">
        <v>0.0</v>
      </c>
      <c r="F238" s="11">
        <v>0.0</v>
      </c>
      <c r="G238" s="11">
        <v>0.0</v>
      </c>
      <c r="H238" s="6"/>
      <c r="I238" s="11">
        <v>71.7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5" t="s">
        <v>317</v>
      </c>
      <c r="B240" s="6"/>
      <c r="C240" s="6"/>
      <c r="D240" s="11">
        <v>0.0</v>
      </c>
      <c r="E240" s="11">
        <v>0.0</v>
      </c>
      <c r="F240" s="11">
        <v>0.0</v>
      </c>
      <c r="G240" s="11">
        <v>0.0</v>
      </c>
      <c r="H240" s="6"/>
      <c r="I240" s="11">
        <v>30.6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4" t="s">
        <v>22</v>
      </c>
      <c r="B242" s="6"/>
      <c r="C242" s="6"/>
      <c r="D242" s="11">
        <v>1.0</v>
      </c>
      <c r="E242" s="11">
        <v>1.0</v>
      </c>
      <c r="F242" s="11">
        <v>0.0</v>
      </c>
      <c r="G242" s="11">
        <v>0.0</v>
      </c>
      <c r="H242" s="6"/>
      <c r="I242" s="11">
        <v>168.5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14" t="s">
        <v>52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5" t="s">
        <v>318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5" t="s">
        <v>54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" t="s">
        <v>296</v>
      </c>
      <c r="B247" s="6"/>
      <c r="C247" s="6"/>
      <c r="D247" s="11">
        <v>0.0</v>
      </c>
      <c r="E247" s="11">
        <v>0.0</v>
      </c>
      <c r="F247" s="11">
        <v>0.0</v>
      </c>
      <c r="G247" s="11">
        <v>0.0</v>
      </c>
      <c r="H247" s="6"/>
      <c r="I247" s="11">
        <v>149.0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" t="s">
        <v>301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5" t="s">
        <v>319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5" t="s">
        <v>320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21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58</v>
      </c>
      <c r="B252" s="6"/>
      <c r="C252" s="6"/>
      <c r="D252" s="11">
        <v>1.0</v>
      </c>
      <c r="E252" s="11">
        <v>4.0</v>
      </c>
      <c r="F252" s="11">
        <v>0.0</v>
      </c>
      <c r="G252" s="11">
        <v>0.0</v>
      </c>
      <c r="H252" s="6"/>
      <c r="I252" s="11">
        <v>206.9</v>
      </c>
      <c r="J252" s="11" t="s">
        <v>217</v>
      </c>
      <c r="K252" s="6"/>
      <c r="L252" s="6"/>
      <c r="M252" s="11">
        <v>1.0</v>
      </c>
      <c r="N252" s="11">
        <v>1.0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 t="s">
        <v>194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 t="s">
        <v>297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 t="s">
        <v>196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5" t="s">
        <v>268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5" t="s">
        <v>321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5" t="s">
        <v>322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5" t="s">
        <v>197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5" t="s">
        <v>323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 t="s">
        <v>59</v>
      </c>
      <c r="B262" s="6"/>
      <c r="C262" s="6"/>
      <c r="D262" s="11">
        <v>1.0</v>
      </c>
      <c r="E262" s="11">
        <v>5.0</v>
      </c>
      <c r="F262" s="11">
        <v>0.0</v>
      </c>
      <c r="G262" s="11">
        <v>0.0</v>
      </c>
      <c r="H262" s="6"/>
      <c r="I262" s="11">
        <v>187.2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 t="s">
        <v>110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 t="s">
        <v>198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 t="s">
        <v>269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 t="s">
        <v>302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303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304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5" t="s">
        <v>324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5" t="s">
        <v>325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5" t="s">
        <v>326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21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 t="s">
        <v>60</v>
      </c>
      <c r="B273" s="6"/>
      <c r="C273" s="6"/>
      <c r="D273" s="11">
        <v>0.0</v>
      </c>
      <c r="E273" s="11">
        <v>0.0</v>
      </c>
      <c r="F273" s="11">
        <v>0.0</v>
      </c>
      <c r="G273" s="11">
        <v>0.0</v>
      </c>
      <c r="H273" s="6"/>
      <c r="I273" s="11">
        <v>172.9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 t="s">
        <v>111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" t="s">
        <v>199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5" t="s">
        <v>200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4" t="s">
        <v>61</v>
      </c>
      <c r="B278" s="6"/>
      <c r="C278" s="6"/>
      <c r="D278" s="11">
        <v>1.0</v>
      </c>
      <c r="E278" s="11">
        <v>5.0</v>
      </c>
      <c r="F278" s="11">
        <v>0.0</v>
      </c>
      <c r="G278" s="11">
        <v>0.0</v>
      </c>
      <c r="H278" s="6"/>
      <c r="I278" s="11">
        <v>187.7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4" t="s">
        <v>113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4" t="s">
        <v>202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4" t="s">
        <v>203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5" t="s">
        <v>272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5" t="s">
        <v>327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0" t="s">
        <v>328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2" t="s">
        <v>329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2" t="s">
        <v>273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2" t="s">
        <v>330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 t="s">
        <v>62</v>
      </c>
      <c r="B289" s="6"/>
      <c r="C289" s="6"/>
      <c r="D289" s="11">
        <v>0.0</v>
      </c>
      <c r="E289" s="11">
        <v>0.0</v>
      </c>
      <c r="F289" s="11">
        <v>0.0</v>
      </c>
      <c r="G289" s="11">
        <v>0.0</v>
      </c>
      <c r="H289" s="6"/>
      <c r="I289" s="11">
        <v>143.1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" t="s">
        <v>114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5" t="s">
        <v>116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1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4" t="s">
        <v>117</v>
      </c>
      <c r="B293" s="6"/>
      <c r="C293" s="6"/>
      <c r="D293" s="11">
        <v>0.0</v>
      </c>
      <c r="E293" s="11">
        <v>0.0</v>
      </c>
      <c r="F293" s="11">
        <v>0.0</v>
      </c>
      <c r="G293" s="11">
        <v>0.0</v>
      </c>
      <c r="H293" s="6"/>
      <c r="I293" s="11">
        <v>136.2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4" t="s">
        <v>206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0" t="s">
        <v>207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 t="s">
        <v>118</v>
      </c>
      <c r="B297" s="6"/>
      <c r="C297" s="6"/>
      <c r="D297" s="11">
        <v>0.0</v>
      </c>
      <c r="E297" s="11">
        <v>0.0</v>
      </c>
      <c r="F297" s="11">
        <v>0.0</v>
      </c>
      <c r="G297" s="11">
        <v>0.0</v>
      </c>
      <c r="H297" s="6"/>
      <c r="I297" s="11">
        <v>162.9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 t="s">
        <v>208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0" t="s">
        <v>277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1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4" t="s">
        <v>119</v>
      </c>
      <c r="B301" s="6"/>
      <c r="C301" s="6"/>
      <c r="D301" s="11">
        <v>0.0</v>
      </c>
      <c r="E301" s="11">
        <v>0.0</v>
      </c>
      <c r="F301" s="11">
        <v>0.0</v>
      </c>
      <c r="G301" s="11">
        <v>0.0</v>
      </c>
      <c r="H301" s="6"/>
      <c r="I301" s="11">
        <v>63.0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0" t="s">
        <v>120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21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122</v>
      </c>
      <c r="B304" s="6"/>
      <c r="C304" s="6"/>
      <c r="D304" s="11">
        <v>1.0</v>
      </c>
      <c r="E304" s="11">
        <v>1.0</v>
      </c>
      <c r="F304" s="11">
        <v>0.0</v>
      </c>
      <c r="G304" s="11">
        <v>0.0</v>
      </c>
      <c r="H304" s="6"/>
      <c r="I304" s="11">
        <v>153.2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 t="s">
        <v>124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0" t="s">
        <v>212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0" t="s">
        <v>331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1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4" t="s">
        <v>125</v>
      </c>
      <c r="B309" s="6"/>
      <c r="C309" s="6"/>
      <c r="D309" s="11">
        <v>0.0</v>
      </c>
      <c r="E309" s="11">
        <v>0.0</v>
      </c>
      <c r="F309" s="11">
        <v>0.0</v>
      </c>
      <c r="G309" s="11">
        <v>0.0</v>
      </c>
      <c r="H309" s="6"/>
      <c r="I309" s="11">
        <v>123.4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4" t="s">
        <v>213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0" t="s">
        <v>214</v>
      </c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1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 t="s">
        <v>305</v>
      </c>
      <c r="B313" s="6"/>
      <c r="C313" s="6"/>
      <c r="D313" s="11">
        <v>0.0</v>
      </c>
      <c r="E313" s="11">
        <v>0.0</v>
      </c>
      <c r="F313" s="11">
        <v>0.0</v>
      </c>
      <c r="G313" s="11">
        <v>0.0</v>
      </c>
      <c r="H313" s="6"/>
      <c r="I313" s="11">
        <v>170.4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0" t="s">
        <v>332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1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" t="s">
        <v>221</v>
      </c>
      <c r="B316" s="6"/>
      <c r="C316" s="6"/>
      <c r="D316" s="11">
        <v>0.0</v>
      </c>
      <c r="E316" s="11">
        <v>0.0</v>
      </c>
      <c r="F316" s="11">
        <v>0.0</v>
      </c>
      <c r="G316" s="11">
        <v>0.0</v>
      </c>
      <c r="H316" s="6"/>
      <c r="I316" s="11">
        <v>128.1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20" t="s">
        <v>222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22" t="s">
        <v>284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4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" t="s">
        <v>223</v>
      </c>
      <c r="B320" s="6"/>
      <c r="C320" s="6"/>
      <c r="D320" s="11">
        <v>0.0</v>
      </c>
      <c r="E320" s="11">
        <v>0.0</v>
      </c>
      <c r="F320" s="11">
        <v>0.0</v>
      </c>
      <c r="G320" s="11">
        <v>0.0</v>
      </c>
      <c r="H320" s="6"/>
      <c r="I320" s="11">
        <v>120.6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0" t="s">
        <v>285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0" t="s">
        <v>333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24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20" t="s">
        <v>224</v>
      </c>
      <c r="B324" s="6"/>
      <c r="C324" s="6"/>
      <c r="D324" s="11">
        <v>0.0</v>
      </c>
      <c r="E324" s="11">
        <v>0.0</v>
      </c>
      <c r="F324" s="11">
        <v>0.0</v>
      </c>
      <c r="G324" s="11">
        <v>0.0</v>
      </c>
      <c r="H324" s="6"/>
      <c r="I324" s="11">
        <v>134.5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0" t="s">
        <v>225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4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20" t="s">
        <v>334</v>
      </c>
      <c r="B327" s="6"/>
      <c r="C327" s="6"/>
      <c r="D327" s="11">
        <v>0.0</v>
      </c>
      <c r="E327" s="11">
        <v>0.0</v>
      </c>
      <c r="F327" s="11">
        <v>0.0</v>
      </c>
      <c r="G327" s="11">
        <v>0.0</v>
      </c>
      <c r="H327" s="6"/>
      <c r="I327" s="11">
        <v>96.3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0" t="s">
        <v>335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4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2" t="s">
        <v>18</v>
      </c>
      <c r="B330" s="13">
        <v>45574.0</v>
      </c>
      <c r="C330" s="9"/>
      <c r="D330" s="9"/>
      <c r="E330" s="9"/>
      <c r="F330" s="9"/>
      <c r="G330" s="9"/>
      <c r="H330" s="9"/>
      <c r="I330" s="9"/>
      <c r="J330" s="9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4" t="s">
        <v>19</v>
      </c>
      <c r="B331" s="11">
        <v>8.0</v>
      </c>
      <c r="C331" s="11">
        <v>0.0</v>
      </c>
      <c r="D331" s="11">
        <v>1.0</v>
      </c>
      <c r="E331" s="11">
        <v>2.0</v>
      </c>
      <c r="F331" s="11">
        <v>1.0</v>
      </c>
      <c r="G331" s="11">
        <v>1.0</v>
      </c>
      <c r="H331" s="6"/>
      <c r="I331" s="11">
        <v>191.3</v>
      </c>
      <c r="J331" s="11" t="s">
        <v>336</v>
      </c>
      <c r="K331" s="11">
        <v>1.0</v>
      </c>
      <c r="L331" s="11">
        <v>5.0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4" t="s">
        <v>24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4" t="s">
        <v>25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4" t="s">
        <v>64</v>
      </c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" t="s">
        <v>65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" t="s">
        <v>31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 t="s">
        <v>228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0" t="s">
        <v>69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 t="s">
        <v>21</v>
      </c>
      <c r="B340" s="11">
        <v>4.0</v>
      </c>
      <c r="C340" s="11">
        <v>0.0</v>
      </c>
      <c r="D340" s="11">
        <v>0.0</v>
      </c>
      <c r="E340" s="11">
        <v>0.0</v>
      </c>
      <c r="F340" s="11">
        <v>0.0</v>
      </c>
      <c r="G340" s="11">
        <v>0.0</v>
      </c>
      <c r="H340" s="6"/>
      <c r="I340" s="11">
        <v>149.6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4" t="s">
        <v>32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4" t="s">
        <v>33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0" t="s">
        <v>72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1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 t="s">
        <v>37</v>
      </c>
      <c r="B345" s="11">
        <v>4.0</v>
      </c>
      <c r="C345" s="11">
        <v>0.0</v>
      </c>
      <c r="D345" s="11">
        <v>0.0</v>
      </c>
      <c r="E345" s="11">
        <v>0.0</v>
      </c>
      <c r="F345" s="11">
        <v>0.0</v>
      </c>
      <c r="G345" s="11">
        <v>0.0</v>
      </c>
      <c r="H345" s="6"/>
      <c r="I345" s="11">
        <v>145.5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 t="s">
        <v>38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 t="s">
        <v>78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0" t="s">
        <v>145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1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4" t="s">
        <v>39</v>
      </c>
      <c r="B350" s="11">
        <v>6.0</v>
      </c>
      <c r="C350" s="11">
        <v>0.0</v>
      </c>
      <c r="D350" s="11">
        <v>1.0</v>
      </c>
      <c r="E350" s="11">
        <v>3.0</v>
      </c>
      <c r="F350" s="11">
        <v>0.0</v>
      </c>
      <c r="G350" s="11">
        <v>0.0</v>
      </c>
      <c r="H350" s="6"/>
      <c r="I350" s="11">
        <v>136.4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4" t="s">
        <v>79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9" t="s">
        <v>146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" t="s">
        <v>80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" t="s">
        <v>148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0" t="s">
        <v>238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1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 t="s">
        <v>41</v>
      </c>
      <c r="B357" s="11">
        <v>10.0</v>
      </c>
      <c r="C357" s="11">
        <v>0.0</v>
      </c>
      <c r="D357" s="11">
        <v>1.0</v>
      </c>
      <c r="E357" s="11">
        <v>4.0</v>
      </c>
      <c r="F357" s="11">
        <v>0.0</v>
      </c>
      <c r="G357" s="11">
        <v>0.0</v>
      </c>
      <c r="H357" s="6"/>
      <c r="I357" s="11">
        <v>208.1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 t="s">
        <v>149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150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" t="s">
        <v>239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" t="s">
        <v>299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 t="s">
        <v>307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" t="s">
        <v>308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" t="s">
        <v>309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0" t="s">
        <v>337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0" t="s">
        <v>338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1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4" t="s">
        <v>42</v>
      </c>
      <c r="B368" s="11">
        <v>5.0</v>
      </c>
      <c r="C368" s="11">
        <v>0.0</v>
      </c>
      <c r="D368" s="11">
        <v>1.0</v>
      </c>
      <c r="E368" s="11">
        <v>2.0</v>
      </c>
      <c r="F368" s="11">
        <v>0.0</v>
      </c>
      <c r="G368" s="11">
        <v>0.0</v>
      </c>
      <c r="H368" s="6"/>
      <c r="I368" s="11">
        <v>121.8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 t="s">
        <v>81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" t="s">
        <v>82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 t="s">
        <v>83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 t="s">
        <v>151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21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" t="s">
        <v>43</v>
      </c>
      <c r="B374" s="11">
        <v>14.0</v>
      </c>
      <c r="C374" s="11">
        <v>0.0</v>
      </c>
      <c r="D374" s="11">
        <v>1.0</v>
      </c>
      <c r="E374" s="11">
        <v>9.0</v>
      </c>
      <c r="F374" s="11">
        <v>0.0</v>
      </c>
      <c r="G374" s="11">
        <v>0.0</v>
      </c>
      <c r="H374" s="6"/>
      <c r="I374" s="11">
        <v>186.2</v>
      </c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" t="s">
        <v>44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" t="s">
        <v>84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4" t="s">
        <v>85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4" t="s">
        <v>45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" t="s">
        <v>86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 t="s">
        <v>155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 t="s">
        <v>159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160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" t="s">
        <v>310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" t="s">
        <v>157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" t="s">
        <v>156</v>
      </c>
      <c r="B385" s="6"/>
      <c r="C385" s="6"/>
      <c r="D385" s="6"/>
      <c r="E385" s="6"/>
      <c r="F385" s="6"/>
      <c r="G385" s="6"/>
      <c r="H385" s="6"/>
      <c r="I385" s="6"/>
      <c r="J385" s="11" t="s">
        <v>339</v>
      </c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20" t="s">
        <v>340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20" t="s">
        <v>158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21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87</v>
      </c>
      <c r="B389" s="11">
        <v>3.0</v>
      </c>
      <c r="C389" s="11">
        <v>0.0</v>
      </c>
      <c r="D389" s="11">
        <v>0.0</v>
      </c>
      <c r="E389" s="11">
        <v>0.0</v>
      </c>
      <c r="F389" s="11">
        <v>0.0</v>
      </c>
      <c r="G389" s="11">
        <v>0.0</v>
      </c>
      <c r="H389" s="6"/>
      <c r="I389" s="11">
        <v>110.5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 t="s">
        <v>88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20" t="s">
        <v>89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21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 t="s">
        <v>47</v>
      </c>
      <c r="B393" s="11">
        <v>3.0</v>
      </c>
      <c r="C393" s="11">
        <v>0.0</v>
      </c>
      <c r="D393" s="11">
        <v>0.0</v>
      </c>
      <c r="E393" s="11">
        <v>0.0</v>
      </c>
      <c r="F393" s="11">
        <v>0.0</v>
      </c>
      <c r="G393" s="11">
        <v>0.0</v>
      </c>
      <c r="H393" s="6"/>
      <c r="I393" s="11">
        <v>71.2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 t="s">
        <v>92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0" t="s">
        <v>165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1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" t="s">
        <v>48</v>
      </c>
      <c r="B397" s="11">
        <v>3.0</v>
      </c>
      <c r="C397" s="11">
        <v>0.0</v>
      </c>
      <c r="D397" s="11">
        <v>0.0</v>
      </c>
      <c r="E397" s="11">
        <v>0.0</v>
      </c>
      <c r="F397" s="11">
        <v>0.0</v>
      </c>
      <c r="G397" s="11">
        <v>0.0</v>
      </c>
      <c r="H397" s="6"/>
      <c r="I397" s="11">
        <v>111.2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4" t="s">
        <v>93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0" t="s">
        <v>167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1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4" t="s">
        <v>49</v>
      </c>
      <c r="B401" s="11">
        <v>4.0</v>
      </c>
      <c r="C401" s="11">
        <v>0.0</v>
      </c>
      <c r="D401" s="11">
        <v>0.0</v>
      </c>
      <c r="E401" s="11">
        <v>0.0</v>
      </c>
      <c r="F401" s="11">
        <v>0.0</v>
      </c>
      <c r="G401" s="11">
        <v>0.0</v>
      </c>
      <c r="H401" s="6"/>
      <c r="I401" s="11">
        <v>138.5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4" t="s">
        <v>95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4" t="s">
        <v>96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0" t="s">
        <v>173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1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4" t="s">
        <v>98</v>
      </c>
      <c r="B406" s="11">
        <v>3.0</v>
      </c>
      <c r="C406" s="11">
        <v>0.0</v>
      </c>
      <c r="D406" s="11">
        <v>0.0</v>
      </c>
      <c r="E406" s="11">
        <v>0.0</v>
      </c>
      <c r="F406" s="11">
        <v>0.0</v>
      </c>
      <c r="G406" s="11">
        <v>0.0</v>
      </c>
      <c r="H406" s="6"/>
      <c r="I406" s="11">
        <v>101.5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175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20" t="s">
        <v>176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21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9" t="s">
        <v>177</v>
      </c>
      <c r="B410" s="11">
        <v>3.0</v>
      </c>
      <c r="C410" s="11">
        <v>0.0</v>
      </c>
      <c r="D410" s="11">
        <v>0.0</v>
      </c>
      <c r="E410" s="11">
        <v>0.0</v>
      </c>
      <c r="F410" s="11">
        <v>0.0</v>
      </c>
      <c r="G410" s="11">
        <v>0.0</v>
      </c>
      <c r="H410" s="6"/>
      <c r="I410" s="11">
        <v>114.5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9" t="s">
        <v>252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22" t="s">
        <v>341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23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9" t="s">
        <v>253</v>
      </c>
      <c r="B414" s="11">
        <v>3.0</v>
      </c>
      <c r="C414" s="11">
        <v>0.0</v>
      </c>
      <c r="D414" s="11">
        <v>0.0</v>
      </c>
      <c r="E414" s="11">
        <v>0.0</v>
      </c>
      <c r="F414" s="11">
        <v>0.0</v>
      </c>
      <c r="G414" s="11">
        <v>0.0</v>
      </c>
      <c r="H414" s="6"/>
      <c r="I414" s="11">
        <v>190.5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9" t="s">
        <v>254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2" t="s">
        <v>255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23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9" t="s">
        <v>311</v>
      </c>
      <c r="B418" s="11">
        <v>2.0</v>
      </c>
      <c r="C418" s="11">
        <v>0.0</v>
      </c>
      <c r="D418" s="11">
        <v>0.0</v>
      </c>
      <c r="E418" s="11">
        <v>0.0</v>
      </c>
      <c r="F418" s="11">
        <v>0.0</v>
      </c>
      <c r="G418" s="11">
        <v>0.0</v>
      </c>
      <c r="H418" s="6"/>
      <c r="I418" s="11">
        <v>95.5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2" t="s">
        <v>342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23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9" t="s">
        <v>312</v>
      </c>
      <c r="B421" s="11">
        <v>3.0</v>
      </c>
      <c r="C421" s="11">
        <v>0.0</v>
      </c>
      <c r="D421" s="11">
        <v>0.0</v>
      </c>
      <c r="E421" s="11">
        <v>0.0</v>
      </c>
      <c r="F421" s="11">
        <v>0.0</v>
      </c>
      <c r="G421" s="11">
        <v>0.0</v>
      </c>
      <c r="H421" s="6"/>
      <c r="I421" s="11">
        <v>108.3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9" t="s">
        <v>313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2" t="s">
        <v>343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3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9" t="s">
        <v>314</v>
      </c>
      <c r="B425" s="11">
        <v>3.0</v>
      </c>
      <c r="C425" s="11">
        <v>0.0</v>
      </c>
      <c r="D425" s="11">
        <v>0.0</v>
      </c>
      <c r="E425" s="11">
        <v>0.0</v>
      </c>
      <c r="F425" s="11">
        <v>0.0</v>
      </c>
      <c r="G425" s="11">
        <v>0.0</v>
      </c>
      <c r="H425" s="6"/>
      <c r="I425" s="11">
        <v>100.0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9" t="s">
        <v>315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2" t="s">
        <v>344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3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9" t="s">
        <v>316</v>
      </c>
      <c r="B429" s="11">
        <v>2.0</v>
      </c>
      <c r="C429" s="11">
        <v>0.0</v>
      </c>
      <c r="D429" s="11">
        <v>0.0</v>
      </c>
      <c r="E429" s="11">
        <v>0.0</v>
      </c>
      <c r="F429" s="11">
        <v>0.0</v>
      </c>
      <c r="G429" s="11">
        <v>0.0</v>
      </c>
      <c r="H429" s="6"/>
      <c r="I429" s="11">
        <v>90.7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2" t="s">
        <v>345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3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9" t="s">
        <v>317</v>
      </c>
      <c r="B432" s="11">
        <v>1.0</v>
      </c>
      <c r="C432" s="11">
        <v>0.0</v>
      </c>
      <c r="D432" s="11">
        <v>0.0</v>
      </c>
      <c r="E432" s="11">
        <v>0.0</v>
      </c>
      <c r="F432" s="11">
        <v>0.0</v>
      </c>
      <c r="G432" s="11">
        <v>0.0</v>
      </c>
      <c r="H432" s="6"/>
      <c r="I432" s="11">
        <v>35.4</v>
      </c>
      <c r="J432" s="11" t="s">
        <v>99</v>
      </c>
      <c r="K432" s="11">
        <v>1.0</v>
      </c>
      <c r="L432" s="11">
        <v>3.0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3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2" t="s">
        <v>346</v>
      </c>
      <c r="B434" s="11">
        <v>0.0</v>
      </c>
      <c r="C434" s="11">
        <v>2.0</v>
      </c>
      <c r="D434" s="11">
        <v>0.0</v>
      </c>
      <c r="E434" s="11">
        <v>0.0</v>
      </c>
      <c r="F434" s="11">
        <v>0.0</v>
      </c>
      <c r="G434" s="11">
        <v>0.0</v>
      </c>
      <c r="H434" s="6"/>
      <c r="I434" s="11">
        <v>66.5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2" t="s">
        <v>347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3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" t="s">
        <v>22</v>
      </c>
      <c r="B437" s="11">
        <v>6.0</v>
      </c>
      <c r="C437" s="11">
        <v>0.0</v>
      </c>
      <c r="D437" s="11">
        <v>1.0</v>
      </c>
      <c r="E437" s="11">
        <v>2.0</v>
      </c>
      <c r="F437" s="11">
        <v>0.0</v>
      </c>
      <c r="G437" s="11">
        <v>0.0</v>
      </c>
      <c r="H437" s="6"/>
      <c r="I437" s="11">
        <v>188.0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4" t="s">
        <v>52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9" t="s">
        <v>318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9" t="s">
        <v>54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2" t="s">
        <v>101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22" t="s">
        <v>104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23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" t="s">
        <v>296</v>
      </c>
      <c r="B444" s="11">
        <v>5.0</v>
      </c>
      <c r="C444" s="11">
        <v>0.0</v>
      </c>
      <c r="D444" s="11">
        <v>0.0</v>
      </c>
      <c r="E444" s="11">
        <v>0.0</v>
      </c>
      <c r="F444" s="11">
        <v>0.0</v>
      </c>
      <c r="G444" s="11">
        <v>0.0</v>
      </c>
      <c r="H444" s="6"/>
      <c r="I444" s="11">
        <v>172.5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" t="s">
        <v>301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9" t="s">
        <v>319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9" t="s">
        <v>320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0" t="s">
        <v>348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1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" t="s">
        <v>58</v>
      </c>
      <c r="B450" s="11">
        <v>12.0</v>
      </c>
      <c r="C450" s="11">
        <v>0.0</v>
      </c>
      <c r="D450" s="11">
        <v>1.0</v>
      </c>
      <c r="E450" s="11">
        <v>6.0</v>
      </c>
      <c r="F450" s="11">
        <v>0.0</v>
      </c>
      <c r="G450" s="11">
        <v>0.0</v>
      </c>
      <c r="H450" s="6"/>
      <c r="I450" s="11">
        <v>215.6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" t="s">
        <v>194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4" t="s">
        <v>297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4" t="s">
        <v>196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9" t="s">
        <v>268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9" t="s">
        <v>321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9" t="s">
        <v>322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9" t="s">
        <v>197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9" t="s">
        <v>323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22" t="s">
        <v>349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22" t="s">
        <v>350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22" t="s">
        <v>351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23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59</v>
      </c>
      <c r="B463" s="11">
        <v>12.0</v>
      </c>
      <c r="C463" s="11">
        <v>0.0</v>
      </c>
      <c r="D463" s="11">
        <v>1.0</v>
      </c>
      <c r="E463" s="11">
        <v>7.0</v>
      </c>
      <c r="F463" s="11">
        <v>0.0</v>
      </c>
      <c r="G463" s="11">
        <v>0.0</v>
      </c>
      <c r="H463" s="6"/>
      <c r="I463" s="6"/>
      <c r="J463" s="11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110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" t="s">
        <v>198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" t="s">
        <v>269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302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303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" t="s">
        <v>304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9" t="s">
        <v>324</v>
      </c>
      <c r="B470" s="6"/>
      <c r="C470" s="6"/>
      <c r="D470" s="6"/>
      <c r="E470" s="6"/>
      <c r="F470" s="6"/>
      <c r="G470" s="6"/>
      <c r="H470" s="6"/>
      <c r="I470" s="6"/>
      <c r="J470" s="11" t="s">
        <v>339</v>
      </c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9" t="s">
        <v>325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9" t="s">
        <v>326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20" t="s">
        <v>352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20" t="s">
        <v>353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21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" t="s">
        <v>60</v>
      </c>
      <c r="B476" s="11">
        <v>4.0</v>
      </c>
      <c r="C476" s="11">
        <v>0.0</v>
      </c>
      <c r="D476" s="11">
        <v>0.0</v>
      </c>
      <c r="E476" s="11">
        <v>0.0</v>
      </c>
      <c r="F476" s="11">
        <v>0.0</v>
      </c>
      <c r="G476" s="11">
        <v>0.0</v>
      </c>
      <c r="H476" s="6"/>
      <c r="I476" s="11">
        <v>186.9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 t="s">
        <v>111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199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9" t="s">
        <v>200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3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" t="s">
        <v>61</v>
      </c>
      <c r="B481" s="11">
        <v>9.0</v>
      </c>
      <c r="C481" s="11">
        <v>0.0</v>
      </c>
      <c r="D481" s="11">
        <v>1.0</v>
      </c>
      <c r="E481" s="11">
        <v>5.0</v>
      </c>
      <c r="F481" s="11">
        <v>0.0</v>
      </c>
      <c r="G481" s="11">
        <v>0.0</v>
      </c>
      <c r="H481" s="6"/>
      <c r="I481" s="11">
        <v>207.1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" t="s">
        <v>113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" t="s">
        <v>202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4" t="s">
        <v>203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9" t="s">
        <v>272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9" t="s">
        <v>327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4" t="s">
        <v>328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9" t="s">
        <v>329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9" t="s">
        <v>273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9" t="s">
        <v>330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3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4" t="s">
        <v>62</v>
      </c>
      <c r="B492" s="11">
        <v>4.0</v>
      </c>
      <c r="C492" s="11">
        <v>0.0</v>
      </c>
      <c r="D492" s="11">
        <v>0.0</v>
      </c>
      <c r="E492" s="11">
        <v>0.0</v>
      </c>
      <c r="F492" s="11">
        <v>0.0</v>
      </c>
      <c r="G492" s="11">
        <v>0.0</v>
      </c>
      <c r="H492" s="6"/>
      <c r="I492" s="11">
        <v>162.7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" t="s">
        <v>114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9" t="s">
        <v>116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0" t="s">
        <v>204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1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4" t="s">
        <v>117</v>
      </c>
      <c r="B497" s="11">
        <v>4.0</v>
      </c>
      <c r="C497" s="11">
        <v>0.0</v>
      </c>
      <c r="D497" s="11">
        <v>0.0</v>
      </c>
      <c r="E497" s="11">
        <v>0.0</v>
      </c>
      <c r="F497" s="11">
        <v>0.0</v>
      </c>
      <c r="G497" s="11">
        <v>0.0</v>
      </c>
      <c r="H497" s="6"/>
      <c r="I497" s="11">
        <v>147.5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4" t="s">
        <v>206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" t="s">
        <v>207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0" t="s">
        <v>276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1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4" t="s">
        <v>118</v>
      </c>
      <c r="B502" s="11">
        <v>4.0</v>
      </c>
      <c r="C502" s="11">
        <v>0.0</v>
      </c>
      <c r="D502" s="11">
        <v>0.0</v>
      </c>
      <c r="E502" s="11">
        <v>0.0</v>
      </c>
      <c r="F502" s="11">
        <v>0.0</v>
      </c>
      <c r="G502" s="11">
        <v>0.0</v>
      </c>
      <c r="H502" s="6"/>
      <c r="I502" s="11">
        <v>185.8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" t="s">
        <v>208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277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20" t="s">
        <v>354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1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4" t="s">
        <v>119</v>
      </c>
      <c r="B507" s="11">
        <v>3.0</v>
      </c>
      <c r="C507" s="11">
        <v>0.0</v>
      </c>
      <c r="D507" s="11">
        <v>0.0</v>
      </c>
      <c r="E507" s="11">
        <v>0.0</v>
      </c>
      <c r="F507" s="11">
        <v>0.0</v>
      </c>
      <c r="G507" s="11">
        <v>0.0</v>
      </c>
      <c r="H507" s="6"/>
      <c r="I507" s="11">
        <v>88.5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4" t="s">
        <v>120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0" t="s">
        <v>209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21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" t="s">
        <v>122</v>
      </c>
      <c r="B511" s="11">
        <v>6.0</v>
      </c>
      <c r="C511" s="11">
        <v>0.0</v>
      </c>
      <c r="D511" s="11">
        <v>1.0</v>
      </c>
      <c r="E511" s="11">
        <v>2.0</v>
      </c>
      <c r="F511" s="11">
        <v>0.0</v>
      </c>
      <c r="G511" s="11">
        <v>0.0</v>
      </c>
      <c r="H511" s="6"/>
      <c r="I511" s="11">
        <v>173.2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" t="s">
        <v>124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212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331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20" t="s">
        <v>280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20" t="s">
        <v>355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24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4" t="s">
        <v>125</v>
      </c>
      <c r="B518" s="11">
        <v>4.0</v>
      </c>
      <c r="C518" s="11">
        <v>0.0</v>
      </c>
      <c r="D518" s="11">
        <v>0.0</v>
      </c>
      <c r="E518" s="11">
        <v>0.0</v>
      </c>
      <c r="F518" s="11">
        <v>0.0</v>
      </c>
      <c r="G518" s="11">
        <v>0.0</v>
      </c>
      <c r="H518" s="6"/>
      <c r="I518" s="11">
        <v>146.8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" t="s">
        <v>213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4" t="s">
        <v>214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0" t="s">
        <v>281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1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4" t="s">
        <v>305</v>
      </c>
      <c r="B523" s="11">
        <v>3.0</v>
      </c>
      <c r="C523" s="11">
        <v>0.0</v>
      </c>
      <c r="D523" s="11">
        <v>0.0</v>
      </c>
      <c r="E523" s="11">
        <v>0.0</v>
      </c>
      <c r="F523" s="11">
        <v>0.0</v>
      </c>
      <c r="G523" s="11">
        <v>0.0</v>
      </c>
      <c r="H523" s="6"/>
      <c r="I523" s="11">
        <v>191.1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4" t="s">
        <v>332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0" t="s">
        <v>356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21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" t="s">
        <v>221</v>
      </c>
      <c r="B527" s="11">
        <v>4.0</v>
      </c>
      <c r="C527" s="11">
        <v>0.0</v>
      </c>
      <c r="D527" s="11">
        <v>0.0</v>
      </c>
      <c r="E527" s="11">
        <v>0.0</v>
      </c>
      <c r="F527" s="11">
        <v>0.0</v>
      </c>
      <c r="G527" s="11">
        <v>0.0</v>
      </c>
      <c r="H527" s="6"/>
      <c r="I527" s="11">
        <v>156.4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" t="s">
        <v>222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9" t="s">
        <v>284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0" t="s">
        <v>357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" t="s">
        <v>223</v>
      </c>
      <c r="B532" s="11">
        <v>4.0</v>
      </c>
      <c r="C532" s="11">
        <v>0.0</v>
      </c>
      <c r="D532" s="11">
        <v>0.0</v>
      </c>
      <c r="E532" s="11">
        <v>0.0</v>
      </c>
      <c r="F532" s="11">
        <v>0.0</v>
      </c>
      <c r="G532" s="11">
        <v>0.0</v>
      </c>
      <c r="H532" s="6"/>
      <c r="I532" s="11">
        <v>145.2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4" t="s">
        <v>285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4" t="s">
        <v>333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0" t="s">
        <v>358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1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4" t="s">
        <v>224</v>
      </c>
      <c r="B537" s="11">
        <v>3.0</v>
      </c>
      <c r="C537" s="11">
        <v>0.0</v>
      </c>
      <c r="D537" s="11">
        <v>0.0</v>
      </c>
      <c r="E537" s="11">
        <v>0.0</v>
      </c>
      <c r="F537" s="11">
        <v>0.0</v>
      </c>
      <c r="G537" s="11">
        <v>0.0</v>
      </c>
      <c r="H537" s="6"/>
      <c r="I537" s="11">
        <v>148.2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4" t="s">
        <v>225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0" t="s">
        <v>359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1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4" t="s">
        <v>334</v>
      </c>
      <c r="B541" s="11">
        <v>3.0</v>
      </c>
      <c r="C541" s="11">
        <v>0.0</v>
      </c>
      <c r="D541" s="11">
        <v>0.0</v>
      </c>
      <c r="E541" s="11">
        <v>0.0</v>
      </c>
      <c r="F541" s="11">
        <v>0.0</v>
      </c>
      <c r="G541" s="11">
        <v>0.0</v>
      </c>
      <c r="H541" s="6"/>
      <c r="I541" s="11">
        <v>118.2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 t="s">
        <v>335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0" t="s">
        <v>360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4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0" t="s">
        <v>288</v>
      </c>
      <c r="B545" s="11">
        <v>2.0</v>
      </c>
      <c r="C545" s="11">
        <v>0.0</v>
      </c>
      <c r="D545" s="11">
        <v>0.0</v>
      </c>
      <c r="E545" s="11">
        <v>0.0</v>
      </c>
      <c r="F545" s="11">
        <v>0.0</v>
      </c>
      <c r="G545" s="11">
        <v>0.0</v>
      </c>
      <c r="H545" s="6"/>
      <c r="I545" s="11">
        <v>110.9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0" t="s">
        <v>289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4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24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4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4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4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4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4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4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4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4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9" t="s">
        <v>290</v>
      </c>
      <c r="C1" s="2" t="s">
        <v>291</v>
      </c>
      <c r="D1" s="1" t="s">
        <v>292</v>
      </c>
      <c r="E1" s="1" t="s">
        <v>6</v>
      </c>
      <c r="F1" s="1" t="s">
        <v>8</v>
      </c>
      <c r="G1" s="1" t="s">
        <v>9</v>
      </c>
      <c r="H1" s="3" t="s">
        <v>11</v>
      </c>
      <c r="I1" s="5" t="s">
        <v>12</v>
      </c>
      <c r="J1" s="5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10">
        <f t="shared" ref="K2:N2" si="1">SUM(K4:K578)</f>
        <v>0</v>
      </c>
      <c r="L2" s="10">
        <f t="shared" si="1"/>
        <v>0</v>
      </c>
      <c r="M2" s="10">
        <f t="shared" si="1"/>
        <v>1</v>
      </c>
      <c r="N2" s="10">
        <f t="shared" si="1"/>
        <v>2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45508.0</v>
      </c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22</v>
      </c>
      <c r="B4" s="11"/>
      <c r="C4" s="11"/>
      <c r="D4" s="11">
        <v>0.0</v>
      </c>
      <c r="E4" s="11">
        <v>0.0</v>
      </c>
      <c r="F4" s="11">
        <v>0.0</v>
      </c>
      <c r="G4" s="11">
        <v>0.0</v>
      </c>
      <c r="I4" s="11">
        <v>40.7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 t="s">
        <v>52</v>
      </c>
      <c r="B5" s="11"/>
      <c r="C5" s="11"/>
      <c r="D5" s="11">
        <v>0.0</v>
      </c>
      <c r="E5" s="11">
        <v>0.0</v>
      </c>
      <c r="F5" s="11">
        <v>0.0</v>
      </c>
      <c r="G5" s="11">
        <v>0.0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2" t="s">
        <v>18</v>
      </c>
      <c r="B7" s="13">
        <v>45532.0</v>
      </c>
      <c r="C7" s="9"/>
      <c r="D7" s="9"/>
      <c r="E7" s="9"/>
      <c r="F7" s="9"/>
      <c r="G7" s="9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19</v>
      </c>
      <c r="B8" s="6"/>
      <c r="C8" s="6"/>
      <c r="D8" s="11">
        <v>0.0</v>
      </c>
      <c r="E8" s="11">
        <v>0.0</v>
      </c>
      <c r="F8" s="11">
        <v>0.0</v>
      </c>
      <c r="G8" s="11">
        <v>0.0</v>
      </c>
      <c r="H8" s="11">
        <v>6.0</v>
      </c>
      <c r="I8" s="11">
        <v>59.6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21</v>
      </c>
      <c r="B10" s="6"/>
      <c r="C10" s="6"/>
      <c r="D10" s="11">
        <v>0.0</v>
      </c>
      <c r="E10" s="11">
        <v>0.0</v>
      </c>
      <c r="F10" s="11">
        <v>0.0</v>
      </c>
      <c r="G10" s="11">
        <v>0.0</v>
      </c>
      <c r="H10" s="6"/>
      <c r="I10" s="11">
        <v>32.6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37</v>
      </c>
      <c r="B12" s="6"/>
      <c r="C12" s="6"/>
      <c r="D12" s="11">
        <v>0.0</v>
      </c>
      <c r="E12" s="11">
        <v>0.0</v>
      </c>
      <c r="F12" s="11">
        <v>0.0</v>
      </c>
      <c r="G12" s="11">
        <v>0.0</v>
      </c>
      <c r="H12" s="6"/>
      <c r="I12" s="11">
        <v>21.5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39</v>
      </c>
      <c r="B14" s="6"/>
      <c r="C14" s="6"/>
      <c r="D14" s="11">
        <v>0.0</v>
      </c>
      <c r="E14" s="11">
        <v>0.0</v>
      </c>
      <c r="F14" s="11">
        <v>0.0</v>
      </c>
      <c r="G14" s="11">
        <v>0.0</v>
      </c>
      <c r="H14" s="6"/>
      <c r="I14" s="11">
        <v>63.6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41</v>
      </c>
      <c r="B16" s="6"/>
      <c r="C16" s="6"/>
      <c r="D16" s="11">
        <v>1.0</v>
      </c>
      <c r="E16" s="11">
        <v>5.0</v>
      </c>
      <c r="F16" s="11">
        <v>0.0</v>
      </c>
      <c r="G16" s="11">
        <v>0.0</v>
      </c>
      <c r="H16" s="6"/>
      <c r="I16" s="11">
        <v>97.3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149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150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361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309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362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363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364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365</v>
      </c>
      <c r="B25" s="6"/>
      <c r="C25" s="6"/>
      <c r="D25" s="11">
        <v>1.0</v>
      </c>
      <c r="E25" s="11">
        <v>2.0</v>
      </c>
      <c r="F25" s="11">
        <v>1.0</v>
      </c>
      <c r="G25" s="11">
        <v>1.0</v>
      </c>
      <c r="H25" s="6"/>
      <c r="I25" s="11">
        <v>123.5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366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367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83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151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368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4" t="s">
        <v>22</v>
      </c>
      <c r="B32" s="6"/>
      <c r="C32" s="6"/>
      <c r="D32" s="11">
        <v>2.0</v>
      </c>
      <c r="E32" s="11">
        <v>11.0</v>
      </c>
      <c r="F32" s="11">
        <v>1.0</v>
      </c>
      <c r="G32" s="11">
        <v>2.0</v>
      </c>
      <c r="H32" s="11">
        <v>8.0</v>
      </c>
      <c r="I32" s="11">
        <v>137.2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4" t="s">
        <v>52</v>
      </c>
      <c r="B33" s="6"/>
      <c r="C33" s="6"/>
      <c r="D33" s="6"/>
      <c r="E33" s="6"/>
      <c r="F33" s="6"/>
      <c r="G33" s="6"/>
      <c r="H33" s="11"/>
      <c r="I33" s="11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318</v>
      </c>
      <c r="B34" s="6"/>
      <c r="C34" s="6"/>
      <c r="D34" s="6"/>
      <c r="E34" s="6"/>
      <c r="F34" s="6"/>
      <c r="G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101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1" t="s">
        <v>186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 t="s">
        <v>53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103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189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 t="s">
        <v>369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370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54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 t="s">
        <v>104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184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183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 t="s">
        <v>107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56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 t="s">
        <v>105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179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 t="s">
        <v>296</v>
      </c>
      <c r="B51" s="6"/>
      <c r="C51" s="6"/>
      <c r="D51" s="11">
        <v>0.0</v>
      </c>
      <c r="E51" s="11">
        <v>0.0</v>
      </c>
      <c r="F51" s="11">
        <v>0.0</v>
      </c>
      <c r="G51" s="11">
        <v>0.0</v>
      </c>
      <c r="H51" s="6"/>
      <c r="I51" s="11">
        <v>24.6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58</v>
      </c>
      <c r="B53" s="6"/>
      <c r="C53" s="6"/>
      <c r="D53" s="11">
        <v>0.0</v>
      </c>
      <c r="E53" s="11">
        <v>0.0</v>
      </c>
      <c r="F53" s="11">
        <v>0.0</v>
      </c>
      <c r="G53" s="11">
        <v>0.0</v>
      </c>
      <c r="H53" s="6"/>
      <c r="I53" s="11">
        <v>120.4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 t="s">
        <v>194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195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59</v>
      </c>
      <c r="B57" s="6"/>
      <c r="C57" s="6"/>
      <c r="D57" s="11">
        <v>0.0</v>
      </c>
      <c r="E57" s="11">
        <v>0.0</v>
      </c>
      <c r="F57" s="11">
        <v>0.0</v>
      </c>
      <c r="G57" s="11">
        <v>0.0</v>
      </c>
      <c r="H57" s="6"/>
      <c r="I57" s="11">
        <v>102.5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110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 t="s">
        <v>60</v>
      </c>
      <c r="B60" s="6"/>
      <c r="C60" s="6"/>
      <c r="D60" s="11">
        <v>0.0</v>
      </c>
      <c r="E60" s="11">
        <v>0.0</v>
      </c>
      <c r="F60" s="11">
        <v>0.0</v>
      </c>
      <c r="G60" s="11">
        <v>0.0</v>
      </c>
      <c r="H60" s="6"/>
      <c r="I60" s="11">
        <v>77.1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2" t="s">
        <v>18</v>
      </c>
      <c r="B62" s="13">
        <v>45546.0</v>
      </c>
      <c r="C62" s="9"/>
      <c r="D62" s="9"/>
      <c r="E62" s="9"/>
      <c r="F62" s="9"/>
      <c r="G62" s="9"/>
      <c r="H62" s="9"/>
      <c r="I62" s="9"/>
      <c r="J62" s="9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4" t="s">
        <v>19</v>
      </c>
      <c r="B63" s="6"/>
      <c r="C63" s="6"/>
      <c r="D63" s="11">
        <v>0.0</v>
      </c>
      <c r="E63" s="11">
        <v>0.0</v>
      </c>
      <c r="F63" s="11">
        <v>0.0</v>
      </c>
      <c r="G63" s="11">
        <v>0.0</v>
      </c>
      <c r="H63" s="11">
        <v>11.0</v>
      </c>
      <c r="I63" s="11">
        <v>108.5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 t="s">
        <v>24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30" t="s">
        <v>21</v>
      </c>
      <c r="B66" s="31"/>
      <c r="C66" s="32"/>
      <c r="D66" s="33">
        <v>0.0</v>
      </c>
      <c r="E66" s="33">
        <v>0.0</v>
      </c>
      <c r="F66" s="33">
        <v>0.0</v>
      </c>
      <c r="G66" s="33">
        <v>0.0</v>
      </c>
      <c r="H66" s="32"/>
      <c r="I66" s="33">
        <v>57.4</v>
      </c>
      <c r="J66" s="3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32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6" t="s">
        <v>37</v>
      </c>
      <c r="B69" s="6"/>
      <c r="C69" s="6"/>
      <c r="D69" s="11">
        <v>0.0</v>
      </c>
      <c r="E69" s="11">
        <v>0.0</v>
      </c>
      <c r="F69" s="11">
        <v>0.0</v>
      </c>
      <c r="G69" s="11">
        <v>0.0</v>
      </c>
      <c r="H69" s="6"/>
      <c r="I69" s="11">
        <v>11.6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6" t="s">
        <v>39</v>
      </c>
      <c r="B71" s="6"/>
      <c r="C71" s="6"/>
      <c r="D71" s="11">
        <v>0.0</v>
      </c>
      <c r="E71" s="11">
        <v>0.0</v>
      </c>
      <c r="F71" s="11">
        <v>0.0</v>
      </c>
      <c r="G71" s="11">
        <v>0.0</v>
      </c>
      <c r="H71" s="6"/>
      <c r="I71" s="11">
        <v>91.7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79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146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4" t="s">
        <v>41</v>
      </c>
      <c r="B75" s="6"/>
      <c r="C75" s="6"/>
      <c r="D75" s="11">
        <v>1.0</v>
      </c>
      <c r="E75" s="11">
        <v>6.0</v>
      </c>
      <c r="F75" s="11">
        <v>1.0</v>
      </c>
      <c r="G75" s="11">
        <v>4.0</v>
      </c>
      <c r="H75" s="6"/>
      <c r="I75" s="11">
        <v>139.4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4" t="s">
        <v>149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4" t="s">
        <v>150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4" t="s">
        <v>361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4" t="s">
        <v>309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4" t="s">
        <v>362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4" t="s">
        <v>363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4" t="s">
        <v>364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1" t="s">
        <v>371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 t="s">
        <v>372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 t="s">
        <v>373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338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1" t="s">
        <v>374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 t="s">
        <v>239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4" t="s">
        <v>365</v>
      </c>
      <c r="B90" s="6"/>
      <c r="C90" s="6"/>
      <c r="D90" s="11">
        <v>1.0</v>
      </c>
      <c r="E90" s="11">
        <v>6.0</v>
      </c>
      <c r="F90" s="11">
        <v>1.0</v>
      </c>
      <c r="G90" s="11">
        <v>3.0</v>
      </c>
      <c r="H90" s="6"/>
      <c r="I90" s="11">
        <v>160.5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4" t="s">
        <v>366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4" t="s">
        <v>367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4" t="s">
        <v>83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4" t="s">
        <v>151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4" t="s">
        <v>368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5" t="s">
        <v>375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1" t="s">
        <v>376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1" t="s">
        <v>377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1" t="s">
        <v>378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1" t="s">
        <v>379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1" t="s">
        <v>380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1" t="s">
        <v>43</v>
      </c>
      <c r="B103" s="6"/>
      <c r="C103" s="6"/>
      <c r="D103" s="11">
        <v>0.0</v>
      </c>
      <c r="E103" s="11">
        <v>0.0</v>
      </c>
      <c r="F103" s="11">
        <v>0.0</v>
      </c>
      <c r="G103" s="11">
        <v>0.0</v>
      </c>
      <c r="H103" s="6"/>
      <c r="I103" s="11">
        <v>85.3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1" t="s">
        <v>44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1" t="s">
        <v>87</v>
      </c>
      <c r="B106" s="6"/>
      <c r="C106" s="6"/>
      <c r="D106" s="11">
        <v>0.0</v>
      </c>
      <c r="E106" s="11">
        <v>0.0</v>
      </c>
      <c r="F106" s="11">
        <v>0.0</v>
      </c>
      <c r="G106" s="11">
        <v>0.0</v>
      </c>
      <c r="H106" s="6"/>
      <c r="I106" s="11">
        <v>35.5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1" t="s">
        <v>47</v>
      </c>
      <c r="B108" s="6"/>
      <c r="C108" s="6"/>
      <c r="D108" s="11">
        <v>0.0</v>
      </c>
      <c r="E108" s="11">
        <v>0.0</v>
      </c>
      <c r="F108" s="11">
        <v>0.0</v>
      </c>
      <c r="G108" s="11">
        <v>0.0</v>
      </c>
      <c r="H108" s="6"/>
      <c r="I108" s="11">
        <v>62.4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4" t="s">
        <v>22</v>
      </c>
      <c r="B110" s="6"/>
      <c r="C110" s="6"/>
      <c r="D110" s="11">
        <v>2.0</v>
      </c>
      <c r="E110" s="11">
        <v>14.0</v>
      </c>
      <c r="F110" s="11">
        <v>1.0</v>
      </c>
      <c r="G110" s="11">
        <v>7.0</v>
      </c>
      <c r="H110" s="11">
        <v>15.0</v>
      </c>
      <c r="I110" s="11">
        <v>167.4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4" t="s">
        <v>52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4" t="s">
        <v>318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 t="s">
        <v>101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 t="s">
        <v>186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4" t="s">
        <v>53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4" t="s">
        <v>103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 t="s">
        <v>189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 t="s">
        <v>369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4" t="s">
        <v>370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4" t="s">
        <v>54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4" t="s">
        <v>104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4" t="s">
        <v>184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4" t="s">
        <v>183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4" t="s">
        <v>107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4" t="s">
        <v>56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4" t="s">
        <v>105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4" t="s">
        <v>179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1" t="s">
        <v>259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 t="s">
        <v>264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" t="s">
        <v>262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 t="s">
        <v>381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 t="s">
        <v>382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185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 t="s">
        <v>265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180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1" t="s">
        <v>260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4" t="s">
        <v>296</v>
      </c>
      <c r="B138" s="6"/>
      <c r="C138" s="6"/>
      <c r="D138" s="11">
        <v>1.0</v>
      </c>
      <c r="E138" s="11">
        <v>1.0</v>
      </c>
      <c r="F138" s="11">
        <v>0.0</v>
      </c>
      <c r="G138" s="11">
        <v>0.0</v>
      </c>
      <c r="H138" s="6"/>
      <c r="I138" s="11">
        <v>83.5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1" t="s">
        <v>301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1" t="s">
        <v>109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4" t="s">
        <v>58</v>
      </c>
      <c r="B142" s="6"/>
      <c r="C142" s="6"/>
      <c r="D142" s="11">
        <v>1.0</v>
      </c>
      <c r="E142" s="11">
        <v>1.0</v>
      </c>
      <c r="F142" s="11">
        <v>0.0</v>
      </c>
      <c r="G142" s="11">
        <v>0.0</v>
      </c>
      <c r="H142" s="6"/>
      <c r="I142" s="11">
        <v>158.0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194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 t="s">
        <v>195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1" t="s">
        <v>268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 t="s">
        <v>196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4" t="s">
        <v>59</v>
      </c>
      <c r="B148" s="6"/>
      <c r="C148" s="6"/>
      <c r="D148" s="11">
        <v>1.0</v>
      </c>
      <c r="E148" s="11">
        <v>2.0</v>
      </c>
      <c r="F148" s="11">
        <v>0.0</v>
      </c>
      <c r="G148" s="11">
        <v>0.0</v>
      </c>
      <c r="H148" s="6"/>
      <c r="I148" s="11">
        <v>151.4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4" t="s">
        <v>110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1" t="s">
        <v>198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303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1" t="s">
        <v>304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 t="s">
        <v>60</v>
      </c>
      <c r="B154" s="6"/>
      <c r="C154" s="6"/>
      <c r="D154" s="11">
        <v>0.0</v>
      </c>
      <c r="E154" s="11">
        <v>0.0</v>
      </c>
      <c r="F154" s="11">
        <v>0.0</v>
      </c>
      <c r="G154" s="11">
        <v>0.0</v>
      </c>
      <c r="H154" s="6"/>
      <c r="I154" s="11">
        <v>117.6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111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 t="s">
        <v>199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61</v>
      </c>
      <c r="B158" s="6"/>
      <c r="C158" s="6"/>
      <c r="D158" s="11">
        <v>0.0</v>
      </c>
      <c r="E158" s="11">
        <v>0.0</v>
      </c>
      <c r="F158" s="11">
        <v>0.0</v>
      </c>
      <c r="G158" s="11">
        <v>0.0</v>
      </c>
      <c r="H158" s="6"/>
      <c r="I158" s="11">
        <v>69.4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11" t="s">
        <v>113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1" t="s">
        <v>62</v>
      </c>
      <c r="B161" s="6"/>
      <c r="C161" s="6"/>
      <c r="D161" s="11">
        <v>1.0</v>
      </c>
      <c r="E161" s="11">
        <v>1.0</v>
      </c>
      <c r="F161" s="11">
        <v>0.0</v>
      </c>
      <c r="G161" s="11">
        <v>0.0</v>
      </c>
      <c r="H161" s="6"/>
      <c r="I161" s="11">
        <v>70.8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1" t="s">
        <v>114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 t="s">
        <v>383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1" t="s">
        <v>117</v>
      </c>
      <c r="B165" s="6"/>
      <c r="C165" s="6"/>
      <c r="D165" s="11">
        <v>0.0</v>
      </c>
      <c r="E165" s="11">
        <v>0.0</v>
      </c>
      <c r="F165" s="11">
        <v>0.0</v>
      </c>
      <c r="G165" s="11">
        <v>0.0</v>
      </c>
      <c r="H165" s="6"/>
      <c r="I165" s="11">
        <v>57.2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1" t="s">
        <v>118</v>
      </c>
      <c r="B167" s="6"/>
      <c r="C167" s="6"/>
      <c r="D167" s="11">
        <v>0.0</v>
      </c>
      <c r="E167" s="11">
        <v>0.0</v>
      </c>
      <c r="F167" s="11">
        <v>0.0</v>
      </c>
      <c r="G167" s="11">
        <v>0.0</v>
      </c>
      <c r="H167" s="6"/>
      <c r="I167" s="11">
        <v>64.6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1" t="s">
        <v>119</v>
      </c>
      <c r="B169" s="6"/>
      <c r="C169" s="6"/>
      <c r="D169" s="11">
        <v>0.0</v>
      </c>
      <c r="E169" s="11">
        <v>0.0</v>
      </c>
      <c r="F169" s="11">
        <v>0.0</v>
      </c>
      <c r="G169" s="11">
        <v>0.0</v>
      </c>
      <c r="H169" s="6"/>
      <c r="I169" s="11">
        <v>55.2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1" t="s">
        <v>122</v>
      </c>
      <c r="B171" s="6"/>
      <c r="C171" s="6"/>
      <c r="D171" s="11">
        <v>0.0</v>
      </c>
      <c r="E171" s="11">
        <v>0.0</v>
      </c>
      <c r="F171" s="11">
        <v>0.0</v>
      </c>
      <c r="G171" s="11">
        <v>0.0</v>
      </c>
      <c r="H171" s="6"/>
      <c r="I171" s="11">
        <v>43.8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1" t="s">
        <v>125</v>
      </c>
      <c r="B173" s="6"/>
      <c r="C173" s="6"/>
      <c r="D173" s="11">
        <v>0.0</v>
      </c>
      <c r="E173" s="11">
        <v>0.0</v>
      </c>
      <c r="F173" s="11">
        <v>0.0</v>
      </c>
      <c r="G173" s="11">
        <v>0.0</v>
      </c>
      <c r="H173" s="6"/>
      <c r="I173" s="11">
        <v>44.7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2" t="s">
        <v>18</v>
      </c>
      <c r="B175" s="13">
        <v>45560.0</v>
      </c>
      <c r="C175" s="9"/>
      <c r="D175" s="9"/>
      <c r="E175" s="9"/>
      <c r="F175" s="9"/>
      <c r="G175" s="9"/>
      <c r="H175" s="9"/>
      <c r="I175" s="9"/>
      <c r="J175" s="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 t="s">
        <v>19</v>
      </c>
      <c r="B176" s="6"/>
      <c r="C176" s="6"/>
      <c r="D176" s="11">
        <v>0.0</v>
      </c>
      <c r="E176" s="11">
        <v>0.0</v>
      </c>
      <c r="F176" s="11">
        <v>0.0</v>
      </c>
      <c r="G176" s="11">
        <v>0.0</v>
      </c>
      <c r="H176" s="6"/>
      <c r="I176" s="11">
        <v>139.4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 t="s">
        <v>24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0" t="s">
        <v>25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21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30" t="s">
        <v>21</v>
      </c>
      <c r="B180" s="6"/>
      <c r="C180" s="6"/>
      <c r="D180" s="11">
        <v>1.0</v>
      </c>
      <c r="E180" s="11">
        <v>2.0</v>
      </c>
      <c r="F180" s="11">
        <v>0.0</v>
      </c>
      <c r="G180" s="11">
        <v>0.0</v>
      </c>
      <c r="H180" s="6"/>
      <c r="I180" s="11">
        <v>96.5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 t="s">
        <v>32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20" t="s">
        <v>33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20" t="s">
        <v>35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20" t="s">
        <v>36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1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4" t="s">
        <v>37</v>
      </c>
      <c r="B186" s="6"/>
      <c r="C186" s="6"/>
      <c r="D186" s="11">
        <v>0.0</v>
      </c>
      <c r="E186" s="11">
        <v>0.0</v>
      </c>
      <c r="F186" s="11">
        <v>0.0</v>
      </c>
      <c r="G186" s="11">
        <v>0.0</v>
      </c>
      <c r="H186" s="6"/>
      <c r="I186" s="11">
        <v>11.4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1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4" t="s">
        <v>39</v>
      </c>
      <c r="B188" s="6"/>
      <c r="C188" s="6"/>
      <c r="D188" s="11">
        <v>0.0</v>
      </c>
      <c r="E188" s="11">
        <v>0.0</v>
      </c>
      <c r="F188" s="11">
        <v>0.0</v>
      </c>
      <c r="G188" s="11">
        <v>0.0</v>
      </c>
      <c r="H188" s="6"/>
      <c r="I188" s="11">
        <v>91.4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 t="s">
        <v>79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 t="s">
        <v>146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21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41</v>
      </c>
      <c r="B192" s="6"/>
      <c r="C192" s="6"/>
      <c r="D192" s="11">
        <v>1.0</v>
      </c>
      <c r="E192" s="11">
        <v>10.0</v>
      </c>
      <c r="F192" s="11">
        <v>1.0</v>
      </c>
      <c r="G192" s="11">
        <v>6.0</v>
      </c>
      <c r="H192" s="6"/>
      <c r="I192" s="11">
        <v>185.0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 t="s">
        <v>149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 t="s">
        <v>150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 t="s">
        <v>361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309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362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363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364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 t="s">
        <v>371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 t="s">
        <v>372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 t="s">
        <v>373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4" t="s">
        <v>338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4" t="s">
        <v>374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 t="s">
        <v>239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20" t="s">
        <v>307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20" t="s">
        <v>384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20" t="s">
        <v>385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20" t="s">
        <v>386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20" t="s">
        <v>387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0" t="s">
        <v>388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0" t="s">
        <v>389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1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365</v>
      </c>
      <c r="B214" s="6"/>
      <c r="C214" s="6"/>
      <c r="D214" s="11">
        <v>1.0</v>
      </c>
      <c r="E214" s="11">
        <v>8.0</v>
      </c>
      <c r="F214" s="11">
        <v>1.0</v>
      </c>
      <c r="G214" s="11">
        <v>6.0</v>
      </c>
      <c r="H214" s="6"/>
      <c r="I214" s="11">
        <v>177.8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4" t="s">
        <v>366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 t="s">
        <v>367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83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151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368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9" t="s">
        <v>375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 t="s">
        <v>376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4" t="s">
        <v>377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4" t="s">
        <v>378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 t="s">
        <v>379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4" t="s">
        <v>380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20" t="s">
        <v>390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20" t="s">
        <v>391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20" t="s">
        <v>392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20" t="s">
        <v>393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20" t="s">
        <v>394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20" t="s">
        <v>395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20" t="s">
        <v>152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21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" t="s">
        <v>43</v>
      </c>
      <c r="B234" s="6"/>
      <c r="C234" s="6"/>
      <c r="D234" s="11">
        <v>0.0</v>
      </c>
      <c r="E234" s="11">
        <v>0.0</v>
      </c>
      <c r="F234" s="11">
        <v>0.0</v>
      </c>
      <c r="G234" s="11">
        <v>0.0</v>
      </c>
      <c r="H234" s="6"/>
      <c r="I234" s="11">
        <v>124.1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" t="s">
        <v>44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20" t="s">
        <v>84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21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 t="s">
        <v>87</v>
      </c>
      <c r="B238" s="6"/>
      <c r="C238" s="6"/>
      <c r="D238" s="11">
        <v>0.0</v>
      </c>
      <c r="E238" s="11">
        <v>0.0</v>
      </c>
      <c r="F238" s="11">
        <v>0.0</v>
      </c>
      <c r="G238" s="11">
        <v>0.0</v>
      </c>
      <c r="H238" s="6"/>
      <c r="I238" s="11">
        <v>84.8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0" t="s">
        <v>88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1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4" t="s">
        <v>47</v>
      </c>
      <c r="B241" s="6"/>
      <c r="C241" s="6"/>
      <c r="D241" s="11">
        <v>0.0</v>
      </c>
      <c r="E241" s="11">
        <v>0.0</v>
      </c>
      <c r="F241" s="11">
        <v>0.0</v>
      </c>
      <c r="G241" s="11">
        <v>0.0</v>
      </c>
      <c r="H241" s="6"/>
      <c r="I241" s="11">
        <v>97.4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0" t="s">
        <v>92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0" t="s">
        <v>165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1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0" t="s">
        <v>48</v>
      </c>
      <c r="B245" s="6"/>
      <c r="C245" s="6"/>
      <c r="D245" s="11">
        <v>0.0</v>
      </c>
      <c r="E245" s="11">
        <v>0.0</v>
      </c>
      <c r="F245" s="11">
        <v>0.0</v>
      </c>
      <c r="G245" s="11">
        <v>0.0</v>
      </c>
      <c r="H245" s="6"/>
      <c r="I245" s="11">
        <v>71.0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4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20" t="s">
        <v>49</v>
      </c>
      <c r="B247" s="6"/>
      <c r="C247" s="6"/>
      <c r="D247" s="11">
        <v>0.0</v>
      </c>
      <c r="E247" s="11">
        <v>0.0</v>
      </c>
      <c r="F247" s="11">
        <v>0.0</v>
      </c>
      <c r="G247" s="11">
        <v>0.0</v>
      </c>
      <c r="H247" s="6"/>
      <c r="I247" s="11">
        <v>85.1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20" t="s">
        <v>95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21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" t="s">
        <v>22</v>
      </c>
      <c r="B250" s="6"/>
      <c r="C250" s="6"/>
      <c r="D250" s="11">
        <v>2.0</v>
      </c>
      <c r="E250" s="11">
        <v>18.0</v>
      </c>
      <c r="F250" s="11">
        <v>2.0</v>
      </c>
      <c r="G250" s="11">
        <v>11.0</v>
      </c>
      <c r="H250" s="6"/>
      <c r="I250" s="11">
        <v>181.2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" t="s">
        <v>52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318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 t="s">
        <v>101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 t="s">
        <v>186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 t="s">
        <v>53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" t="s">
        <v>103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" t="s">
        <v>189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" t="s">
        <v>369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" t="s">
        <v>370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" t="s">
        <v>54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" t="s">
        <v>104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 t="s">
        <v>184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 t="s">
        <v>183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 t="s">
        <v>107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 t="s">
        <v>56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 t="s">
        <v>105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179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259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 t="s">
        <v>264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 t="s">
        <v>262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 t="s">
        <v>381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 t="s">
        <v>382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 t="s">
        <v>185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 t="s">
        <v>265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" t="s">
        <v>180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4" t="s">
        <v>260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0" t="s">
        <v>396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0" t="s">
        <v>397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0" t="s">
        <v>398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0" t="s">
        <v>399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0" t="s">
        <v>400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0" t="s">
        <v>401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0" t="s">
        <v>402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0" t="s">
        <v>403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0" t="s">
        <v>404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1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4" t="s">
        <v>296</v>
      </c>
      <c r="B287" s="6"/>
      <c r="C287" s="6"/>
      <c r="D287" s="11">
        <v>1.0</v>
      </c>
      <c r="E287" s="11">
        <v>2.0</v>
      </c>
      <c r="F287" s="11">
        <v>0.0</v>
      </c>
      <c r="G287" s="11">
        <v>0.0</v>
      </c>
      <c r="H287" s="6"/>
      <c r="I287" s="11">
        <v>115.3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" t="s">
        <v>301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 t="s">
        <v>109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0" t="s">
        <v>319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0" t="s">
        <v>320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0" t="s">
        <v>193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1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4" t="s">
        <v>58</v>
      </c>
      <c r="B294" s="6"/>
      <c r="C294" s="6"/>
      <c r="D294" s="11">
        <v>1.0</v>
      </c>
      <c r="E294" s="11">
        <v>2.0</v>
      </c>
      <c r="F294" s="11">
        <v>0.0</v>
      </c>
      <c r="G294" s="11">
        <v>0.0</v>
      </c>
      <c r="H294" s="6"/>
      <c r="I294" s="11">
        <v>188.2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4" t="s">
        <v>194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" t="s">
        <v>195</v>
      </c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 t="s">
        <v>268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 t="s">
        <v>196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0" t="s">
        <v>323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20" t="s">
        <v>321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1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4" t="s">
        <v>59</v>
      </c>
      <c r="B302" s="6"/>
      <c r="C302" s="6"/>
      <c r="D302" s="11">
        <v>1.0</v>
      </c>
      <c r="E302" s="11">
        <v>4.0</v>
      </c>
      <c r="F302" s="11">
        <v>0.0</v>
      </c>
      <c r="G302" s="11">
        <v>0.0</v>
      </c>
      <c r="H302" s="6"/>
      <c r="I302" s="11">
        <v>176.1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 t="s">
        <v>110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198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 t="s">
        <v>303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" t="s">
        <v>304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0" t="s">
        <v>269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0" t="s">
        <v>324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0" t="s">
        <v>302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0" t="s">
        <v>326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" t="s">
        <v>60</v>
      </c>
      <c r="B312" s="6"/>
      <c r="C312" s="6"/>
      <c r="D312" s="11">
        <v>0.0</v>
      </c>
      <c r="E312" s="11">
        <v>0.0</v>
      </c>
      <c r="F312" s="11">
        <v>0.0</v>
      </c>
      <c r="G312" s="11">
        <v>0.0</v>
      </c>
      <c r="H312" s="6"/>
      <c r="I312" s="11">
        <v>136.6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 t="s">
        <v>111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4" t="s">
        <v>199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0" t="s">
        <v>200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1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" t="s">
        <v>61</v>
      </c>
      <c r="B317" s="6"/>
      <c r="C317" s="6"/>
      <c r="D317" s="11">
        <v>1.0</v>
      </c>
      <c r="E317" s="11">
        <v>1.0</v>
      </c>
      <c r="F317" s="11">
        <v>0.0</v>
      </c>
      <c r="G317" s="11">
        <v>0.0</v>
      </c>
      <c r="H317" s="6"/>
      <c r="I317" s="11">
        <v>113.2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" t="s">
        <v>113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20" t="s">
        <v>202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20" t="s">
        <v>203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1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4" t="s">
        <v>62</v>
      </c>
      <c r="B322" s="6"/>
      <c r="C322" s="6"/>
      <c r="D322" s="11">
        <v>1.0</v>
      </c>
      <c r="E322" s="11">
        <v>1.0</v>
      </c>
      <c r="F322" s="11">
        <v>0.0</v>
      </c>
      <c r="G322" s="11">
        <v>0.0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 t="s">
        <v>114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 t="s">
        <v>383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0" t="s">
        <v>116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 t="s">
        <v>117</v>
      </c>
      <c r="B327" s="6"/>
      <c r="C327" s="6"/>
      <c r="D327" s="11">
        <v>0.0</v>
      </c>
      <c r="E327" s="11">
        <v>0.0</v>
      </c>
      <c r="F327" s="11">
        <v>0.0</v>
      </c>
      <c r="G327" s="11">
        <v>0.0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0" t="s">
        <v>206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4" t="s">
        <v>118</v>
      </c>
      <c r="B330" s="6"/>
      <c r="C330" s="6"/>
      <c r="D330" s="11">
        <v>0.0</v>
      </c>
      <c r="E330" s="11">
        <v>0.0</v>
      </c>
      <c r="F330" s="11">
        <v>0.0</v>
      </c>
      <c r="G330" s="11">
        <v>0.0</v>
      </c>
      <c r="H330" s="6"/>
      <c r="I330" s="11">
        <v>98.9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0" t="s">
        <v>208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0" t="s">
        <v>277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1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4" t="s">
        <v>119</v>
      </c>
      <c r="B334" s="6"/>
      <c r="C334" s="6"/>
      <c r="D334" s="11">
        <v>0.0</v>
      </c>
      <c r="E334" s="11">
        <v>0.0</v>
      </c>
      <c r="F334" s="11">
        <v>0.0</v>
      </c>
      <c r="G334" s="11">
        <v>0.0</v>
      </c>
      <c r="H334" s="6"/>
      <c r="I334" s="11">
        <v>99.9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0" t="s">
        <v>120</v>
      </c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1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 t="s">
        <v>122</v>
      </c>
      <c r="B337" s="6"/>
      <c r="C337" s="6"/>
      <c r="D337" s="11">
        <v>0.0</v>
      </c>
      <c r="E337" s="11">
        <v>0.0</v>
      </c>
      <c r="F337" s="11">
        <v>0.0</v>
      </c>
      <c r="G337" s="11">
        <v>0.0</v>
      </c>
      <c r="H337" s="6"/>
      <c r="I337" s="11">
        <v>46.3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0" t="s">
        <v>124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1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 t="s">
        <v>125</v>
      </c>
      <c r="B340" s="6"/>
      <c r="C340" s="6"/>
      <c r="D340" s="11">
        <v>0.0</v>
      </c>
      <c r="E340" s="11">
        <v>0.0</v>
      </c>
      <c r="F340" s="11">
        <v>0.0</v>
      </c>
      <c r="G340" s="11">
        <v>0.0</v>
      </c>
      <c r="H340" s="6"/>
      <c r="I340" s="11">
        <v>69.4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1" t="s">
        <v>213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1" t="s">
        <v>216</v>
      </c>
      <c r="B343" s="6"/>
      <c r="C343" s="6"/>
      <c r="D343" s="11">
        <v>0.0</v>
      </c>
      <c r="E343" s="11">
        <v>0.0</v>
      </c>
      <c r="F343" s="11">
        <v>0.0</v>
      </c>
      <c r="G343" s="11">
        <v>0.0</v>
      </c>
      <c r="H343" s="6"/>
      <c r="I343" s="11">
        <v>70.5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1" t="s">
        <v>218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1" t="s">
        <v>221</v>
      </c>
      <c r="B346" s="6"/>
      <c r="C346" s="6"/>
      <c r="D346" s="11">
        <v>0.0</v>
      </c>
      <c r="E346" s="11">
        <v>0.0</v>
      </c>
      <c r="F346" s="11">
        <v>0.0</v>
      </c>
      <c r="G346" s="11">
        <v>0.0</v>
      </c>
      <c r="H346" s="6"/>
      <c r="I346" s="11">
        <v>43.4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1" t="s">
        <v>223</v>
      </c>
      <c r="B348" s="6"/>
      <c r="C348" s="6"/>
      <c r="D348" s="11">
        <v>0.0</v>
      </c>
      <c r="E348" s="11">
        <v>0.0</v>
      </c>
      <c r="F348" s="11">
        <v>0.0</v>
      </c>
      <c r="G348" s="11">
        <v>0.0</v>
      </c>
      <c r="H348" s="6"/>
      <c r="I348" s="11">
        <v>93.2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1" t="s">
        <v>285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1" t="s">
        <v>224</v>
      </c>
      <c r="B351" s="6"/>
      <c r="C351" s="6"/>
      <c r="D351" s="11">
        <v>0.0</v>
      </c>
      <c r="E351" s="11">
        <v>0.0</v>
      </c>
      <c r="F351" s="11">
        <v>0.0</v>
      </c>
      <c r="G351" s="11">
        <v>0.0</v>
      </c>
      <c r="H351" s="6"/>
      <c r="I351" s="11">
        <v>70.4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1" t="s">
        <v>225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1" t="s">
        <v>334</v>
      </c>
      <c r="B354" s="6"/>
      <c r="C354" s="6"/>
      <c r="D354" s="11">
        <v>0.0</v>
      </c>
      <c r="E354" s="11">
        <v>0.0</v>
      </c>
      <c r="F354" s="11">
        <v>0.0</v>
      </c>
      <c r="G354" s="11">
        <v>0.0</v>
      </c>
      <c r="H354" s="6"/>
      <c r="I354" s="11">
        <v>72.8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2" t="s">
        <v>18</v>
      </c>
      <c r="B356" s="13">
        <v>45574.0</v>
      </c>
      <c r="C356" s="9"/>
      <c r="D356" s="9"/>
      <c r="E356" s="9"/>
      <c r="F356" s="9"/>
      <c r="G356" s="9"/>
      <c r="H356" s="9"/>
      <c r="I356" s="9"/>
      <c r="J356" s="9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 t="s">
        <v>19</v>
      </c>
      <c r="B357" s="11">
        <v>4.0</v>
      </c>
      <c r="C357" s="11">
        <v>0.0</v>
      </c>
      <c r="D357" s="11">
        <v>0.0</v>
      </c>
      <c r="E357" s="11">
        <v>0.0</v>
      </c>
      <c r="F357" s="11">
        <v>0.0</v>
      </c>
      <c r="G357" s="11">
        <v>0.0</v>
      </c>
      <c r="H357" s="6"/>
      <c r="I357" s="11">
        <v>158.2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 t="s">
        <v>24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25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20" t="s">
        <v>64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21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30" t="s">
        <v>21</v>
      </c>
      <c r="B362" s="11">
        <v>6.0</v>
      </c>
      <c r="C362" s="11">
        <v>0.0</v>
      </c>
      <c r="D362" s="11">
        <v>1.0</v>
      </c>
      <c r="E362" s="11">
        <v>2.0</v>
      </c>
      <c r="F362" s="11">
        <v>0.0</v>
      </c>
      <c r="G362" s="11">
        <v>0.0</v>
      </c>
      <c r="H362" s="6"/>
      <c r="I362" s="11">
        <v>102.3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" t="s">
        <v>32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" t="s">
        <v>33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" t="s">
        <v>35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" t="s">
        <v>36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0" t="s">
        <v>72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1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 t="s">
        <v>37</v>
      </c>
      <c r="B369" s="11">
        <v>1.0</v>
      </c>
      <c r="C369" s="11">
        <v>0.0</v>
      </c>
      <c r="D369" s="11">
        <v>0.0</v>
      </c>
      <c r="E369" s="11">
        <v>0.0</v>
      </c>
      <c r="F369" s="11">
        <v>0.0</v>
      </c>
      <c r="G369" s="11">
        <v>0.0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1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 t="s">
        <v>39</v>
      </c>
      <c r="B371" s="11">
        <v>3.0</v>
      </c>
      <c r="C371" s="11">
        <v>0.0</v>
      </c>
      <c r="D371" s="11">
        <v>0.0</v>
      </c>
      <c r="E371" s="11">
        <v>0.0</v>
      </c>
      <c r="F371" s="11">
        <v>0.0</v>
      </c>
      <c r="G371" s="11">
        <v>0.0</v>
      </c>
      <c r="H371" s="6"/>
      <c r="I371" s="11">
        <v>91.1</v>
      </c>
      <c r="J371" s="11" t="s">
        <v>405</v>
      </c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 t="s">
        <v>79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 t="s">
        <v>146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1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" t="s">
        <v>41</v>
      </c>
      <c r="B375" s="11">
        <v>11.0</v>
      </c>
      <c r="C375" s="11">
        <v>15.0</v>
      </c>
      <c r="D375" s="11">
        <v>1.0</v>
      </c>
      <c r="E375" s="11">
        <v>12.0</v>
      </c>
      <c r="F375" s="11">
        <v>1.0</v>
      </c>
      <c r="G375" s="11">
        <v>8.0</v>
      </c>
      <c r="H375" s="6"/>
      <c r="I375" s="11">
        <v>192.5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" t="s">
        <v>149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4" t="s">
        <v>150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4" t="s">
        <v>361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" t="s">
        <v>309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 t="s">
        <v>362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 t="s">
        <v>363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364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" t="s">
        <v>371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" t="s">
        <v>372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" t="s">
        <v>373</v>
      </c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" t="s">
        <v>338</v>
      </c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" t="s">
        <v>374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 t="s">
        <v>239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307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 t="s">
        <v>384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 t="s">
        <v>385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 t="s">
        <v>386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 t="s">
        <v>387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 t="s">
        <v>388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" t="s">
        <v>389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20" t="s">
        <v>406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20" t="s">
        <v>337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0" t="s">
        <v>407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0" t="s">
        <v>408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0" t="s">
        <v>409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1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4" t="s">
        <v>365</v>
      </c>
      <c r="B402" s="11">
        <v>10.0</v>
      </c>
      <c r="C402" s="11">
        <v>13.0</v>
      </c>
      <c r="D402" s="11">
        <v>1.0</v>
      </c>
      <c r="E402" s="11">
        <v>9.0</v>
      </c>
      <c r="F402" s="11">
        <v>1.0</v>
      </c>
      <c r="G402" s="11">
        <v>8.0</v>
      </c>
      <c r="H402" s="6"/>
      <c r="I402" s="11">
        <v>201.1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4" t="s">
        <v>366</v>
      </c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4" t="s">
        <v>367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4" t="s">
        <v>83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4" t="s">
        <v>151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368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9" t="s">
        <v>375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" t="s">
        <v>376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4" t="s">
        <v>377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4" t="s">
        <v>378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" t="s">
        <v>379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" t="s">
        <v>380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4" t="s">
        <v>390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4" t="s">
        <v>391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4" t="s">
        <v>392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" t="s">
        <v>393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" t="s">
        <v>394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4" t="s">
        <v>395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" t="s">
        <v>152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0" t="s">
        <v>410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0" t="s">
        <v>411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20" t="s">
        <v>412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0" t="s">
        <v>413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" t="s">
        <v>43</v>
      </c>
      <c r="B426" s="11">
        <v>4.0</v>
      </c>
      <c r="C426" s="11">
        <v>0.0</v>
      </c>
      <c r="D426" s="11">
        <v>0.0</v>
      </c>
      <c r="E426" s="11">
        <v>0.0</v>
      </c>
      <c r="F426" s="11">
        <v>0.0</v>
      </c>
      <c r="G426" s="11">
        <v>0.0</v>
      </c>
      <c r="H426" s="6"/>
      <c r="I426" s="11">
        <v>149.9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4" t="s">
        <v>44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4" t="s">
        <v>84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0" t="s">
        <v>159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1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4" t="s">
        <v>87</v>
      </c>
      <c r="B431" s="11">
        <v>3.0</v>
      </c>
      <c r="C431" s="11">
        <v>0.0</v>
      </c>
      <c r="D431" s="11">
        <v>0.0</v>
      </c>
      <c r="E431" s="11">
        <v>0.0</v>
      </c>
      <c r="F431" s="11">
        <v>0.0</v>
      </c>
      <c r="G431" s="11">
        <v>0.0</v>
      </c>
      <c r="H431" s="6"/>
      <c r="I431" s="11">
        <v>105.6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4" t="s">
        <v>88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0" t="s">
        <v>89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1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4" t="s">
        <v>47</v>
      </c>
      <c r="B435" s="11">
        <v>3.0</v>
      </c>
      <c r="C435" s="11">
        <v>0.0</v>
      </c>
      <c r="D435" s="11">
        <v>0.0</v>
      </c>
      <c r="E435" s="11">
        <v>0.0</v>
      </c>
      <c r="F435" s="11">
        <v>0.0</v>
      </c>
      <c r="G435" s="11">
        <v>0.0</v>
      </c>
      <c r="H435" s="6"/>
      <c r="I435" s="11">
        <v>113.5</v>
      </c>
      <c r="J435" s="6"/>
      <c r="K435" s="6"/>
      <c r="L435" s="6"/>
      <c r="M435" s="11"/>
      <c r="N435" s="11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4" t="s">
        <v>92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" t="s">
        <v>165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1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4" t="s">
        <v>48</v>
      </c>
      <c r="B439" s="11">
        <v>2.0</v>
      </c>
      <c r="C439" s="11">
        <v>0.0</v>
      </c>
      <c r="D439" s="11">
        <v>0.0</v>
      </c>
      <c r="E439" s="11">
        <v>0.0</v>
      </c>
      <c r="F439" s="11">
        <v>0.0</v>
      </c>
      <c r="G439" s="11">
        <v>0.0</v>
      </c>
      <c r="H439" s="6"/>
      <c r="I439" s="11">
        <v>91.6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0" t="s">
        <v>93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21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" t="s">
        <v>49</v>
      </c>
      <c r="B442" s="11">
        <v>3.0</v>
      </c>
      <c r="C442" s="11">
        <v>0.0</v>
      </c>
      <c r="D442" s="11">
        <v>0.0</v>
      </c>
      <c r="E442" s="11">
        <v>0.0</v>
      </c>
      <c r="F442" s="11">
        <v>0.0</v>
      </c>
      <c r="G442" s="11">
        <v>0.0</v>
      </c>
      <c r="H442" s="6"/>
      <c r="I442" s="11">
        <v>107.0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" t="s">
        <v>95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20" t="s">
        <v>96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24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20" t="s">
        <v>98</v>
      </c>
      <c r="B446" s="11">
        <v>1.0</v>
      </c>
      <c r="C446" s="11">
        <v>0.0</v>
      </c>
      <c r="D446" s="11">
        <v>0.0</v>
      </c>
      <c r="E446" s="11">
        <v>0.0</v>
      </c>
      <c r="F446" s="11">
        <v>0.0</v>
      </c>
      <c r="G446" s="11">
        <v>0.0</v>
      </c>
      <c r="H446" s="6"/>
      <c r="I446" s="11">
        <v>68.4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4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0" t="s">
        <v>177</v>
      </c>
      <c r="B448" s="11">
        <v>1.0</v>
      </c>
      <c r="C448" s="11">
        <v>0.0</v>
      </c>
      <c r="D448" s="11">
        <v>0.0</v>
      </c>
      <c r="E448" s="11">
        <v>0.0</v>
      </c>
      <c r="F448" s="11">
        <v>0.0</v>
      </c>
      <c r="G448" s="11">
        <v>0.0</v>
      </c>
      <c r="H448" s="6"/>
      <c r="I448" s="11">
        <v>32.8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4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" t="s">
        <v>22</v>
      </c>
      <c r="B450" s="6">
        <f>42-16</f>
        <v>26</v>
      </c>
      <c r="C450" s="11">
        <v>16.0</v>
      </c>
      <c r="D450" s="11">
        <v>2.0</v>
      </c>
      <c r="E450" s="11">
        <v>21.0</v>
      </c>
      <c r="F450" s="11">
        <v>2.0</v>
      </c>
      <c r="G450" s="11">
        <v>14.0</v>
      </c>
      <c r="H450" s="6"/>
      <c r="I450" s="11">
        <v>216.1</v>
      </c>
      <c r="J450" s="11" t="s">
        <v>123</v>
      </c>
      <c r="K450" s="6"/>
      <c r="L450" s="6"/>
      <c r="M450" s="11">
        <v>1.0</v>
      </c>
      <c r="N450" s="11">
        <v>2.0</v>
      </c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" t="s">
        <v>52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4" t="s">
        <v>318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4" t="s">
        <v>101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4" t="s">
        <v>186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4" t="s">
        <v>53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4" t="s">
        <v>103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4" t="s">
        <v>189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4" t="s">
        <v>369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4" t="s">
        <v>370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" t="s">
        <v>54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4" t="s">
        <v>104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" t="s">
        <v>184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183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107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" t="s">
        <v>56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" t="s">
        <v>105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179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259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" t="s">
        <v>264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4" t="s">
        <v>262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4" t="s">
        <v>381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4" t="s">
        <v>382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4" t="s">
        <v>185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4" t="s">
        <v>265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4" t="s">
        <v>180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" t="s">
        <v>260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 t="s">
        <v>396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397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4" t="s">
        <v>398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4" t="s">
        <v>399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" t="s">
        <v>400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" t="s">
        <v>401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" t="s">
        <v>402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4" t="s">
        <v>403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4" t="s">
        <v>404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0" t="s">
        <v>414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0" t="s">
        <v>415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0" t="s">
        <v>416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0" t="s">
        <v>417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0" t="s">
        <v>418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20" t="s">
        <v>419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4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" t="s">
        <v>296</v>
      </c>
      <c r="B493" s="11">
        <v>6.0</v>
      </c>
      <c r="C493" s="11">
        <v>0.0</v>
      </c>
      <c r="D493" s="11">
        <v>1.0</v>
      </c>
      <c r="E493" s="11">
        <v>2.0</v>
      </c>
      <c r="F493" s="11">
        <v>0.0</v>
      </c>
      <c r="G493" s="11">
        <v>0.0</v>
      </c>
      <c r="H493" s="6"/>
      <c r="I493" s="11">
        <v>133.0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4" t="s">
        <v>301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4" t="s">
        <v>109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4" t="s">
        <v>319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4" t="s">
        <v>320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4" t="s">
        <v>193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21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4" t="s">
        <v>58</v>
      </c>
      <c r="B500" s="11">
        <v>8.0</v>
      </c>
      <c r="C500" s="11">
        <v>0.0</v>
      </c>
      <c r="D500" s="11">
        <v>1.0</v>
      </c>
      <c r="E500" s="11">
        <v>2.0</v>
      </c>
      <c r="F500" s="11">
        <v>0.0</v>
      </c>
      <c r="G500" s="11">
        <v>0.0</v>
      </c>
      <c r="H500" s="6"/>
      <c r="I500" s="11">
        <v>198.4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4" t="s">
        <v>194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4" t="s">
        <v>195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" t="s">
        <v>268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196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" t="s">
        <v>323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4" t="s">
        <v>321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0" t="s">
        <v>349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4" t="s">
        <v>59</v>
      </c>
      <c r="B509" s="11">
        <v>10.0</v>
      </c>
      <c r="C509" s="11">
        <v>0.0</v>
      </c>
      <c r="D509" s="11">
        <v>1.0</v>
      </c>
      <c r="E509" s="11">
        <v>5.0</v>
      </c>
      <c r="F509" s="11">
        <v>0.0</v>
      </c>
      <c r="G509" s="11">
        <v>0.0</v>
      </c>
      <c r="H509" s="6"/>
      <c r="I509" s="11">
        <v>173.1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" t="s">
        <v>110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" t="s">
        <v>198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" t="s">
        <v>303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304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269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" t="s">
        <v>324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" t="s">
        <v>302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4" t="s">
        <v>326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20" t="s">
        <v>325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21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4" t="s">
        <v>60</v>
      </c>
      <c r="B520" s="11">
        <v>4.0</v>
      </c>
      <c r="C520" s="11">
        <v>0.0</v>
      </c>
      <c r="D520" s="11">
        <v>0.0</v>
      </c>
      <c r="E520" s="11">
        <v>0.0</v>
      </c>
      <c r="F520" s="11">
        <v>0.0</v>
      </c>
      <c r="G520" s="11">
        <v>0.0</v>
      </c>
      <c r="H520" s="6"/>
      <c r="I520" s="11">
        <v>151.3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4" t="s">
        <v>111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4" t="s">
        <v>199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4" t="s">
        <v>200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1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4" t="s">
        <v>61</v>
      </c>
      <c r="B525" s="11">
        <v>6.0</v>
      </c>
      <c r="C525" s="11">
        <v>0.0</v>
      </c>
      <c r="D525" s="11">
        <v>1.0</v>
      </c>
      <c r="E525" s="11">
        <v>2.0</v>
      </c>
      <c r="F525" s="11">
        <v>0.0</v>
      </c>
      <c r="G525" s="11">
        <v>0.0</v>
      </c>
      <c r="H525" s="6"/>
      <c r="I525" s="11">
        <v>132.8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" t="s">
        <v>113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" t="s">
        <v>202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" t="s">
        <v>203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0" t="s">
        <v>272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0" t="s">
        <v>273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1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" t="s">
        <v>62</v>
      </c>
      <c r="B532" s="11">
        <v>4.0</v>
      </c>
      <c r="C532" s="11">
        <v>2.0</v>
      </c>
      <c r="D532" s="11">
        <v>1.0</v>
      </c>
      <c r="E532" s="11">
        <v>2.0</v>
      </c>
      <c r="F532" s="11">
        <v>0.0</v>
      </c>
      <c r="G532" s="11">
        <v>0.0</v>
      </c>
      <c r="H532" s="6"/>
      <c r="I532" s="11">
        <v>130.9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4" t="s">
        <v>114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4" t="s">
        <v>383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4" t="s">
        <v>116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0" t="s">
        <v>420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20" t="s">
        <v>204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1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4" t="s">
        <v>117</v>
      </c>
      <c r="B539" s="11">
        <v>3.0</v>
      </c>
      <c r="C539" s="11">
        <v>0.0</v>
      </c>
      <c r="D539" s="11">
        <v>0.0</v>
      </c>
      <c r="E539" s="11">
        <v>0.0</v>
      </c>
      <c r="F539" s="11">
        <v>0.0</v>
      </c>
      <c r="G539" s="11">
        <v>0.0</v>
      </c>
      <c r="H539" s="6"/>
      <c r="I539" s="11">
        <v>107.2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4" t="s">
        <v>206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0" t="s">
        <v>207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1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4" t="s">
        <v>118</v>
      </c>
      <c r="B543" s="11">
        <v>3.0</v>
      </c>
      <c r="C543" s="11">
        <v>0.0</v>
      </c>
      <c r="D543" s="11">
        <v>0.0</v>
      </c>
      <c r="E543" s="11">
        <v>0.0</v>
      </c>
      <c r="F543" s="11">
        <v>0.0</v>
      </c>
      <c r="G543" s="11">
        <v>0.0</v>
      </c>
      <c r="H543" s="6"/>
      <c r="I543" s="11">
        <v>117.6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4" t="s">
        <v>208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4" t="s">
        <v>277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1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4" t="s">
        <v>119</v>
      </c>
      <c r="B547" s="11">
        <v>3.0</v>
      </c>
      <c r="C547" s="11">
        <v>0.0</v>
      </c>
      <c r="D547" s="11">
        <v>0.0</v>
      </c>
      <c r="E547" s="11">
        <v>0.0</v>
      </c>
      <c r="F547" s="11">
        <v>0.0</v>
      </c>
      <c r="G547" s="11">
        <v>0.0</v>
      </c>
      <c r="H547" s="6"/>
      <c r="I547" s="11">
        <v>119.3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" t="s">
        <v>120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20" t="s">
        <v>209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1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4" t="s">
        <v>122</v>
      </c>
      <c r="B551" s="11">
        <v>2.0</v>
      </c>
      <c r="C551" s="11">
        <v>0.0</v>
      </c>
      <c r="D551" s="11">
        <v>0.0</v>
      </c>
      <c r="E551" s="11">
        <v>0.0</v>
      </c>
      <c r="F551" s="11">
        <v>0.0</v>
      </c>
      <c r="G551" s="11">
        <v>0.0</v>
      </c>
      <c r="H551" s="6"/>
      <c r="I551" s="11">
        <v>48.0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4" t="s">
        <v>124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1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4" t="s">
        <v>125</v>
      </c>
      <c r="B554" s="11">
        <v>2.0</v>
      </c>
      <c r="C554" s="11">
        <v>0.0</v>
      </c>
      <c r="D554" s="11">
        <v>0.0</v>
      </c>
      <c r="E554" s="11">
        <v>0.0</v>
      </c>
      <c r="F554" s="11">
        <v>0.0</v>
      </c>
      <c r="G554" s="11">
        <v>0.0</v>
      </c>
      <c r="H554" s="6"/>
      <c r="I554" s="11">
        <v>83.8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4" t="s">
        <v>213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21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4" t="s">
        <v>216</v>
      </c>
      <c r="B557" s="11">
        <v>2.0</v>
      </c>
      <c r="C557" s="11">
        <v>0.0</v>
      </c>
      <c r="D557" s="11">
        <v>0.0</v>
      </c>
      <c r="E557" s="11">
        <v>0.0</v>
      </c>
      <c r="F557" s="11">
        <v>0.0</v>
      </c>
      <c r="G557" s="11">
        <v>0.0</v>
      </c>
      <c r="H557" s="6"/>
      <c r="I557" s="11">
        <v>92.1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4" t="s">
        <v>218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21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4" t="s">
        <v>221</v>
      </c>
      <c r="B560" s="11">
        <v>1.0</v>
      </c>
      <c r="C560" s="11">
        <v>0.0</v>
      </c>
      <c r="D560" s="11">
        <v>0.0</v>
      </c>
      <c r="E560" s="11">
        <v>0.0</v>
      </c>
      <c r="F560" s="11">
        <v>0.0</v>
      </c>
      <c r="G560" s="11">
        <v>0.0</v>
      </c>
      <c r="H560" s="6"/>
      <c r="I560" s="11">
        <v>44.4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1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4" t="s">
        <v>223</v>
      </c>
      <c r="B562" s="11">
        <v>3.0</v>
      </c>
      <c r="C562" s="11">
        <v>0.0</v>
      </c>
      <c r="D562" s="11">
        <v>0.0</v>
      </c>
      <c r="E562" s="11">
        <v>0.0</v>
      </c>
      <c r="F562" s="11">
        <v>0.0</v>
      </c>
      <c r="G562" s="11">
        <v>0.0</v>
      </c>
      <c r="H562" s="6"/>
      <c r="I562" s="11">
        <v>115.9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4" t="s">
        <v>285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0" t="s">
        <v>333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1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4" t="s">
        <v>224</v>
      </c>
      <c r="B566" s="11">
        <v>2.0</v>
      </c>
      <c r="C566" s="11">
        <v>0.0</v>
      </c>
      <c r="D566" s="11">
        <v>0.0</v>
      </c>
      <c r="E566" s="11">
        <v>0.0</v>
      </c>
      <c r="F566" s="11">
        <v>0.0</v>
      </c>
      <c r="G566" s="11">
        <v>0.0</v>
      </c>
      <c r="H566" s="6"/>
      <c r="I566" s="11">
        <v>90.7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4" t="s">
        <v>225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21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" t="s">
        <v>334</v>
      </c>
      <c r="B569" s="11">
        <v>2.0</v>
      </c>
      <c r="C569" s="11">
        <v>0.0</v>
      </c>
      <c r="D569" s="11">
        <v>0.0</v>
      </c>
      <c r="E569" s="11">
        <v>0.0</v>
      </c>
      <c r="F569" s="11">
        <v>0.0</v>
      </c>
      <c r="G569" s="11">
        <v>0.0</v>
      </c>
      <c r="H569" s="6"/>
      <c r="I569" s="11">
        <v>85.8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20" t="s">
        <v>335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24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20" t="s">
        <v>288</v>
      </c>
      <c r="B572" s="11">
        <v>2.0</v>
      </c>
      <c r="C572" s="11">
        <v>0.0</v>
      </c>
      <c r="D572" s="11">
        <v>0.0</v>
      </c>
      <c r="E572" s="11">
        <v>0.0</v>
      </c>
      <c r="F572" s="11">
        <v>0.0</v>
      </c>
      <c r="G572" s="11">
        <v>0.0</v>
      </c>
      <c r="H572" s="6"/>
      <c r="I572" s="11">
        <v>51.2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20" t="s">
        <v>289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24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20" t="s">
        <v>421</v>
      </c>
      <c r="B575" s="11">
        <v>1.0</v>
      </c>
      <c r="C575" s="11">
        <v>0.0</v>
      </c>
      <c r="D575" s="11">
        <v>0.0</v>
      </c>
      <c r="E575" s="11">
        <v>0.0</v>
      </c>
      <c r="F575" s="11">
        <v>0.0</v>
      </c>
      <c r="G575" s="11">
        <v>0.0</v>
      </c>
      <c r="H575" s="6"/>
      <c r="I575" s="11">
        <v>53.7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4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0" t="s">
        <v>422</v>
      </c>
      <c r="B577" s="11">
        <v>2.0</v>
      </c>
      <c r="C577" s="11">
        <v>0.0</v>
      </c>
      <c r="D577" s="11">
        <v>0.0</v>
      </c>
      <c r="E577" s="11">
        <v>0.0</v>
      </c>
      <c r="F577" s="11">
        <v>0.0</v>
      </c>
      <c r="G577" s="11">
        <v>0.0</v>
      </c>
      <c r="H577" s="6"/>
      <c r="I577" s="11">
        <v>62.4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0" t="s">
        <v>423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4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4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4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4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4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290</v>
      </c>
      <c r="C1" s="2" t="s">
        <v>291</v>
      </c>
      <c r="D1" s="1" t="s">
        <v>292</v>
      </c>
      <c r="E1" s="1" t="s">
        <v>6</v>
      </c>
      <c r="F1" s="1" t="s">
        <v>8</v>
      </c>
      <c r="G1" s="1" t="s">
        <v>9</v>
      </c>
      <c r="H1" s="3" t="s">
        <v>11</v>
      </c>
      <c r="I1" s="5" t="s">
        <v>12</v>
      </c>
      <c r="J1" s="5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2">
        <v>0.0</v>
      </c>
      <c r="L2" s="2">
        <v>0.0</v>
      </c>
      <c r="M2" s="2">
        <v>0.0</v>
      </c>
      <c r="N2" s="2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45508.0</v>
      </c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19</v>
      </c>
      <c r="B4" s="11"/>
      <c r="C4" s="11"/>
      <c r="D4" s="11">
        <v>0.0</v>
      </c>
      <c r="E4" s="11">
        <v>0.0</v>
      </c>
      <c r="F4" s="11">
        <v>0.0</v>
      </c>
      <c r="G4" s="11">
        <v>0.0</v>
      </c>
      <c r="I4" s="11">
        <v>62.2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22</v>
      </c>
      <c r="B6" s="11"/>
      <c r="C6" s="11"/>
      <c r="D6" s="11">
        <v>0.0</v>
      </c>
      <c r="E6" s="11">
        <v>0.0</v>
      </c>
      <c r="F6" s="11">
        <v>0.0</v>
      </c>
      <c r="G6" s="11">
        <v>0.0</v>
      </c>
      <c r="I6" s="11">
        <v>60.8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296</v>
      </c>
      <c r="B8" s="11"/>
      <c r="C8" s="11"/>
      <c r="D8" s="11">
        <v>0.0</v>
      </c>
      <c r="E8" s="11">
        <v>0.0</v>
      </c>
      <c r="F8" s="11">
        <v>0.0</v>
      </c>
      <c r="G8" s="11">
        <v>0.0</v>
      </c>
      <c r="I8" s="11">
        <v>61.4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2" t="s">
        <v>18</v>
      </c>
      <c r="B10" s="13">
        <v>45532.0</v>
      </c>
      <c r="C10" s="9"/>
      <c r="D10" s="9"/>
      <c r="E10" s="9"/>
      <c r="F10" s="9"/>
      <c r="G10" s="9"/>
      <c r="H10" s="9"/>
      <c r="I10" s="9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4" t="s">
        <v>19</v>
      </c>
      <c r="B11" s="6"/>
      <c r="C11" s="6"/>
      <c r="D11" s="11">
        <v>2.0</v>
      </c>
      <c r="E11" s="11">
        <v>8.0</v>
      </c>
      <c r="F11" s="11">
        <v>1.0</v>
      </c>
      <c r="G11" s="11">
        <v>1.0</v>
      </c>
      <c r="H11" s="11">
        <v>7.0</v>
      </c>
      <c r="I11" s="11">
        <v>173.1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24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64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71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30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27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28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424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425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426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427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21</v>
      </c>
      <c r="B25" s="6"/>
      <c r="C25" s="6"/>
      <c r="D25" s="11">
        <v>1.0</v>
      </c>
      <c r="E25" s="11">
        <v>6.0</v>
      </c>
      <c r="F25" s="11">
        <v>0.0</v>
      </c>
      <c r="G25" s="11">
        <v>0.0</v>
      </c>
      <c r="H25" s="6"/>
      <c r="I25" s="11">
        <v>160.3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428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77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34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35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5" t="s">
        <v>429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5" t="s">
        <v>430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5" t="s">
        <v>431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5" t="s">
        <v>37</v>
      </c>
      <c r="B34" s="6"/>
      <c r="C34" s="6"/>
      <c r="D34" s="11">
        <v>1.0</v>
      </c>
      <c r="E34" s="11">
        <v>5.0</v>
      </c>
      <c r="F34" s="11">
        <v>1.0</v>
      </c>
      <c r="G34" s="11">
        <v>1.0</v>
      </c>
      <c r="H34" s="6"/>
      <c r="I34" s="11">
        <v>139.2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5" t="s">
        <v>432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15" t="s">
        <v>433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5" t="s">
        <v>434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5" t="s">
        <v>435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5" t="s">
        <v>436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 t="s">
        <v>437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438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 t="s">
        <v>39</v>
      </c>
      <c r="B43" s="6"/>
      <c r="C43" s="6"/>
      <c r="D43" s="11">
        <v>0.0</v>
      </c>
      <c r="E43" s="11">
        <v>0.0</v>
      </c>
      <c r="F43" s="11">
        <v>0.0</v>
      </c>
      <c r="G43" s="11">
        <v>0.0</v>
      </c>
      <c r="H43" s="6"/>
      <c r="I43" s="11">
        <v>67.5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41</v>
      </c>
      <c r="B45" s="6"/>
      <c r="C45" s="6"/>
      <c r="D45" s="11">
        <v>0.0</v>
      </c>
      <c r="E45" s="11">
        <v>0.0</v>
      </c>
      <c r="F45" s="11">
        <v>0.0</v>
      </c>
      <c r="G45" s="11">
        <v>0.0</v>
      </c>
      <c r="H45" s="6"/>
      <c r="I45" s="11">
        <v>59.5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365</v>
      </c>
      <c r="B47" s="6"/>
      <c r="C47" s="6"/>
      <c r="D47" s="11">
        <v>1.0</v>
      </c>
      <c r="E47" s="11">
        <v>2.0</v>
      </c>
      <c r="F47" s="11">
        <v>0.0</v>
      </c>
      <c r="G47" s="11">
        <v>0.0</v>
      </c>
      <c r="H47" s="6"/>
      <c r="I47" s="11">
        <v>129.5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5" t="s">
        <v>439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5" t="s">
        <v>440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4" t="s">
        <v>22</v>
      </c>
      <c r="B51" s="6"/>
      <c r="C51" s="6"/>
      <c r="D51" s="11">
        <v>1.0</v>
      </c>
      <c r="E51" s="11">
        <v>5.0</v>
      </c>
      <c r="F51" s="11">
        <v>1.0</v>
      </c>
      <c r="G51" s="11">
        <v>3.0</v>
      </c>
      <c r="H51" s="11">
        <v>7.0</v>
      </c>
      <c r="I51" s="11">
        <v>167.4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441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442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 t="s">
        <v>53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5" t="s">
        <v>55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56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443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107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 t="s">
        <v>54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 t="s">
        <v>444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4" t="s">
        <v>296</v>
      </c>
      <c r="B62" s="6"/>
      <c r="C62" s="6"/>
      <c r="D62" s="11">
        <v>1.0</v>
      </c>
      <c r="E62" s="11">
        <v>7.0</v>
      </c>
      <c r="F62" s="11">
        <v>1.0</v>
      </c>
      <c r="G62" s="11">
        <v>1.0</v>
      </c>
      <c r="H62" s="6"/>
      <c r="I62" s="11">
        <v>173.7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301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 t="s">
        <v>320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319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5" t="s">
        <v>445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191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 t="s">
        <v>192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 t="s">
        <v>109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 t="s">
        <v>193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446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447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1" t="s">
        <v>448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 t="s">
        <v>58</v>
      </c>
      <c r="B75" s="6"/>
      <c r="C75" s="6"/>
      <c r="D75" s="11">
        <v>1.0</v>
      </c>
      <c r="E75" s="11">
        <v>5.0</v>
      </c>
      <c r="F75" s="11">
        <v>1.0</v>
      </c>
      <c r="G75" s="11">
        <v>1.0</v>
      </c>
      <c r="H75" s="6"/>
      <c r="I75" s="11">
        <v>147.4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 t="s">
        <v>449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1" t="s">
        <v>450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11" t="s">
        <v>451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1" t="s">
        <v>452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 t="s">
        <v>453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1" t="s">
        <v>454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 t="s">
        <v>455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1" t="s">
        <v>59</v>
      </c>
      <c r="B84" s="6"/>
      <c r="C84" s="6"/>
      <c r="D84" s="11">
        <v>1.0</v>
      </c>
      <c r="E84" s="11">
        <v>1.0</v>
      </c>
      <c r="F84" s="11">
        <v>0.0</v>
      </c>
      <c r="G84" s="11">
        <v>0.0</v>
      </c>
      <c r="H84" s="6"/>
      <c r="I84" s="11">
        <v>105.7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 t="s">
        <v>456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457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1" t="s">
        <v>458</v>
      </c>
      <c r="B88" s="6"/>
      <c r="C88" s="6"/>
      <c r="D88" s="11">
        <v>1.0</v>
      </c>
      <c r="E88" s="11">
        <v>2.0</v>
      </c>
      <c r="F88" s="11">
        <v>0.0</v>
      </c>
      <c r="G88" s="11">
        <v>0.0</v>
      </c>
      <c r="H88" s="6"/>
      <c r="I88" s="11">
        <v>95.0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 t="s">
        <v>459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1" t="s">
        <v>460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 t="s">
        <v>461</v>
      </c>
      <c r="B92" s="6"/>
      <c r="C92" s="6"/>
      <c r="D92" s="11">
        <v>0.0</v>
      </c>
      <c r="E92" s="11">
        <v>0.0</v>
      </c>
      <c r="F92" s="11">
        <v>0.0</v>
      </c>
      <c r="G92" s="11">
        <v>0.0</v>
      </c>
      <c r="H92" s="6"/>
      <c r="I92" s="11">
        <v>71.3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2" t="s">
        <v>18</v>
      </c>
      <c r="B94" s="13">
        <v>45546.0</v>
      </c>
      <c r="C94" s="9"/>
      <c r="D94" s="9"/>
      <c r="E94" s="9"/>
      <c r="F94" s="9"/>
      <c r="G94" s="9"/>
      <c r="H94" s="9"/>
      <c r="I94" s="9"/>
      <c r="J94" s="9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4" t="s">
        <v>19</v>
      </c>
      <c r="B95" s="6"/>
      <c r="C95" s="6"/>
      <c r="D95" s="11">
        <v>2.0</v>
      </c>
      <c r="E95" s="11">
        <v>14.0</v>
      </c>
      <c r="F95" s="11">
        <v>1.0</v>
      </c>
      <c r="G95" s="11">
        <v>4.0</v>
      </c>
      <c r="H95" s="11">
        <v>8.0</v>
      </c>
      <c r="I95" s="11">
        <v>211.9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14" t="s">
        <v>24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4" t="s">
        <v>25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4" t="s">
        <v>64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4" t="s">
        <v>71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4" t="s">
        <v>26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4" t="s">
        <v>30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4" t="s">
        <v>27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4" t="s">
        <v>28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4" t="s">
        <v>424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4" t="s">
        <v>425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34" t="s">
        <v>462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34" t="s">
        <v>463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5" t="s">
        <v>464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5" t="s">
        <v>465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 t="s">
        <v>466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1" t="s">
        <v>467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11" t="s">
        <v>468</v>
      </c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1" t="s">
        <v>132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1" t="s">
        <v>133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1" t="s">
        <v>469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1" t="s">
        <v>135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1" t="s">
        <v>65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4" t="s">
        <v>21</v>
      </c>
      <c r="B119" s="6"/>
      <c r="C119" s="6"/>
      <c r="D119" s="11">
        <v>1.0</v>
      </c>
      <c r="E119" s="11">
        <v>9.0</v>
      </c>
      <c r="F119" s="11">
        <v>1.0</v>
      </c>
      <c r="G119" s="11">
        <v>4.0</v>
      </c>
      <c r="H119" s="6"/>
      <c r="I119" s="11">
        <v>196.9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34" t="s">
        <v>470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4" t="s">
        <v>77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4" t="s">
        <v>34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14" t="s">
        <v>35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9" t="s">
        <v>429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35" t="s">
        <v>471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35" t="s">
        <v>472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1" t="s">
        <v>473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1" t="s">
        <v>474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1" t="s">
        <v>475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1" t="s">
        <v>36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1" t="s">
        <v>76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 t="s">
        <v>137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476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 t="s">
        <v>477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478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19" t="s">
        <v>37</v>
      </c>
      <c r="B137" s="6"/>
      <c r="C137" s="6"/>
      <c r="D137" s="11">
        <v>1.0</v>
      </c>
      <c r="E137" s="11">
        <v>9.0</v>
      </c>
      <c r="F137" s="11">
        <v>1.0</v>
      </c>
      <c r="G137" s="11">
        <v>3.0</v>
      </c>
      <c r="H137" s="6"/>
      <c r="I137" s="11">
        <v>179.7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9" t="s">
        <v>432</v>
      </c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9" t="s">
        <v>433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9" t="s">
        <v>434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9" t="s">
        <v>435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9" t="s">
        <v>436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437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 t="s">
        <v>438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1" t="s">
        <v>479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 t="s">
        <v>480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 t="s">
        <v>481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1" t="s">
        <v>482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11" t="s">
        <v>483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1" t="s">
        <v>484</v>
      </c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1" t="s">
        <v>485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34" t="s">
        <v>486</v>
      </c>
      <c r="B153" s="6"/>
      <c r="C153" s="6"/>
      <c r="D153" s="11">
        <v>1.0</v>
      </c>
      <c r="E153" s="11">
        <v>1.0</v>
      </c>
      <c r="F153" s="11">
        <v>0.0</v>
      </c>
      <c r="G153" s="11">
        <v>0.0</v>
      </c>
      <c r="H153" s="6"/>
      <c r="I153" s="11">
        <v>120.2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1" t="s">
        <v>80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487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4" t="s">
        <v>41</v>
      </c>
      <c r="B157" s="6"/>
      <c r="C157" s="6"/>
      <c r="D157" s="11">
        <v>0.0</v>
      </c>
      <c r="E157" s="11">
        <v>0.0</v>
      </c>
      <c r="F157" s="11">
        <v>0.0</v>
      </c>
      <c r="G157" s="11">
        <v>0.0</v>
      </c>
      <c r="H157" s="6"/>
      <c r="I157" s="11">
        <v>111.7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149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 t="s">
        <v>365</v>
      </c>
      <c r="B160" s="6"/>
      <c r="C160" s="6"/>
      <c r="D160" s="11">
        <v>1.0</v>
      </c>
      <c r="E160" s="11">
        <v>4.0</v>
      </c>
      <c r="F160" s="11">
        <v>1.0</v>
      </c>
      <c r="G160" s="11">
        <v>1.0</v>
      </c>
      <c r="H160" s="6"/>
      <c r="I160" s="11">
        <v>175.1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9" t="s">
        <v>439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19" t="s">
        <v>440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 t="s">
        <v>366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11" t="s">
        <v>367</v>
      </c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1" t="s">
        <v>488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1" t="s">
        <v>489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1" t="s">
        <v>368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1" t="s">
        <v>43</v>
      </c>
      <c r="B169" s="6"/>
      <c r="C169" s="6"/>
      <c r="D169" s="11">
        <v>0.0</v>
      </c>
      <c r="E169" s="11">
        <v>0.0</v>
      </c>
      <c r="F169" s="11">
        <v>0.0</v>
      </c>
      <c r="G169" s="11">
        <v>0.0</v>
      </c>
      <c r="H169" s="6"/>
      <c r="I169" s="11">
        <v>78.4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 t="s">
        <v>22</v>
      </c>
      <c r="B171" s="6"/>
      <c r="C171" s="6"/>
      <c r="D171" s="11">
        <v>1.0</v>
      </c>
      <c r="E171" s="11">
        <v>9.0</v>
      </c>
      <c r="F171" s="11">
        <v>1.0</v>
      </c>
      <c r="G171" s="11">
        <v>6.0</v>
      </c>
      <c r="H171" s="11">
        <v>7.0</v>
      </c>
      <c r="I171" s="11">
        <v>201.1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 t="s">
        <v>441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 t="s">
        <v>442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 t="s">
        <v>53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9" t="s">
        <v>55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 t="s">
        <v>56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 t="s">
        <v>443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4" t="s">
        <v>107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4" t="s">
        <v>54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 t="s">
        <v>444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1" t="s">
        <v>106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 t="s">
        <v>180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 t="s">
        <v>490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1" t="s">
        <v>104</v>
      </c>
      <c r="B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1" t="s">
        <v>103</v>
      </c>
      <c r="B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1" t="s">
        <v>491</v>
      </c>
      <c r="B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1" t="s">
        <v>492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1" t="s">
        <v>493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1" t="s">
        <v>494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 t="s">
        <v>296</v>
      </c>
      <c r="B191" s="6"/>
      <c r="C191" s="6"/>
      <c r="D191" s="11">
        <v>1.0</v>
      </c>
      <c r="E191" s="11">
        <v>13.0</v>
      </c>
      <c r="F191" s="11">
        <v>1.0</v>
      </c>
      <c r="G191" s="11">
        <v>2.0</v>
      </c>
      <c r="H191" s="6"/>
      <c r="I191" s="11">
        <v>204.5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301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 t="s">
        <v>320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 t="s">
        <v>319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9" t="s">
        <v>445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191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192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109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193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4" t="s">
        <v>446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 t="s">
        <v>447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 t="s">
        <v>448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 t="s">
        <v>495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1" t="s">
        <v>496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1" t="s">
        <v>267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1" t="s">
        <v>497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1" t="s">
        <v>498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1" t="s">
        <v>499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1" t="s">
        <v>500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1" t="s">
        <v>348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4" t="s">
        <v>58</v>
      </c>
      <c r="B212" s="6"/>
      <c r="C212" s="6"/>
      <c r="D212" s="11">
        <v>1.0</v>
      </c>
      <c r="E212" s="11">
        <v>10.0</v>
      </c>
      <c r="F212" s="11">
        <v>1.0</v>
      </c>
      <c r="G212" s="11">
        <v>2.0</v>
      </c>
      <c r="H212" s="6"/>
      <c r="I212" s="11">
        <v>185.0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4" t="s">
        <v>449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450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4" t="s">
        <v>451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 t="s">
        <v>452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453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454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455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1" t="s">
        <v>501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1" t="s">
        <v>502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1" t="s">
        <v>503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1" t="s">
        <v>504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1" t="s">
        <v>505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1" t="s">
        <v>506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1" t="s">
        <v>507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1" t="s">
        <v>508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4" t="s">
        <v>59</v>
      </c>
      <c r="B229" s="6"/>
      <c r="C229" s="6"/>
      <c r="D229" s="11">
        <v>1.0</v>
      </c>
      <c r="E229" s="11">
        <v>3.0</v>
      </c>
      <c r="F229" s="11">
        <v>1.0</v>
      </c>
      <c r="G229" s="11">
        <v>1.0</v>
      </c>
      <c r="H229" s="6"/>
      <c r="I229" s="11">
        <v>152.1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4" t="s">
        <v>456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 t="s">
        <v>457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1" t="s">
        <v>509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1" t="s">
        <v>303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1" t="s">
        <v>302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1" t="s">
        <v>510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" t="s">
        <v>458</v>
      </c>
      <c r="B237" s="6"/>
      <c r="C237" s="6"/>
      <c r="D237" s="11">
        <v>1.0</v>
      </c>
      <c r="E237" s="11">
        <v>3.0</v>
      </c>
      <c r="F237" s="11">
        <v>1.0</v>
      </c>
      <c r="G237" s="11">
        <v>1.0</v>
      </c>
      <c r="H237" s="6"/>
      <c r="I237" s="11">
        <v>138.7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 t="s">
        <v>459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14" t="s">
        <v>460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 t="s">
        <v>511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11" t="s">
        <v>512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 t="s">
        <v>513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14" t="s">
        <v>461</v>
      </c>
      <c r="B244" s="6"/>
      <c r="C244" s="6"/>
      <c r="D244" s="11">
        <v>1.0</v>
      </c>
      <c r="E244" s="11">
        <v>1.0</v>
      </c>
      <c r="F244" s="11">
        <v>0.0</v>
      </c>
      <c r="G244" s="11">
        <v>0.0</v>
      </c>
      <c r="H244" s="6"/>
      <c r="I244" s="11">
        <v>108.9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1" t="s">
        <v>203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1" t="s">
        <v>514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1" t="s">
        <v>62</v>
      </c>
      <c r="B248" s="6"/>
      <c r="C248" s="6"/>
      <c r="D248" s="11">
        <v>0.0</v>
      </c>
      <c r="E248" s="11">
        <v>0.0</v>
      </c>
      <c r="F248" s="11">
        <v>0.0</v>
      </c>
      <c r="G248" s="11">
        <v>0.0</v>
      </c>
      <c r="H248" s="6"/>
      <c r="I248" s="11">
        <v>81.6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1" t="s">
        <v>114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2" t="s">
        <v>18</v>
      </c>
      <c r="B251" s="13">
        <v>45560.0</v>
      </c>
      <c r="C251" s="9"/>
      <c r="D251" s="9"/>
      <c r="E251" s="9"/>
      <c r="F251" s="9"/>
      <c r="G251" s="9"/>
      <c r="H251" s="9"/>
      <c r="I251" s="9"/>
      <c r="J251" s="9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19</v>
      </c>
      <c r="B252" s="6"/>
      <c r="C252" s="6"/>
      <c r="D252" s="11">
        <v>2.0</v>
      </c>
      <c r="E252" s="11">
        <v>22.0</v>
      </c>
      <c r="F252" s="11">
        <v>1.0</v>
      </c>
      <c r="G252" s="11">
        <v>8.0</v>
      </c>
      <c r="H252" s="6"/>
      <c r="I252" s="11">
        <v>222.3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 t="s">
        <v>24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 t="s">
        <v>25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 t="s">
        <v>64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" t="s">
        <v>71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" t="s">
        <v>26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" t="s">
        <v>30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" t="s">
        <v>27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" t="s">
        <v>28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" t="s">
        <v>424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 t="s">
        <v>425</v>
      </c>
      <c r="B262" s="6"/>
      <c r="C262" s="6"/>
      <c r="D262" s="6"/>
      <c r="E262" s="11" t="s">
        <v>515</v>
      </c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 t="s">
        <v>462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 t="s">
        <v>463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9" t="s">
        <v>464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9" t="s">
        <v>465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466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467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 t="s">
        <v>468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 t="s">
        <v>132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 t="s">
        <v>133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 t="s">
        <v>469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 t="s">
        <v>135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 t="s">
        <v>65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0" t="s">
        <v>516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0" t="s">
        <v>517</v>
      </c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0" t="s">
        <v>130</v>
      </c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0" t="s">
        <v>518</v>
      </c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0" t="s">
        <v>229</v>
      </c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0" t="s">
        <v>519</v>
      </c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2" t="s">
        <v>520</v>
      </c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2" t="s">
        <v>134</v>
      </c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2" t="s">
        <v>521</v>
      </c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20" t="s">
        <v>230</v>
      </c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20" t="s">
        <v>522</v>
      </c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20" t="s">
        <v>523</v>
      </c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0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" t="s">
        <v>21</v>
      </c>
      <c r="C288" s="6"/>
      <c r="D288" s="11">
        <v>1.0</v>
      </c>
      <c r="E288" s="11">
        <v>15.0</v>
      </c>
      <c r="F288" s="11">
        <v>1.0</v>
      </c>
      <c r="G288" s="11">
        <v>8.0</v>
      </c>
      <c r="H288" s="6"/>
      <c r="I288" s="11">
        <v>236.4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 t="s">
        <v>470</v>
      </c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" t="s">
        <v>77</v>
      </c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4" t="s">
        <v>34</v>
      </c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4" t="s">
        <v>35</v>
      </c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9" t="s">
        <v>429</v>
      </c>
      <c r="B293" s="21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9" t="s">
        <v>471</v>
      </c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9" t="s">
        <v>472</v>
      </c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" t="s">
        <v>473</v>
      </c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 t="s">
        <v>474</v>
      </c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 t="s">
        <v>475</v>
      </c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4" t="s">
        <v>36</v>
      </c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" t="s">
        <v>76</v>
      </c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4" t="s">
        <v>137</v>
      </c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4" t="s">
        <v>476</v>
      </c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 t="s">
        <v>477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478</v>
      </c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20" t="s">
        <v>524</v>
      </c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20" t="s">
        <v>525</v>
      </c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20" t="s">
        <v>526</v>
      </c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0" t="s">
        <v>136</v>
      </c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0" t="s">
        <v>73</v>
      </c>
      <c r="B309" s="21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0" t="s">
        <v>75</v>
      </c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0" t="s">
        <v>138</v>
      </c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20" t="s">
        <v>527</v>
      </c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20" t="s">
        <v>528</v>
      </c>
      <c r="B313" s="21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0" t="s">
        <v>529</v>
      </c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20" t="s">
        <v>530</v>
      </c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24"/>
      <c r="B316" s="21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9" t="s">
        <v>37</v>
      </c>
      <c r="C317" s="6"/>
      <c r="D317" s="11">
        <v>1.0</v>
      </c>
      <c r="E317" s="11">
        <v>15.0</v>
      </c>
      <c r="F317" s="11">
        <v>1.0</v>
      </c>
      <c r="G317" s="11">
        <v>8.0</v>
      </c>
      <c r="H317" s="6"/>
      <c r="I317" s="11">
        <v>255.5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9" t="s">
        <v>432</v>
      </c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9" t="s">
        <v>433</v>
      </c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9" t="s">
        <v>434</v>
      </c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9" t="s">
        <v>435</v>
      </c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9" t="s">
        <v>436</v>
      </c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 t="s">
        <v>437</v>
      </c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 t="s">
        <v>438</v>
      </c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4" t="s">
        <v>479</v>
      </c>
      <c r="B325" s="21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4" t="s">
        <v>480</v>
      </c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 t="s">
        <v>481</v>
      </c>
      <c r="B327" s="21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4" t="s">
        <v>482</v>
      </c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4" t="s">
        <v>483</v>
      </c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4" t="s">
        <v>484</v>
      </c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4" t="s">
        <v>485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2" t="s">
        <v>531</v>
      </c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0" t="s">
        <v>532</v>
      </c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0" t="s">
        <v>533</v>
      </c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20" t="s">
        <v>534</v>
      </c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20" t="s">
        <v>535</v>
      </c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20" t="s">
        <v>536</v>
      </c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20" t="s">
        <v>537</v>
      </c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20" t="s">
        <v>538</v>
      </c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20" t="s">
        <v>539</v>
      </c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0" t="s">
        <v>540</v>
      </c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0" t="s">
        <v>541</v>
      </c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20" t="s">
        <v>542</v>
      </c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20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 t="s">
        <v>486</v>
      </c>
      <c r="C345" s="6"/>
      <c r="D345" s="11">
        <v>1.0</v>
      </c>
      <c r="E345" s="11">
        <v>4.0</v>
      </c>
      <c r="F345" s="11">
        <v>0.0</v>
      </c>
      <c r="G345" s="11">
        <v>0.0</v>
      </c>
      <c r="H345" s="6"/>
      <c r="I345" s="11">
        <v>181.9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 t="s">
        <v>80</v>
      </c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 t="s">
        <v>487</v>
      </c>
      <c r="B347" s="2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20" t="s">
        <v>543</v>
      </c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0" t="s">
        <v>148</v>
      </c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0" t="s">
        <v>238</v>
      </c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0" t="s">
        <v>544</v>
      </c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2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" t="s">
        <v>41</v>
      </c>
      <c r="C353" s="6"/>
      <c r="D353" s="11">
        <v>1.0</v>
      </c>
      <c r="E353" s="11">
        <v>2.0</v>
      </c>
      <c r="F353" s="11">
        <v>0.0</v>
      </c>
      <c r="G353" s="11">
        <v>0.0</v>
      </c>
      <c r="H353" s="6"/>
      <c r="I353" s="11">
        <v>172.6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" t="s">
        <v>149</v>
      </c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20" t="s">
        <v>150</v>
      </c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20" t="s">
        <v>309</v>
      </c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20" t="s">
        <v>338</v>
      </c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20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365</v>
      </c>
      <c r="C359" s="6"/>
      <c r="D359" s="11">
        <v>1.0</v>
      </c>
      <c r="E359" s="11">
        <v>6.0</v>
      </c>
      <c r="F359" s="11">
        <v>1.0</v>
      </c>
      <c r="G359" s="11">
        <v>3.0</v>
      </c>
      <c r="H359" s="6"/>
      <c r="I359" s="11">
        <v>218.1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9" t="s">
        <v>439</v>
      </c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9" t="s">
        <v>440</v>
      </c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 t="s">
        <v>366</v>
      </c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4" t="s">
        <v>367</v>
      </c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4" t="s">
        <v>488</v>
      </c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" t="s">
        <v>489</v>
      </c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" t="s">
        <v>368</v>
      </c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0" t="s">
        <v>390</v>
      </c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0" t="s">
        <v>545</v>
      </c>
      <c r="B368" s="21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0" t="s">
        <v>379</v>
      </c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20" t="s">
        <v>546</v>
      </c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20" t="s">
        <v>547</v>
      </c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20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 t="s">
        <v>43</v>
      </c>
      <c r="C373" s="6"/>
      <c r="D373" s="11">
        <v>0.0</v>
      </c>
      <c r="E373" s="11">
        <v>0.0</v>
      </c>
      <c r="F373" s="11">
        <v>0.0</v>
      </c>
      <c r="G373" s="11">
        <v>0.0</v>
      </c>
      <c r="H373" s="6"/>
      <c r="I373" s="11">
        <v>127.7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20" t="s">
        <v>44</v>
      </c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0" t="s">
        <v>84</v>
      </c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0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0" t="s">
        <v>87</v>
      </c>
      <c r="C377" s="6"/>
      <c r="D377" s="11">
        <v>0.0</v>
      </c>
      <c r="E377" s="11">
        <v>0.0</v>
      </c>
      <c r="F377" s="11">
        <v>0.0</v>
      </c>
      <c r="G377" s="11">
        <v>0.0</v>
      </c>
      <c r="H377" s="6"/>
      <c r="I377" s="11">
        <v>88.2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0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4" t="s">
        <v>22</v>
      </c>
      <c r="C379" s="6"/>
      <c r="D379" s="11">
        <v>1.0</v>
      </c>
      <c r="E379" s="11">
        <v>12.0</v>
      </c>
      <c r="F379" s="11">
        <v>1.0</v>
      </c>
      <c r="G379" s="11">
        <v>10.0</v>
      </c>
      <c r="H379" s="6"/>
      <c r="I379" s="11">
        <v>226.7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 t="s">
        <v>441</v>
      </c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 t="s">
        <v>442</v>
      </c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53</v>
      </c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9" t="s">
        <v>55</v>
      </c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4" t="s">
        <v>56</v>
      </c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4" t="s">
        <v>443</v>
      </c>
      <c r="B385" s="2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" t="s">
        <v>107</v>
      </c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" t="s">
        <v>54</v>
      </c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 t="s">
        <v>444</v>
      </c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106</v>
      </c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 t="s">
        <v>180</v>
      </c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 t="s">
        <v>490</v>
      </c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 t="s">
        <v>104</v>
      </c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 t="s">
        <v>103</v>
      </c>
      <c r="B393" s="21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 t="s">
        <v>491</v>
      </c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" t="s">
        <v>492</v>
      </c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4" t="s">
        <v>493</v>
      </c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" t="s">
        <v>494</v>
      </c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20" t="s">
        <v>548</v>
      </c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20" t="s">
        <v>181</v>
      </c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20" t="s">
        <v>260</v>
      </c>
      <c r="B400" s="21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0" t="s">
        <v>549</v>
      </c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0" t="s">
        <v>184</v>
      </c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0" t="s">
        <v>550</v>
      </c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20" t="s">
        <v>551</v>
      </c>
      <c r="B404" s="21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0" t="s">
        <v>552</v>
      </c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0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296</v>
      </c>
      <c r="B407" s="6"/>
      <c r="C407" s="6"/>
      <c r="D407" s="11">
        <v>1.0</v>
      </c>
      <c r="E407" s="11">
        <v>19.0</v>
      </c>
      <c r="F407" s="11">
        <v>1.0</v>
      </c>
      <c r="G407" s="11">
        <v>3.0</v>
      </c>
      <c r="H407" s="6"/>
      <c r="I407" s="11">
        <v>214.5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4" t="s">
        <v>301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" t="s">
        <v>320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4" t="s">
        <v>319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9" t="s">
        <v>445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" t="s">
        <v>191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" t="s">
        <v>192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4" t="s">
        <v>109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4" t="s">
        <v>193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4" t="s">
        <v>446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" t="s">
        <v>447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" t="s">
        <v>448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4" t="s">
        <v>495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" t="s">
        <v>496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4" t="s">
        <v>267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4" t="s">
        <v>497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4" t="s">
        <v>498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4" t="s">
        <v>499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4" t="s">
        <v>500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" t="s">
        <v>348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20" t="s">
        <v>553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20" t="s">
        <v>554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20" t="s">
        <v>555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20" t="s">
        <v>556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20" t="s">
        <v>557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20" t="s">
        <v>558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20" t="s">
        <v>559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0" t="s">
        <v>560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4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4" t="s">
        <v>58</v>
      </c>
      <c r="B436" s="6"/>
      <c r="C436" s="6"/>
      <c r="D436" s="11">
        <v>1.0</v>
      </c>
      <c r="E436" s="11">
        <v>16.0</v>
      </c>
      <c r="F436" s="11">
        <v>1.0</v>
      </c>
      <c r="G436" s="11">
        <v>4.0</v>
      </c>
      <c r="H436" s="6"/>
      <c r="I436" s="11">
        <v>215.0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" t="s">
        <v>449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4" t="s">
        <v>450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4" t="s">
        <v>451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4" t="s">
        <v>452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4" t="s">
        <v>453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" t="s">
        <v>454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" t="s">
        <v>455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" t="s">
        <v>501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" t="s">
        <v>502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4" t="s">
        <v>503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4" t="s">
        <v>504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4" t="s">
        <v>505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4" t="s">
        <v>506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" t="s">
        <v>507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" t="s">
        <v>508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1" t="s">
        <v>561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1" t="s">
        <v>562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1" t="s">
        <v>563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1" t="s">
        <v>564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1" t="s">
        <v>322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1" t="s">
        <v>565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1" t="s">
        <v>566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1" t="s">
        <v>567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1" t="s">
        <v>568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" t="s">
        <v>59</v>
      </c>
      <c r="B462" s="6"/>
      <c r="C462" s="6"/>
      <c r="D462" s="11">
        <v>1.0</v>
      </c>
      <c r="E462" s="11">
        <v>9.0</v>
      </c>
      <c r="F462" s="11">
        <v>1.0</v>
      </c>
      <c r="G462" s="11">
        <v>2.0</v>
      </c>
      <c r="H462" s="6"/>
      <c r="I462" s="11">
        <v>173.7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456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457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" t="s">
        <v>509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" t="s">
        <v>303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302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510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5" t="s">
        <v>325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1" t="s">
        <v>569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1" t="s">
        <v>570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1" t="s">
        <v>304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1" t="s">
        <v>326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1" t="s">
        <v>571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1" t="s">
        <v>572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1" t="s">
        <v>573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458</v>
      </c>
      <c r="B478" s="6"/>
      <c r="C478" s="11">
        <v>1.0</v>
      </c>
      <c r="D478" s="11">
        <v>8.0</v>
      </c>
      <c r="E478" s="11">
        <v>1.0</v>
      </c>
      <c r="F478" s="11">
        <v>2.0</v>
      </c>
      <c r="G478" s="6"/>
      <c r="H478" s="6"/>
      <c r="I478" s="11">
        <v>175.4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4" t="s">
        <v>459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4" t="s">
        <v>460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" t="s">
        <v>511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" t="s">
        <v>512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" t="s">
        <v>513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1" t="s">
        <v>574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1" t="s">
        <v>575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1" t="s">
        <v>576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1" t="s">
        <v>577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1" t="s">
        <v>578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1" t="s">
        <v>579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1" t="s">
        <v>580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1" t="s">
        <v>581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" t="s">
        <v>461</v>
      </c>
      <c r="B493" s="6"/>
      <c r="C493" s="6"/>
      <c r="D493" s="11">
        <v>1.0</v>
      </c>
      <c r="E493" s="11">
        <v>3.0</v>
      </c>
      <c r="F493" s="11">
        <v>0.0</v>
      </c>
      <c r="G493" s="11">
        <v>0.0</v>
      </c>
      <c r="H493" s="6"/>
      <c r="I493" s="11">
        <v>145.1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4" t="s">
        <v>203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4" t="s">
        <v>514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1" t="s">
        <v>582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1" t="s">
        <v>273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" t="s">
        <v>62</v>
      </c>
      <c r="C499" s="6"/>
      <c r="D499" s="11">
        <v>0.0</v>
      </c>
      <c r="E499" s="11">
        <v>0.0</v>
      </c>
      <c r="F499" s="11">
        <v>0.0</v>
      </c>
      <c r="G499" s="11">
        <v>0.0</v>
      </c>
      <c r="H499" s="6"/>
      <c r="I499" s="11">
        <v>126.9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4" t="s">
        <v>114</v>
      </c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1" t="s">
        <v>116</v>
      </c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2" t="s">
        <v>18</v>
      </c>
      <c r="B503" s="13">
        <v>45574.0</v>
      </c>
      <c r="C503" s="9"/>
      <c r="D503" s="9"/>
      <c r="E503" s="9"/>
      <c r="F503" s="9"/>
      <c r="G503" s="9"/>
      <c r="H503" s="9"/>
      <c r="I503" s="9"/>
      <c r="J503" s="9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19</v>
      </c>
      <c r="B504" s="11">
        <v>22.0</v>
      </c>
      <c r="C504" s="11">
        <v>21.0</v>
      </c>
      <c r="D504" s="11">
        <v>2.0</v>
      </c>
      <c r="E504" s="11">
        <v>28.0</v>
      </c>
      <c r="F504" s="11">
        <v>1.0</v>
      </c>
      <c r="G504" s="11">
        <v>9.0</v>
      </c>
      <c r="H504" s="6"/>
      <c r="I504" s="11">
        <v>235.5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" t="s">
        <v>24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4" t="s">
        <v>25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4" t="s">
        <v>64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4" t="s">
        <v>71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4" t="s">
        <v>26</v>
      </c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" t="s">
        <v>30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" t="s">
        <v>27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" t="s">
        <v>28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424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425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" t="s">
        <v>462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" t="s">
        <v>463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9" t="s">
        <v>464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9" t="s">
        <v>465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" t="s">
        <v>466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4" t="s">
        <v>467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4" t="s">
        <v>468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4" t="s">
        <v>132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4" t="s">
        <v>133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4" t="s">
        <v>469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4" t="s">
        <v>135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" t="s">
        <v>65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" t="s">
        <v>516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" t="s">
        <v>517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4" t="s">
        <v>130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4" t="s">
        <v>518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4" t="s">
        <v>229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" t="s">
        <v>519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9" t="s">
        <v>520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9" t="s">
        <v>134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9" t="s">
        <v>521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4" t="s">
        <v>230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4" t="s">
        <v>522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4" t="s">
        <v>523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0" t="s">
        <v>583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0" t="s">
        <v>584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0" t="s">
        <v>585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20" t="s">
        <v>586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20" t="s">
        <v>587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20" t="s">
        <v>588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20" t="s">
        <v>589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20" t="s">
        <v>590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24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" t="s">
        <v>21</v>
      </c>
      <c r="B548" s="11">
        <v>16.0</v>
      </c>
      <c r="C548" s="11">
        <v>20.0</v>
      </c>
      <c r="D548" s="11">
        <v>1.0</v>
      </c>
      <c r="E548" s="11">
        <v>18.0</v>
      </c>
      <c r="F548" s="11">
        <v>1.0</v>
      </c>
      <c r="G548" s="11">
        <v>12.0</v>
      </c>
      <c r="H548" s="6"/>
      <c r="I548" s="11">
        <v>263.9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4" t="s">
        <v>470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4" t="s">
        <v>77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4" t="s">
        <v>34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4" t="s">
        <v>35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9" t="s">
        <v>429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9" t="s">
        <v>471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9" t="s">
        <v>472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4" t="s">
        <v>473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4" t="s">
        <v>474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4" t="s">
        <v>475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4" t="s">
        <v>36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4" t="s">
        <v>76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4" t="s">
        <v>137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4" t="s">
        <v>476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4" t="s">
        <v>477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4" t="s">
        <v>478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4" t="s">
        <v>524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4" t="s">
        <v>525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4" t="s">
        <v>526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4" t="s">
        <v>136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" t="s">
        <v>73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4" t="s">
        <v>75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4" t="s">
        <v>138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4" t="s">
        <v>527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4" t="s">
        <v>528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4" t="s">
        <v>529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4" t="s">
        <v>530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0" t="s">
        <v>144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0" t="s">
        <v>591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0" t="s">
        <v>592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0" t="s">
        <v>593</v>
      </c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20" t="s">
        <v>594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20" t="s">
        <v>595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20" t="s">
        <v>596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20" t="s">
        <v>597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24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9" t="s">
        <v>37</v>
      </c>
      <c r="B585" s="11">
        <v>11.0</v>
      </c>
      <c r="C585" s="11">
        <v>13.0</v>
      </c>
      <c r="D585" s="11">
        <v>1.0</v>
      </c>
      <c r="E585" s="11">
        <v>18.0</v>
      </c>
      <c r="F585" s="11">
        <v>1.0</v>
      </c>
      <c r="G585" s="11">
        <v>12.0</v>
      </c>
      <c r="H585" s="6"/>
      <c r="I585" s="11">
        <v>237.7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9" t="s">
        <v>432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9" t="s">
        <v>433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9" t="s">
        <v>434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9" t="s">
        <v>435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9" t="s">
        <v>436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4" t="s">
        <v>437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4" t="s">
        <v>438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4" t="s">
        <v>479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4" t="s">
        <v>480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4" t="s">
        <v>481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4" t="s">
        <v>482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4" t="s">
        <v>483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4" t="s">
        <v>484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4" t="s">
        <v>485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9" t="s">
        <v>531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4" t="s">
        <v>532</v>
      </c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4" t="s">
        <v>533</v>
      </c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4" t="s">
        <v>534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4" t="s">
        <v>535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4" t="s">
        <v>536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 t="s">
        <v>537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4" t="s">
        <v>538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4" t="s">
        <v>539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4" t="s">
        <v>540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4" t="s">
        <v>541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4" t="s">
        <v>542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0" t="s">
        <v>598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0" t="s">
        <v>599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0" t="s">
        <v>600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0" t="s">
        <v>601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0" t="s">
        <v>602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20" t="s">
        <v>603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20" t="s">
        <v>604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4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4" t="s">
        <v>486</v>
      </c>
      <c r="B620" s="11">
        <v>4.0</v>
      </c>
      <c r="C620" s="11">
        <v>6.0</v>
      </c>
      <c r="D620" s="11">
        <v>1.0</v>
      </c>
      <c r="E620" s="11">
        <v>6.0</v>
      </c>
      <c r="F620" s="11">
        <v>0.0</v>
      </c>
      <c r="G620" s="11">
        <v>0.0</v>
      </c>
      <c r="H620" s="6"/>
      <c r="I620" s="11">
        <v>211.1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4" t="s">
        <v>80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4" t="s">
        <v>487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4" t="s">
        <v>543</v>
      </c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4" t="s">
        <v>148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4" t="s">
        <v>238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4" t="s">
        <v>544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2" t="s">
        <v>605</v>
      </c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22" t="s">
        <v>606</v>
      </c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22" t="s">
        <v>607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4" t="s">
        <v>41</v>
      </c>
      <c r="B631" s="11">
        <v>7.0</v>
      </c>
      <c r="C631" s="11">
        <v>0.0</v>
      </c>
      <c r="D631" s="11">
        <v>1.0</v>
      </c>
      <c r="E631" s="11">
        <v>3.0</v>
      </c>
      <c r="F631" s="11">
        <v>0.0</v>
      </c>
      <c r="G631" s="11">
        <v>0.0</v>
      </c>
      <c r="H631" s="6"/>
      <c r="I631" s="11">
        <v>199.4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4" t="s">
        <v>149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4" t="s">
        <v>150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4" t="s">
        <v>309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4" t="s">
        <v>338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20" t="s">
        <v>387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20" t="s">
        <v>239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4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4" t="s">
        <v>365</v>
      </c>
      <c r="B639" s="11">
        <v>5.0</v>
      </c>
      <c r="C639" s="11">
        <v>13.0</v>
      </c>
      <c r="D639" s="11">
        <v>1.0</v>
      </c>
      <c r="E639" s="11">
        <v>8.0</v>
      </c>
      <c r="F639" s="11">
        <v>1.0</v>
      </c>
      <c r="G639" s="11">
        <v>5.0</v>
      </c>
      <c r="H639" s="6"/>
      <c r="I639" s="11">
        <v>243.5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9" t="s">
        <v>439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9" t="s">
        <v>440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4" t="s">
        <v>366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4" t="s">
        <v>367</v>
      </c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4" t="s">
        <v>488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4" t="s">
        <v>489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4" t="s">
        <v>368</v>
      </c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4" t="s">
        <v>390</v>
      </c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4" t="s">
        <v>545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4" t="s">
        <v>379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4" t="s">
        <v>546</v>
      </c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4" t="s">
        <v>547</v>
      </c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0" t="s">
        <v>608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2" t="s">
        <v>395</v>
      </c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2" t="s">
        <v>413</v>
      </c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2" t="s">
        <v>609</v>
      </c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2" t="s">
        <v>391</v>
      </c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4" t="s">
        <v>43</v>
      </c>
      <c r="B658" s="11">
        <v>4.0</v>
      </c>
      <c r="C658" s="11">
        <v>0.0</v>
      </c>
      <c r="D658" s="11">
        <v>0.0</v>
      </c>
      <c r="E658" s="11">
        <v>0.0</v>
      </c>
      <c r="F658" s="11">
        <v>0.0</v>
      </c>
      <c r="G658" s="11">
        <v>0.0</v>
      </c>
      <c r="H658" s="6"/>
      <c r="I658" s="11">
        <v>158.7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4" t="s">
        <v>44</v>
      </c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4" t="s">
        <v>84</v>
      </c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20" t="s">
        <v>159</v>
      </c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24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4" t="s">
        <v>87</v>
      </c>
      <c r="B663" s="11">
        <v>2.0</v>
      </c>
      <c r="C663" s="11">
        <v>0.0</v>
      </c>
      <c r="D663" s="11">
        <v>0.0</v>
      </c>
      <c r="E663" s="11">
        <v>0.0</v>
      </c>
      <c r="F663" s="11">
        <v>0.0</v>
      </c>
      <c r="G663" s="11">
        <v>0.0</v>
      </c>
      <c r="H663" s="6"/>
      <c r="I663" s="11">
        <v>130.4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20" t="s">
        <v>88</v>
      </c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24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4" t="s">
        <v>22</v>
      </c>
      <c r="B666" s="6">
        <f>31-23</f>
        <v>8</v>
      </c>
      <c r="C666" s="11">
        <v>23.0</v>
      </c>
      <c r="D666" s="11">
        <v>1.0</v>
      </c>
      <c r="E666" s="11">
        <v>14.0</v>
      </c>
      <c r="F666" s="11">
        <v>1.0</v>
      </c>
      <c r="G666" s="11">
        <v>11.0</v>
      </c>
      <c r="H666" s="6"/>
      <c r="I666" s="11">
        <v>235.3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4" t="s">
        <v>441</v>
      </c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4" t="s">
        <v>442</v>
      </c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4" t="s">
        <v>53</v>
      </c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9" t="s">
        <v>55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4" t="s">
        <v>56</v>
      </c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4" t="s">
        <v>443</v>
      </c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4" t="s">
        <v>107</v>
      </c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4" t="s">
        <v>54</v>
      </c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4" t="s">
        <v>444</v>
      </c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4" t="s">
        <v>106</v>
      </c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4" t="s">
        <v>180</v>
      </c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4" t="s">
        <v>490</v>
      </c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4" t="s">
        <v>104</v>
      </c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4" t="s">
        <v>103</v>
      </c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4" t="s">
        <v>491</v>
      </c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4" t="s">
        <v>492</v>
      </c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4" t="s">
        <v>493</v>
      </c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4" t="s">
        <v>494</v>
      </c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4" t="s">
        <v>548</v>
      </c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4" t="s">
        <v>181</v>
      </c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4" t="s">
        <v>260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4" t="s">
        <v>549</v>
      </c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4" t="s">
        <v>184</v>
      </c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4" t="s">
        <v>550</v>
      </c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4" t="s">
        <v>551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4" t="s">
        <v>552</v>
      </c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20" t="s">
        <v>610</v>
      </c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20" t="s">
        <v>611</v>
      </c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20" t="s">
        <v>185</v>
      </c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20" t="s">
        <v>612</v>
      </c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24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4" t="s">
        <v>296</v>
      </c>
      <c r="B698" s="11">
        <v>20.0</v>
      </c>
      <c r="C698" s="11">
        <v>14.0</v>
      </c>
      <c r="D698" s="11">
        <v>1.0</v>
      </c>
      <c r="E698" s="11">
        <v>25.0</v>
      </c>
      <c r="F698" s="11">
        <v>1.0</v>
      </c>
      <c r="G698" s="11">
        <v>3.0</v>
      </c>
      <c r="H698" s="6"/>
      <c r="I698" s="11">
        <v>222.4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4" t="s">
        <v>301</v>
      </c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4" t="s">
        <v>320</v>
      </c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4" t="s">
        <v>319</v>
      </c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9" t="s">
        <v>445</v>
      </c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4" t="s">
        <v>191</v>
      </c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4" t="s">
        <v>192</v>
      </c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4" t="s">
        <v>109</v>
      </c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4" t="s">
        <v>193</v>
      </c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4" t="s">
        <v>446</v>
      </c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4" t="s">
        <v>447</v>
      </c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4" t="s">
        <v>448</v>
      </c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4" t="s">
        <v>495</v>
      </c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4" t="s">
        <v>496</v>
      </c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4" t="s">
        <v>267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4" t="s">
        <v>497</v>
      </c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4" t="s">
        <v>498</v>
      </c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4" t="s">
        <v>499</v>
      </c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4" t="s">
        <v>500</v>
      </c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4" t="s">
        <v>348</v>
      </c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4" t="s">
        <v>553</v>
      </c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4" t="s">
        <v>554</v>
      </c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4" t="s">
        <v>555</v>
      </c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4" t="s">
        <v>556</v>
      </c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4" t="s">
        <v>557</v>
      </c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4" t="s">
        <v>558</v>
      </c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4" t="s">
        <v>559</v>
      </c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4" t="s">
        <v>560</v>
      </c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20" t="s">
        <v>613</v>
      </c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20" t="s">
        <v>614</v>
      </c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20" t="s">
        <v>615</v>
      </c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20" t="s">
        <v>616</v>
      </c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20" t="s">
        <v>617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20" t="s">
        <v>618</v>
      </c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24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4" t="s">
        <v>58</v>
      </c>
      <c r="B733" s="11">
        <v>8.0</v>
      </c>
      <c r="C733" s="11">
        <v>20.0</v>
      </c>
      <c r="D733" s="11">
        <v>1.0</v>
      </c>
      <c r="E733" s="11">
        <v>18.0</v>
      </c>
      <c r="F733" s="11">
        <v>1.0</v>
      </c>
      <c r="G733" s="11">
        <v>5.0</v>
      </c>
      <c r="H733" s="6"/>
      <c r="I733" s="11">
        <v>232.5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4" t="s">
        <v>449</v>
      </c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4" t="s">
        <v>450</v>
      </c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4" t="s">
        <v>451</v>
      </c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4" t="s">
        <v>452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4" t="s">
        <v>453</v>
      </c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4" t="s">
        <v>454</v>
      </c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4" t="s">
        <v>455</v>
      </c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4" t="s">
        <v>501</v>
      </c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4" t="s">
        <v>502</v>
      </c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4" t="s">
        <v>503</v>
      </c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4" t="s">
        <v>504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4" t="s">
        <v>505</v>
      </c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4" t="s">
        <v>506</v>
      </c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4" t="s">
        <v>507</v>
      </c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4" t="s">
        <v>508</v>
      </c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4" t="s">
        <v>561</v>
      </c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4" t="s">
        <v>562</v>
      </c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4" t="s">
        <v>563</v>
      </c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4" t="s">
        <v>564</v>
      </c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4" t="s">
        <v>322</v>
      </c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4" t="s">
        <v>565</v>
      </c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4" t="s">
        <v>566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4" t="s">
        <v>567</v>
      </c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4" t="s">
        <v>568</v>
      </c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20" t="s">
        <v>619</v>
      </c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20" t="s">
        <v>620</v>
      </c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20" t="s">
        <v>350</v>
      </c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24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4" t="s">
        <v>59</v>
      </c>
      <c r="B762" s="6">
        <f>16-9</f>
        <v>7</v>
      </c>
      <c r="C762" s="11">
        <v>9.0</v>
      </c>
      <c r="D762" s="11">
        <v>1.0</v>
      </c>
      <c r="E762" s="11">
        <v>10.0</v>
      </c>
      <c r="F762" s="11">
        <v>1.0</v>
      </c>
      <c r="G762" s="11">
        <v>2.0</v>
      </c>
      <c r="H762" s="6"/>
      <c r="I762" s="11">
        <v>187.8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4" t="s">
        <v>456</v>
      </c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4" t="s">
        <v>457</v>
      </c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4" t="s">
        <v>509</v>
      </c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4" t="s">
        <v>303</v>
      </c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4" t="s">
        <v>302</v>
      </c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4" t="s">
        <v>510</v>
      </c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9" t="s">
        <v>325</v>
      </c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4" t="s">
        <v>569</v>
      </c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4" t="s">
        <v>570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4" t="s">
        <v>304</v>
      </c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4" t="s">
        <v>326</v>
      </c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4" t="s">
        <v>571</v>
      </c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4" t="s">
        <v>572</v>
      </c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4" t="s">
        <v>573</v>
      </c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20" t="s">
        <v>353</v>
      </c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21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4" t="s">
        <v>458</v>
      </c>
      <c r="B779" s="11">
        <v>2.0</v>
      </c>
      <c r="C779" s="11">
        <v>13.0</v>
      </c>
      <c r="D779" s="11">
        <v>1.0</v>
      </c>
      <c r="E779" s="11">
        <v>9.0</v>
      </c>
      <c r="F779" s="11">
        <v>1.0</v>
      </c>
      <c r="G779" s="11">
        <v>2.0</v>
      </c>
      <c r="H779" s="6"/>
      <c r="I779" s="11">
        <v>180.6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4" t="s">
        <v>459</v>
      </c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4" t="s">
        <v>460</v>
      </c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4" t="s">
        <v>511</v>
      </c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4" t="s">
        <v>512</v>
      </c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4" t="s">
        <v>513</v>
      </c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4" t="s">
        <v>574</v>
      </c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4" t="s">
        <v>575</v>
      </c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4" t="s">
        <v>576</v>
      </c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4" t="s">
        <v>577</v>
      </c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4" t="s">
        <v>578</v>
      </c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4" t="s">
        <v>579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4" t="s">
        <v>580</v>
      </c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4" t="s">
        <v>581</v>
      </c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20" t="s">
        <v>621</v>
      </c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21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4" t="s">
        <v>461</v>
      </c>
      <c r="B795" s="11">
        <v>6.0</v>
      </c>
      <c r="C795" s="11">
        <v>2.0</v>
      </c>
      <c r="D795" s="11">
        <v>1.0</v>
      </c>
      <c r="E795" s="11">
        <v>5.0</v>
      </c>
      <c r="F795" s="11">
        <v>0.0</v>
      </c>
      <c r="G795" s="11">
        <v>0.0</v>
      </c>
      <c r="H795" s="6"/>
      <c r="I795" s="11">
        <v>163.8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4" t="s">
        <v>203</v>
      </c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4" t="s">
        <v>514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4" t="s">
        <v>582</v>
      </c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4" t="s">
        <v>273</v>
      </c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20" t="s">
        <v>330</v>
      </c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22" t="s">
        <v>622</v>
      </c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22" t="s">
        <v>623</v>
      </c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4" t="s">
        <v>62</v>
      </c>
      <c r="B804" s="11">
        <v>4.0</v>
      </c>
      <c r="C804" s="11">
        <v>0.0</v>
      </c>
      <c r="D804" s="11">
        <v>0.0</v>
      </c>
      <c r="E804" s="11">
        <v>0.0</v>
      </c>
      <c r="F804" s="11">
        <v>0.0</v>
      </c>
      <c r="G804" s="11">
        <v>0.0</v>
      </c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4" t="s">
        <v>114</v>
      </c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4" t="s">
        <v>116</v>
      </c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1" t="s">
        <v>204</v>
      </c>
      <c r="B807" s="6"/>
      <c r="C807" s="6"/>
      <c r="D807" s="6"/>
      <c r="E807" s="6"/>
      <c r="F807" s="6"/>
      <c r="G807" s="6"/>
      <c r="H807" s="6"/>
      <c r="I807" s="11">
        <v>150.5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290</v>
      </c>
      <c r="C1" s="2" t="s">
        <v>291</v>
      </c>
      <c r="D1" s="1" t="s">
        <v>292</v>
      </c>
      <c r="E1" s="1" t="s">
        <v>6</v>
      </c>
      <c r="F1" s="1" t="s">
        <v>8</v>
      </c>
      <c r="G1" s="1" t="s">
        <v>9</v>
      </c>
      <c r="H1" s="3" t="s">
        <v>11</v>
      </c>
      <c r="I1" s="5" t="s">
        <v>12</v>
      </c>
      <c r="J1" s="5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2">
        <v>0.0</v>
      </c>
      <c r="L2" s="2">
        <v>0.0</v>
      </c>
      <c r="M2" s="2">
        <v>0.0</v>
      </c>
      <c r="N2" s="2">
        <v>0.0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45508.0</v>
      </c>
      <c r="C3" s="9"/>
      <c r="D3" s="9"/>
      <c r="E3" s="9"/>
      <c r="F3" s="9"/>
      <c r="G3" s="9"/>
      <c r="H3" s="9"/>
      <c r="I3" s="9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1" t="s">
        <v>19</v>
      </c>
      <c r="B4" s="11"/>
      <c r="C4" s="11"/>
      <c r="D4" s="11">
        <v>0.0</v>
      </c>
      <c r="E4" s="11">
        <v>0.0</v>
      </c>
      <c r="F4" s="11">
        <v>0.0</v>
      </c>
      <c r="G4" s="11">
        <v>0.0</v>
      </c>
      <c r="I4" s="11">
        <v>59.5</v>
      </c>
      <c r="J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6"/>
      <c r="B5" s="6"/>
      <c r="C5" s="6"/>
      <c r="D5" s="6"/>
      <c r="E5" s="6"/>
      <c r="F5" s="6"/>
      <c r="G5" s="6"/>
      <c r="H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2" t="s">
        <v>18</v>
      </c>
      <c r="B6" s="13">
        <v>45532.0</v>
      </c>
      <c r="C6" s="9"/>
      <c r="D6" s="9"/>
      <c r="E6" s="9"/>
      <c r="F6" s="9"/>
      <c r="G6" s="9"/>
      <c r="H6" s="9"/>
      <c r="I6" s="9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 t="s">
        <v>19</v>
      </c>
      <c r="B7" s="6"/>
      <c r="C7" s="6"/>
      <c r="D7" s="11">
        <v>1.0</v>
      </c>
      <c r="E7" s="11">
        <v>5.0</v>
      </c>
      <c r="F7" s="11">
        <v>1.0</v>
      </c>
      <c r="G7" s="11">
        <v>2.0</v>
      </c>
      <c r="H7" s="6"/>
      <c r="I7" s="11">
        <v>168.3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24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25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27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1" t="s">
        <v>28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66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425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465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30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26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21</v>
      </c>
      <c r="B18" s="6"/>
      <c r="C18" s="6"/>
      <c r="D18" s="11">
        <v>1.0</v>
      </c>
      <c r="E18" s="11">
        <v>3.0</v>
      </c>
      <c r="F18" s="11">
        <v>0.0</v>
      </c>
      <c r="G18" s="11">
        <v>0.0</v>
      </c>
      <c r="H18" s="6"/>
      <c r="I18" s="11">
        <v>152.4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32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33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430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624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34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37</v>
      </c>
      <c r="B25" s="6"/>
      <c r="C25" s="6"/>
      <c r="D25" s="11">
        <v>1.0</v>
      </c>
      <c r="E25" s="11">
        <v>4.0</v>
      </c>
      <c r="F25" s="11">
        <v>1.0</v>
      </c>
      <c r="G25" s="11">
        <v>1.0</v>
      </c>
      <c r="H25" s="6"/>
      <c r="I25" s="11">
        <v>151.8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38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78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1" t="s">
        <v>436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437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625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532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434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39</v>
      </c>
      <c r="B34" s="6"/>
      <c r="C34" s="6"/>
      <c r="D34" s="11">
        <v>0.0</v>
      </c>
      <c r="E34" s="11">
        <v>0.0</v>
      </c>
      <c r="F34" s="11">
        <v>0.0</v>
      </c>
      <c r="G34" s="11">
        <v>0.0</v>
      </c>
      <c r="H34" s="6"/>
      <c r="I34" s="11">
        <v>123.9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79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 t="s">
        <v>41</v>
      </c>
      <c r="B37" s="6"/>
      <c r="C37" s="6"/>
      <c r="D37" s="11">
        <v>1.0</v>
      </c>
      <c r="E37" s="11">
        <v>1.0</v>
      </c>
      <c r="F37" s="11">
        <v>0.0</v>
      </c>
      <c r="G37" s="11">
        <v>0.0</v>
      </c>
      <c r="H37" s="6"/>
      <c r="I37" s="11">
        <v>118.4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11" t="s">
        <v>626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309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11" t="s">
        <v>42</v>
      </c>
      <c r="B41" s="6"/>
      <c r="C41" s="6"/>
      <c r="D41" s="11">
        <v>1.0</v>
      </c>
      <c r="E41" s="11">
        <v>2.0</v>
      </c>
      <c r="F41" s="11">
        <v>0.0</v>
      </c>
      <c r="G41" s="11">
        <v>0.0</v>
      </c>
      <c r="H41" s="6"/>
      <c r="I41" s="11">
        <v>150.8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81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11" t="s">
        <v>82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83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375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43</v>
      </c>
      <c r="B47" s="6"/>
      <c r="C47" s="6"/>
      <c r="D47" s="11">
        <v>0.0</v>
      </c>
      <c r="E47" s="11">
        <v>0.0</v>
      </c>
      <c r="F47" s="11">
        <v>0.0</v>
      </c>
      <c r="G47" s="11">
        <v>0.0</v>
      </c>
      <c r="H47" s="6"/>
      <c r="I47" s="11">
        <v>79.4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22</v>
      </c>
      <c r="B49" s="6"/>
      <c r="C49" s="6"/>
      <c r="D49" s="11">
        <v>1.0</v>
      </c>
      <c r="E49" s="11">
        <v>8.0</v>
      </c>
      <c r="F49" s="11">
        <v>0.0</v>
      </c>
      <c r="G49" s="11">
        <v>0.0</v>
      </c>
      <c r="H49" s="11">
        <v>9.0</v>
      </c>
      <c r="I49" s="11">
        <v>163.1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 t="s">
        <v>52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11" t="s">
        <v>318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53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103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11" t="s">
        <v>102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54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104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11" t="s">
        <v>55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56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 t="s">
        <v>106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 t="s">
        <v>296</v>
      </c>
      <c r="B61" s="6"/>
      <c r="C61" s="6"/>
      <c r="D61" s="11">
        <v>1.0</v>
      </c>
      <c r="E61" s="11">
        <v>2.0</v>
      </c>
      <c r="F61" s="11">
        <v>0.0</v>
      </c>
      <c r="G61" s="11">
        <v>0.0</v>
      </c>
      <c r="H61" s="6"/>
      <c r="I61" s="11">
        <v>144.8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1" t="s">
        <v>301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319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11" t="s">
        <v>191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109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58</v>
      </c>
      <c r="B67" s="6"/>
      <c r="C67" s="6"/>
      <c r="D67" s="11">
        <v>1.0</v>
      </c>
      <c r="E67" s="11">
        <v>4.0</v>
      </c>
      <c r="F67" s="11">
        <v>0.0</v>
      </c>
      <c r="G67" s="11">
        <v>0.0</v>
      </c>
      <c r="H67" s="6"/>
      <c r="I67" s="11">
        <v>152.6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 t="s">
        <v>449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11" t="s">
        <v>450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1" t="s">
        <v>451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1" t="s">
        <v>453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1" t="s">
        <v>454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1" t="s">
        <v>627</v>
      </c>
      <c r="B74" s="6"/>
      <c r="C74" s="6"/>
      <c r="D74" s="11">
        <v>0.0</v>
      </c>
      <c r="E74" s="11">
        <v>0.0</v>
      </c>
      <c r="F74" s="11">
        <v>0.0</v>
      </c>
      <c r="G74" s="11">
        <v>0.0</v>
      </c>
      <c r="H74" s="6"/>
      <c r="I74" s="11">
        <v>122.3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1" t="s">
        <v>628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11" t="s">
        <v>629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11" t="s">
        <v>630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11" t="s">
        <v>458</v>
      </c>
      <c r="B79" s="6"/>
      <c r="C79" s="6"/>
      <c r="D79" s="11">
        <v>1.0</v>
      </c>
      <c r="E79" s="11">
        <v>2.0</v>
      </c>
      <c r="F79" s="11">
        <v>0.0</v>
      </c>
      <c r="G79" s="11">
        <v>0.0</v>
      </c>
      <c r="H79" s="6"/>
      <c r="I79" s="11">
        <v>149.2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11" t="s">
        <v>513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11" t="s">
        <v>578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1" t="s">
        <v>631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1" t="s">
        <v>581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1" t="s">
        <v>61</v>
      </c>
      <c r="B85" s="6"/>
      <c r="C85" s="6"/>
      <c r="D85" s="11">
        <v>1.0</v>
      </c>
      <c r="E85" s="11">
        <v>1.0</v>
      </c>
      <c r="F85" s="11">
        <v>0.0</v>
      </c>
      <c r="G85" s="11">
        <v>0.0</v>
      </c>
      <c r="H85" s="6"/>
      <c r="I85" s="11">
        <v>145.0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1" t="s">
        <v>113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1" t="s">
        <v>203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1" t="s">
        <v>62</v>
      </c>
      <c r="B89" s="6"/>
      <c r="C89" s="6"/>
      <c r="D89" s="11">
        <v>0.0</v>
      </c>
      <c r="E89" s="11">
        <v>0.0</v>
      </c>
      <c r="F89" s="11">
        <v>0.0</v>
      </c>
      <c r="G89" s="11">
        <v>0.0</v>
      </c>
      <c r="H89" s="6"/>
      <c r="I89" s="11">
        <v>72.8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1" t="s">
        <v>117</v>
      </c>
      <c r="B91" s="6"/>
      <c r="C91" s="6"/>
      <c r="D91" s="11">
        <v>0.0</v>
      </c>
      <c r="E91" s="11">
        <v>0.0</v>
      </c>
      <c r="F91" s="11">
        <v>0.0</v>
      </c>
      <c r="G91" s="11">
        <v>0.0</v>
      </c>
      <c r="H91" s="6"/>
      <c r="I91" s="11">
        <v>84.5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1" t="s">
        <v>206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1" t="s">
        <v>118</v>
      </c>
      <c r="B94" s="6"/>
      <c r="C94" s="6"/>
      <c r="D94" s="11">
        <v>0.0</v>
      </c>
      <c r="E94" s="11">
        <v>0.0</v>
      </c>
      <c r="F94" s="11">
        <v>0.0</v>
      </c>
      <c r="G94" s="11">
        <v>0.0</v>
      </c>
      <c r="H94" s="6"/>
      <c r="I94" s="11">
        <v>110.3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11" t="s">
        <v>208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12" t="s">
        <v>18</v>
      </c>
      <c r="B97" s="13">
        <v>45546.0</v>
      </c>
      <c r="C97" s="9"/>
      <c r="D97" s="9"/>
      <c r="E97" s="9"/>
      <c r="F97" s="9"/>
      <c r="G97" s="9"/>
      <c r="H97" s="9"/>
      <c r="I97" s="9"/>
      <c r="J97" s="9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14" t="s">
        <v>19</v>
      </c>
      <c r="B98" s="6"/>
      <c r="C98" s="6"/>
      <c r="D98" s="11">
        <v>1.0</v>
      </c>
      <c r="E98" s="11">
        <v>8.0</v>
      </c>
      <c r="F98" s="11">
        <v>1.0</v>
      </c>
      <c r="G98" s="11">
        <v>3.0</v>
      </c>
      <c r="H98" s="11">
        <v>9.0</v>
      </c>
      <c r="I98" s="11">
        <v>173.2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4" t="s">
        <v>24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14" t="s">
        <v>25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14" t="s">
        <v>27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14" t="s">
        <v>28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14" t="s">
        <v>66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14" t="s">
        <v>425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14" t="s">
        <v>465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4" t="s">
        <v>30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4" t="s">
        <v>26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1" t="s">
        <v>516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11" t="s">
        <v>31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11" t="s">
        <v>70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11" t="s">
        <v>71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 t="s">
        <v>21</v>
      </c>
      <c r="B113" s="6"/>
      <c r="C113" s="6"/>
      <c r="D113" s="11">
        <v>1.0</v>
      </c>
      <c r="E113" s="11">
        <v>6.0</v>
      </c>
      <c r="F113" s="11">
        <v>0.0</v>
      </c>
      <c r="G113" s="11">
        <v>0.0</v>
      </c>
      <c r="H113" s="6"/>
      <c r="I113" s="11">
        <v>176.0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 t="s">
        <v>32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4" t="s">
        <v>33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4" t="s">
        <v>430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 t="s">
        <v>624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 t="s">
        <v>34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1" t="s">
        <v>632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11" t="s">
        <v>76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11" t="s">
        <v>77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11" t="s">
        <v>72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14" t="s">
        <v>37</v>
      </c>
      <c r="B124" s="6"/>
      <c r="C124" s="6"/>
      <c r="D124" s="11">
        <v>1.0</v>
      </c>
      <c r="E124" s="11">
        <v>8.0</v>
      </c>
      <c r="F124" s="11">
        <v>1.0</v>
      </c>
      <c r="G124" s="11">
        <v>1.0</v>
      </c>
      <c r="H124" s="6"/>
      <c r="I124" s="11">
        <v>186.9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14" t="s">
        <v>38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14" t="s">
        <v>78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14" t="s">
        <v>436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14" t="s">
        <v>437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14" t="s">
        <v>625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14" t="s">
        <v>532</v>
      </c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4" t="s">
        <v>434</v>
      </c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11" t="s">
        <v>481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11" t="s">
        <v>483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11" t="s">
        <v>433</v>
      </c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11" t="s">
        <v>633</v>
      </c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11" t="s">
        <v>145</v>
      </c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14" t="s">
        <v>39</v>
      </c>
      <c r="B138" s="6"/>
      <c r="C138" s="6"/>
      <c r="D138" s="11">
        <v>1.0</v>
      </c>
      <c r="E138" s="11">
        <v>1.0</v>
      </c>
      <c r="F138" s="11">
        <v>0.0</v>
      </c>
      <c r="G138" s="11">
        <v>0.0</v>
      </c>
      <c r="H138" s="6"/>
      <c r="I138" s="11">
        <v>123.7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14" t="s">
        <v>79</v>
      </c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11" t="s">
        <v>80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1" t="s">
        <v>146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14" t="s">
        <v>41</v>
      </c>
      <c r="B143" s="6"/>
      <c r="C143" s="6"/>
      <c r="D143" s="11">
        <v>1.0</v>
      </c>
      <c r="E143" s="11">
        <v>3.0</v>
      </c>
      <c r="F143" s="11">
        <v>0.0</v>
      </c>
      <c r="G143" s="11">
        <v>0.0</v>
      </c>
      <c r="H143" s="6"/>
      <c r="I143" s="11">
        <v>149.9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14" t="s">
        <v>626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14" t="s">
        <v>309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11" t="s">
        <v>338</v>
      </c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1" t="s">
        <v>299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11" t="s">
        <v>634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14" t="s">
        <v>42</v>
      </c>
      <c r="B150" s="6"/>
      <c r="C150" s="6"/>
      <c r="D150" s="11">
        <v>1.0</v>
      </c>
      <c r="E150" s="11">
        <v>5.0</v>
      </c>
      <c r="F150" s="11">
        <v>0.0</v>
      </c>
      <c r="G150" s="11">
        <v>0.0</v>
      </c>
      <c r="H150" s="6"/>
      <c r="I150" s="11">
        <v>166.7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4" t="s">
        <v>81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4" t="s">
        <v>82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4" t="s">
        <v>83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 t="s">
        <v>375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1" t="s">
        <v>151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1" t="s">
        <v>376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1" t="s">
        <v>154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11" t="s">
        <v>153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14" t="s">
        <v>43</v>
      </c>
      <c r="B160" s="6"/>
      <c r="C160" s="6"/>
      <c r="D160" s="11">
        <v>0.0</v>
      </c>
      <c r="E160" s="11">
        <v>0.0</v>
      </c>
      <c r="F160" s="11">
        <v>0.0</v>
      </c>
      <c r="G160" s="11">
        <v>0.0</v>
      </c>
      <c r="H160" s="6"/>
      <c r="I160" s="11">
        <v>107.1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11" t="s">
        <v>44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11" t="s">
        <v>87</v>
      </c>
      <c r="B163" s="6"/>
      <c r="C163" s="6"/>
      <c r="D163" s="11">
        <v>0.0</v>
      </c>
      <c r="E163" s="11">
        <v>0.0</v>
      </c>
      <c r="F163" s="11">
        <v>0.0</v>
      </c>
      <c r="G163" s="11">
        <v>0.0</v>
      </c>
      <c r="H163" s="6"/>
      <c r="I163" s="11">
        <v>62.7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5" t="s">
        <v>47</v>
      </c>
      <c r="B165" s="6"/>
      <c r="C165" s="6"/>
      <c r="D165" s="11">
        <v>0.0</v>
      </c>
      <c r="E165" s="11">
        <v>0.0</v>
      </c>
      <c r="F165" s="11">
        <v>0.0</v>
      </c>
      <c r="G165" s="11">
        <v>0.0</v>
      </c>
      <c r="H165" s="6"/>
      <c r="I165" s="11">
        <v>59.3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14" t="s">
        <v>22</v>
      </c>
      <c r="B167" s="6"/>
      <c r="C167" s="6"/>
      <c r="D167" s="11">
        <v>1.0</v>
      </c>
      <c r="E167" s="11">
        <v>12.0</v>
      </c>
      <c r="F167" s="11">
        <v>1.0</v>
      </c>
      <c r="G167" s="11">
        <v>1.0</v>
      </c>
      <c r="H167" s="11">
        <v>13.0</v>
      </c>
      <c r="I167" s="11">
        <v>187.2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14" t="s">
        <v>52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14" t="s">
        <v>318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14" t="s">
        <v>53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14" t="s">
        <v>103</v>
      </c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 t="s">
        <v>102</v>
      </c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 t="s">
        <v>54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14" t="s">
        <v>104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14" t="s">
        <v>55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14" t="s">
        <v>56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14" t="s">
        <v>106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11" t="s">
        <v>181</v>
      </c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1" t="s">
        <v>189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1" t="s">
        <v>369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1" t="s">
        <v>188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1" t="s">
        <v>187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1" t="s">
        <v>101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14" t="s">
        <v>296</v>
      </c>
      <c r="B185" s="6"/>
      <c r="C185" s="6"/>
      <c r="D185" s="11">
        <v>1.0</v>
      </c>
      <c r="E185" s="11">
        <v>4.0</v>
      </c>
      <c r="F185" s="11">
        <v>0.0</v>
      </c>
      <c r="G185" s="11">
        <v>0.0</v>
      </c>
      <c r="H185" s="6"/>
      <c r="I185" s="11">
        <v>185.6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14" t="s">
        <v>301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14" t="s">
        <v>319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14" t="s">
        <v>191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14" t="s">
        <v>109</v>
      </c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1" t="s">
        <v>193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1" t="s">
        <v>192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1" t="s">
        <v>320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4" t="s">
        <v>58</v>
      </c>
      <c r="B194" s="6"/>
      <c r="C194" s="6"/>
      <c r="D194" s="11">
        <v>1.0</v>
      </c>
      <c r="E194" s="11">
        <v>7.0</v>
      </c>
      <c r="F194" s="11">
        <v>0.0</v>
      </c>
      <c r="G194" s="11">
        <v>0.0</v>
      </c>
      <c r="H194" s="6"/>
      <c r="I194" s="11">
        <v>168.5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4" t="s">
        <v>449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4" t="s">
        <v>450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14" t="s">
        <v>451</v>
      </c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4" t="s">
        <v>453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14" t="s">
        <v>454</v>
      </c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1" t="s">
        <v>501</v>
      </c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1" t="s">
        <v>504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1" t="s">
        <v>505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1" t="s">
        <v>507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 t="s">
        <v>627</v>
      </c>
      <c r="B205" s="6"/>
      <c r="C205" s="6"/>
      <c r="D205" s="11">
        <v>0.0</v>
      </c>
      <c r="E205" s="11">
        <v>0.0</v>
      </c>
      <c r="F205" s="11">
        <v>0.0</v>
      </c>
      <c r="G205" s="11">
        <v>0.0</v>
      </c>
      <c r="H205" s="6"/>
      <c r="I205" s="11">
        <v>149.1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4" t="s">
        <v>628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4" t="s">
        <v>629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 t="s">
        <v>630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4" t="s">
        <v>458</v>
      </c>
      <c r="B210" s="6"/>
      <c r="C210" s="6"/>
      <c r="D210" s="11">
        <v>1.0</v>
      </c>
      <c r="E210" s="11">
        <v>4.0</v>
      </c>
      <c r="F210" s="11">
        <v>0.0</v>
      </c>
      <c r="G210" s="11">
        <v>0.0</v>
      </c>
      <c r="H210" s="6"/>
      <c r="I210" s="11">
        <v>138.6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14" t="s">
        <v>513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14" t="s">
        <v>578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14" t="s">
        <v>631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14" t="s">
        <v>581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11" t="s">
        <v>635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1" t="s">
        <v>636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61</v>
      </c>
      <c r="B218" s="6"/>
      <c r="C218" s="6"/>
      <c r="D218" s="11">
        <v>1.0</v>
      </c>
      <c r="E218" s="11">
        <v>2.0</v>
      </c>
      <c r="F218" s="11">
        <v>0.0</v>
      </c>
      <c r="G218" s="11">
        <v>0.0</v>
      </c>
      <c r="H218" s="6"/>
      <c r="I218" s="11">
        <v>171.2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113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4" t="s">
        <v>203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1" t="s">
        <v>273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1" t="s">
        <v>202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 t="s">
        <v>62</v>
      </c>
      <c r="B224" s="6"/>
      <c r="C224" s="6"/>
      <c r="D224" s="11">
        <v>0.0</v>
      </c>
      <c r="E224" s="11">
        <v>0.0</v>
      </c>
      <c r="F224" s="11">
        <v>0.0</v>
      </c>
      <c r="G224" s="11">
        <v>0.0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1" t="s">
        <v>114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4" t="s">
        <v>117</v>
      </c>
      <c r="B227" s="6"/>
      <c r="C227" s="6"/>
      <c r="D227" s="11">
        <v>0.0</v>
      </c>
      <c r="E227" s="11">
        <v>0.0</v>
      </c>
      <c r="F227" s="11">
        <v>0.0</v>
      </c>
      <c r="G227" s="11">
        <v>0.0</v>
      </c>
      <c r="H227" s="6"/>
      <c r="I227" s="11">
        <v>111.2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" t="s">
        <v>206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1" t="s">
        <v>207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 t="s">
        <v>118</v>
      </c>
      <c r="B231" s="6"/>
      <c r="C231" s="6"/>
      <c r="D231" s="11">
        <v>0.0</v>
      </c>
      <c r="E231" s="11">
        <v>0.0</v>
      </c>
      <c r="F231" s="11">
        <v>0.0</v>
      </c>
      <c r="G231" s="11">
        <v>0.0</v>
      </c>
      <c r="H231" s="6"/>
      <c r="I231" s="11">
        <v>140.3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" t="s">
        <v>208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1" t="s">
        <v>277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1" t="s">
        <v>119</v>
      </c>
      <c r="B235" s="6"/>
      <c r="C235" s="6"/>
      <c r="D235" s="11">
        <v>0.0</v>
      </c>
      <c r="E235" s="11">
        <v>0.0</v>
      </c>
      <c r="F235" s="11">
        <v>0.0</v>
      </c>
      <c r="G235" s="11">
        <v>0.0</v>
      </c>
      <c r="H235" s="6"/>
      <c r="I235" s="11">
        <v>73.5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1" t="s">
        <v>120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1" t="s">
        <v>122</v>
      </c>
      <c r="B238" s="6"/>
      <c r="C238" s="6"/>
      <c r="D238" s="11">
        <v>0.0</v>
      </c>
      <c r="E238" s="11">
        <v>0.0</v>
      </c>
      <c r="F238" s="11">
        <v>0.0</v>
      </c>
      <c r="G238" s="11">
        <v>0.0</v>
      </c>
      <c r="H238" s="6"/>
      <c r="I238" s="11">
        <v>69.7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11" t="s">
        <v>125</v>
      </c>
      <c r="B240" s="6"/>
      <c r="C240" s="6"/>
      <c r="D240" s="11">
        <v>0.0</v>
      </c>
      <c r="E240" s="11">
        <v>0.0</v>
      </c>
      <c r="F240" s="11">
        <v>0.0</v>
      </c>
      <c r="G240" s="11">
        <v>0.0</v>
      </c>
      <c r="H240" s="6"/>
      <c r="I240" s="11">
        <v>45.1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11" t="s">
        <v>216</v>
      </c>
      <c r="B242" s="6"/>
      <c r="C242" s="6"/>
      <c r="D242" s="11">
        <v>0.0</v>
      </c>
      <c r="E242" s="11">
        <v>0.0</v>
      </c>
      <c r="F242" s="11">
        <v>0.0</v>
      </c>
      <c r="G242" s="11">
        <v>0.0</v>
      </c>
      <c r="H242" s="6"/>
      <c r="I242" s="11">
        <v>41.5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18</v>
      </c>
      <c r="B244" s="8">
        <v>45560.0</v>
      </c>
      <c r="C244" s="36"/>
      <c r="D244" s="36"/>
      <c r="E244" s="36"/>
      <c r="F244" s="36"/>
      <c r="G244" s="36"/>
      <c r="H244" s="36"/>
      <c r="I244" s="36"/>
      <c r="J244" s="3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14" t="s">
        <v>19</v>
      </c>
      <c r="B245" s="6"/>
      <c r="C245" s="6"/>
      <c r="D245" s="11">
        <v>1.0</v>
      </c>
      <c r="E245" s="11">
        <v>12.0</v>
      </c>
      <c r="F245" s="11">
        <v>1.0</v>
      </c>
      <c r="G245" s="11">
        <v>3.0</v>
      </c>
      <c r="H245" s="6"/>
      <c r="I245" s="11">
        <v>184.9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14" t="s">
        <v>24</v>
      </c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" t="s">
        <v>25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" t="s">
        <v>27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4" t="s">
        <v>28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" t="s">
        <v>66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" t="s">
        <v>425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465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4" t="s">
        <v>30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4" t="s">
        <v>26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4" t="s">
        <v>516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4" t="s">
        <v>31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4" t="s">
        <v>70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4" t="s">
        <v>71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20" t="s">
        <v>69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20" t="s">
        <v>637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20" t="s">
        <v>132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20" t="s">
        <v>133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21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 t="s">
        <v>21</v>
      </c>
      <c r="B264" s="6"/>
      <c r="C264" s="6"/>
      <c r="D264" s="11">
        <v>1.0</v>
      </c>
      <c r="E264" s="11">
        <v>8.0</v>
      </c>
      <c r="F264" s="11">
        <v>0.0</v>
      </c>
      <c r="G264" s="11">
        <v>0.0</v>
      </c>
      <c r="H264" s="6"/>
      <c r="I264" s="11">
        <v>174.8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 t="s">
        <v>32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 t="s">
        <v>33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430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624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 t="s">
        <v>34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 t="s">
        <v>632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 t="s">
        <v>76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 t="s">
        <v>77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 t="s">
        <v>72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20" t="s">
        <v>638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20" t="s">
        <v>139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0" t="s">
        <v>137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1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4" t="s">
        <v>37</v>
      </c>
      <c r="B278" s="6"/>
      <c r="C278" s="6"/>
      <c r="D278" s="11">
        <v>1.0</v>
      </c>
      <c r="E278" s="11">
        <v>12.0</v>
      </c>
      <c r="F278" s="11">
        <v>1.0</v>
      </c>
      <c r="G278" s="11">
        <v>2.0</v>
      </c>
      <c r="H278" s="6"/>
      <c r="I278" s="11">
        <v>196.3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4" t="s">
        <v>38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4" t="s">
        <v>78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4" t="s">
        <v>436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4" t="s">
        <v>437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4" t="s">
        <v>625</v>
      </c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4" t="s">
        <v>532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4" t="s">
        <v>434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4" t="s">
        <v>481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4" t="s">
        <v>483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4" t="s">
        <v>433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4" t="s">
        <v>633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4" t="s">
        <v>145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0" t="s">
        <v>639</v>
      </c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20" t="s">
        <v>640</v>
      </c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0" t="s">
        <v>641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0" t="s">
        <v>484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0" t="s">
        <v>534</v>
      </c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21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4" t="s">
        <v>39</v>
      </c>
      <c r="B297" s="6"/>
      <c r="C297" s="6"/>
      <c r="D297" s="11">
        <v>1.0</v>
      </c>
      <c r="E297" s="11">
        <v>2.0</v>
      </c>
      <c r="F297" s="11">
        <v>0.0</v>
      </c>
      <c r="G297" s="11">
        <v>0.0</v>
      </c>
      <c r="H297" s="6"/>
      <c r="I297" s="11">
        <v>146.4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4" t="s">
        <v>79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4" t="s">
        <v>80</v>
      </c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" t="s">
        <v>146</v>
      </c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0" t="s">
        <v>148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 t="s">
        <v>41</v>
      </c>
      <c r="B303" s="6"/>
      <c r="C303" s="6"/>
      <c r="D303" s="11">
        <v>1.0</v>
      </c>
      <c r="E303" s="11">
        <v>5.0</v>
      </c>
      <c r="F303" s="11">
        <v>0.0</v>
      </c>
      <c r="G303" s="11">
        <v>0.0</v>
      </c>
      <c r="H303" s="6"/>
      <c r="I303" s="11">
        <v>163.1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626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 t="s">
        <v>309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" t="s">
        <v>338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4" t="s">
        <v>299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4" t="s">
        <v>634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0" t="s">
        <v>387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0" t="s">
        <v>308</v>
      </c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21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" t="s">
        <v>42</v>
      </c>
      <c r="B312" s="6"/>
      <c r="C312" s="6"/>
      <c r="D312" s="11">
        <v>1.0</v>
      </c>
      <c r="E312" s="11">
        <v>6.0</v>
      </c>
      <c r="F312" s="11">
        <v>0.0</v>
      </c>
      <c r="G312" s="11">
        <v>0.0</v>
      </c>
      <c r="H312" s="6"/>
      <c r="I312" s="11">
        <v>148.6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 t="s">
        <v>81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4" t="s">
        <v>82</v>
      </c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4" t="s">
        <v>83</v>
      </c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" t="s">
        <v>375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" t="s">
        <v>151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" t="s">
        <v>376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4" t="s">
        <v>154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" t="s">
        <v>153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20" t="s">
        <v>152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21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 t="s">
        <v>43</v>
      </c>
      <c r="B323" s="6"/>
      <c r="C323" s="6"/>
      <c r="D323" s="11">
        <v>0.0</v>
      </c>
      <c r="E323" s="11">
        <v>0.0</v>
      </c>
      <c r="F323" s="11">
        <v>0.0</v>
      </c>
      <c r="G323" s="11">
        <v>0.0</v>
      </c>
      <c r="H323" s="6"/>
      <c r="I323" s="11">
        <v>127.2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 t="s">
        <v>44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20" t="s">
        <v>84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21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 t="s">
        <v>87</v>
      </c>
      <c r="B327" s="6"/>
      <c r="C327" s="6"/>
      <c r="D327" s="11">
        <v>0.0</v>
      </c>
      <c r="E327" s="11">
        <v>0.0</v>
      </c>
      <c r="F327" s="11">
        <v>0.0</v>
      </c>
      <c r="G327" s="11">
        <v>0.0</v>
      </c>
      <c r="H327" s="6"/>
      <c r="I327" s="11">
        <v>99.1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0" t="s">
        <v>88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1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9" t="s">
        <v>47</v>
      </c>
      <c r="B330" s="6"/>
      <c r="C330" s="6"/>
      <c r="D330" s="11">
        <v>0.0</v>
      </c>
      <c r="E330" s="11">
        <v>0.0</v>
      </c>
      <c r="F330" s="11">
        <v>0.0</v>
      </c>
      <c r="G330" s="11">
        <v>0.0</v>
      </c>
      <c r="H330" s="6"/>
      <c r="I330" s="11">
        <v>84.3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2" t="s">
        <v>92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3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2" t="s">
        <v>48</v>
      </c>
      <c r="B333" s="6"/>
      <c r="C333" s="6"/>
      <c r="D333" s="11">
        <v>0.0</v>
      </c>
      <c r="E333" s="11">
        <v>0.0</v>
      </c>
      <c r="F333" s="11">
        <v>0.0</v>
      </c>
      <c r="G333" s="11">
        <v>0.0</v>
      </c>
      <c r="H333" s="6"/>
      <c r="I333" s="11">
        <v>52.9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3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" t="s">
        <v>22</v>
      </c>
      <c r="B335" s="6"/>
      <c r="C335" s="6"/>
      <c r="D335" s="11">
        <v>1.0</v>
      </c>
      <c r="E335" s="11">
        <v>13.0</v>
      </c>
      <c r="F335" s="11">
        <v>1.0</v>
      </c>
      <c r="G335" s="11">
        <v>2.0</v>
      </c>
      <c r="H335" s="6"/>
      <c r="I335" s="11">
        <v>207.4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" t="s">
        <v>52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 t="s">
        <v>318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4" t="s">
        <v>53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4" t="s">
        <v>103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 t="s">
        <v>102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4" t="s">
        <v>54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4" t="s">
        <v>104</v>
      </c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4" t="s">
        <v>55</v>
      </c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4" t="s">
        <v>56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 t="s">
        <v>106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 t="s">
        <v>181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 t="s">
        <v>189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4" t="s">
        <v>369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4" t="s">
        <v>188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4" t="s">
        <v>187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4" t="s">
        <v>101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0" t="s">
        <v>184</v>
      </c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20" t="s">
        <v>642</v>
      </c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21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4" t="s">
        <v>296</v>
      </c>
      <c r="B355" s="6"/>
      <c r="C355" s="6"/>
      <c r="D355" s="11">
        <v>1.0</v>
      </c>
      <c r="E355" s="11">
        <v>5.0</v>
      </c>
      <c r="F355" s="11">
        <v>0.0</v>
      </c>
      <c r="G355" s="11">
        <v>0.0</v>
      </c>
      <c r="H355" s="6"/>
      <c r="I355" s="11">
        <v>190.2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4" t="s">
        <v>301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 t="s">
        <v>319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 t="s">
        <v>191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109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" t="s">
        <v>193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" t="s">
        <v>192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 t="s">
        <v>320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0" t="s">
        <v>498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1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4" t="s">
        <v>58</v>
      </c>
      <c r="B365" s="6"/>
      <c r="C365" s="6"/>
      <c r="D365" s="11">
        <v>1.0</v>
      </c>
      <c r="E365" s="11">
        <v>10.0</v>
      </c>
      <c r="F365" s="11">
        <v>0.0</v>
      </c>
      <c r="G365" s="11">
        <v>0.0</v>
      </c>
      <c r="H365" s="6"/>
      <c r="I365" s="11">
        <v>189.5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4" t="s">
        <v>449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4" t="s">
        <v>450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4" t="s">
        <v>451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4" t="s">
        <v>453</v>
      </c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" t="s">
        <v>454</v>
      </c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 t="s">
        <v>501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 t="s">
        <v>504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 t="s">
        <v>505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" t="s">
        <v>507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20" t="s">
        <v>561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20" t="s">
        <v>568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0" t="s">
        <v>508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0" t="s">
        <v>566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1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4" t="s">
        <v>627</v>
      </c>
      <c r="B380" s="6"/>
      <c r="C380" s="6"/>
      <c r="D380" s="11">
        <v>1.0</v>
      </c>
      <c r="E380" s="11">
        <v>1.0</v>
      </c>
      <c r="F380" s="11">
        <v>0.0</v>
      </c>
      <c r="G380" s="11">
        <v>0.0</v>
      </c>
      <c r="H380" s="6"/>
      <c r="I380" s="11">
        <v>145.8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4" t="s">
        <v>628</v>
      </c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629</v>
      </c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4" t="s">
        <v>630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20" t="s">
        <v>570</v>
      </c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21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4" t="s">
        <v>458</v>
      </c>
      <c r="B386" s="6"/>
      <c r="C386" s="6"/>
      <c r="D386" s="11">
        <v>1.0</v>
      </c>
      <c r="E386" s="11">
        <v>5.0</v>
      </c>
      <c r="F386" s="11">
        <v>1.0</v>
      </c>
      <c r="G386" s="11">
        <v>1.0</v>
      </c>
      <c r="H386" s="6"/>
      <c r="I386" s="11">
        <v>156.3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4" t="s">
        <v>513</v>
      </c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 t="s">
        <v>578</v>
      </c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631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 t="s">
        <v>581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 t="s">
        <v>635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 t="s">
        <v>636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20" t="s">
        <v>643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20" t="s">
        <v>644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21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4" t="s">
        <v>61</v>
      </c>
      <c r="B396" s="6"/>
      <c r="C396" s="6"/>
      <c r="D396" s="11">
        <v>1.0</v>
      </c>
      <c r="E396" s="11">
        <v>2.0</v>
      </c>
      <c r="F396" s="11">
        <v>0.0</v>
      </c>
      <c r="G396" s="11">
        <v>0.0</v>
      </c>
      <c r="H396" s="6"/>
      <c r="I396" s="11">
        <v>194.5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" t="s">
        <v>113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4" t="s">
        <v>203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4" t="s">
        <v>273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4" t="s">
        <v>202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20" t="s">
        <v>272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1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4" t="s">
        <v>62</v>
      </c>
      <c r="B403" s="6"/>
      <c r="C403" s="6"/>
      <c r="D403" s="11">
        <v>0.0</v>
      </c>
      <c r="E403" s="11">
        <v>0.0</v>
      </c>
      <c r="F403" s="11">
        <v>0.0</v>
      </c>
      <c r="G403" s="11">
        <v>0.0</v>
      </c>
      <c r="H403" s="6"/>
      <c r="I403" s="11">
        <v>131.9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4" t="s">
        <v>114</v>
      </c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20" t="s">
        <v>116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21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117</v>
      </c>
      <c r="B407" s="6"/>
      <c r="C407" s="6"/>
      <c r="D407" s="11">
        <v>0.0</v>
      </c>
      <c r="E407" s="11">
        <v>0.0</v>
      </c>
      <c r="F407" s="11">
        <v>0.0</v>
      </c>
      <c r="G407" s="11">
        <v>0.0</v>
      </c>
      <c r="H407" s="6"/>
      <c r="I407" s="11">
        <v>139.7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4" t="s">
        <v>206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" t="s">
        <v>207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21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4" t="s">
        <v>118</v>
      </c>
      <c r="B411" s="6"/>
      <c r="C411" s="6"/>
      <c r="D411" s="11">
        <v>1.0</v>
      </c>
      <c r="E411" s="11">
        <v>1.0</v>
      </c>
      <c r="F411" s="11">
        <v>0.0</v>
      </c>
      <c r="G411" s="11">
        <v>0.0</v>
      </c>
      <c r="H411" s="6"/>
      <c r="I411" s="11">
        <v>164.2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" t="s">
        <v>208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" t="s">
        <v>277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20" t="s">
        <v>354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20" t="s">
        <v>645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21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" t="s">
        <v>119</v>
      </c>
      <c r="B417" s="6"/>
      <c r="C417" s="6"/>
      <c r="D417" s="11">
        <v>0.0</v>
      </c>
      <c r="E417" s="11">
        <v>0.0</v>
      </c>
      <c r="F417" s="11">
        <v>0.0</v>
      </c>
      <c r="G417" s="11">
        <v>0.0</v>
      </c>
      <c r="H417" s="6"/>
      <c r="I417" s="11">
        <v>101.7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" t="s">
        <v>120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21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" t="s">
        <v>122</v>
      </c>
      <c r="B420" s="6"/>
      <c r="C420" s="6"/>
      <c r="D420" s="11">
        <v>0.0</v>
      </c>
      <c r="E420" s="11">
        <v>0.0</v>
      </c>
      <c r="F420" s="11">
        <v>0.0</v>
      </c>
      <c r="G420" s="11">
        <v>0.0</v>
      </c>
      <c r="H420" s="6"/>
      <c r="I420" s="11">
        <v>99.9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20" t="s">
        <v>124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21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4" t="s">
        <v>125</v>
      </c>
      <c r="B423" s="6"/>
      <c r="C423" s="6"/>
      <c r="D423" s="11">
        <v>0.0</v>
      </c>
      <c r="E423" s="11">
        <v>0.0</v>
      </c>
      <c r="F423" s="11">
        <v>0.0</v>
      </c>
      <c r="G423" s="11">
        <v>0.0</v>
      </c>
      <c r="H423" s="6"/>
      <c r="I423" s="11">
        <v>75.3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20" t="s">
        <v>213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21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" t="s">
        <v>216</v>
      </c>
      <c r="B426" s="6"/>
      <c r="C426" s="6"/>
      <c r="D426" s="11">
        <v>0.0</v>
      </c>
      <c r="E426" s="11">
        <v>0.0</v>
      </c>
      <c r="F426" s="11">
        <v>0.0</v>
      </c>
      <c r="G426" s="11">
        <v>0.0</v>
      </c>
      <c r="H426" s="6"/>
      <c r="I426" s="11">
        <v>66.4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2" t="s">
        <v>18</v>
      </c>
      <c r="B428" s="13">
        <v>45574.0</v>
      </c>
      <c r="C428" s="9"/>
      <c r="D428" s="9"/>
      <c r="E428" s="9"/>
      <c r="F428" s="9"/>
      <c r="G428" s="9"/>
      <c r="H428" s="9"/>
      <c r="I428" s="9"/>
      <c r="J428" s="9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4" t="s">
        <v>19</v>
      </c>
      <c r="B429" s="11">
        <v>11.0</v>
      </c>
      <c r="C429" s="11">
        <v>11.0</v>
      </c>
      <c r="D429" s="11">
        <v>1.0</v>
      </c>
      <c r="E429" s="11">
        <v>15.0</v>
      </c>
      <c r="F429" s="11">
        <v>1.0</v>
      </c>
      <c r="G429" s="11">
        <v>4.0</v>
      </c>
      <c r="H429" s="6"/>
      <c r="I429" s="11">
        <v>191.6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4" t="s">
        <v>24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4" t="s">
        <v>25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4" t="s">
        <v>27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 t="s">
        <v>28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4" t="s">
        <v>66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4" t="s">
        <v>425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4" t="s">
        <v>465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4" t="s">
        <v>30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4" t="s">
        <v>26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4" t="s">
        <v>516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4" t="s">
        <v>31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4" t="s">
        <v>70</v>
      </c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" t="s">
        <v>71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" t="s">
        <v>69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" t="s">
        <v>637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" t="s">
        <v>132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4" t="s">
        <v>133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20" t="s">
        <v>130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20" t="s">
        <v>585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20" t="s">
        <v>134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20" t="s">
        <v>646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21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4" t="s">
        <v>21</v>
      </c>
      <c r="B452" s="11">
        <v>8.0</v>
      </c>
      <c r="C452" s="11">
        <v>6.0</v>
      </c>
      <c r="D452" s="11">
        <v>1.0</v>
      </c>
      <c r="E452" s="11">
        <v>9.0</v>
      </c>
      <c r="F452" s="11">
        <v>0.0</v>
      </c>
      <c r="G452" s="11">
        <v>0.0</v>
      </c>
      <c r="H452" s="6"/>
      <c r="I452" s="11">
        <v>181.8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4" t="s">
        <v>32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4" t="s">
        <v>33</v>
      </c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4" t="s">
        <v>430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4" t="s">
        <v>624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4" t="s">
        <v>34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4" t="s">
        <v>632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4" t="s">
        <v>76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" t="s">
        <v>77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4" t="s">
        <v>72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" t="s">
        <v>638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139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137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20" t="s">
        <v>138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21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37</v>
      </c>
      <c r="B467" s="11">
        <v>11.0</v>
      </c>
      <c r="C467" s="11">
        <v>12.0</v>
      </c>
      <c r="D467" s="11">
        <v>1.0</v>
      </c>
      <c r="E467" s="11">
        <v>16.0</v>
      </c>
      <c r="F467" s="11">
        <v>1.0</v>
      </c>
      <c r="G467" s="11">
        <v>2.0</v>
      </c>
      <c r="H467" s="6"/>
      <c r="I467" s="11">
        <v>205.5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38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" t="s">
        <v>78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4" t="s">
        <v>436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4" t="s">
        <v>437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4" t="s">
        <v>625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4" t="s">
        <v>532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4" t="s">
        <v>434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4" t="s">
        <v>481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" t="s">
        <v>483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 t="s">
        <v>433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633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4" t="s">
        <v>145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4" t="s">
        <v>639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4" t="s">
        <v>640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4" t="s">
        <v>641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4" t="s">
        <v>484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4" t="s">
        <v>534</v>
      </c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20" t="s">
        <v>237</v>
      </c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20" t="s">
        <v>647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20" t="s">
        <v>648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20" t="s">
        <v>649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20" t="s">
        <v>535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21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4" t="s">
        <v>39</v>
      </c>
      <c r="B491" s="11">
        <v>7.0</v>
      </c>
      <c r="C491" s="11">
        <v>0.0</v>
      </c>
      <c r="D491" s="11">
        <v>1.0</v>
      </c>
      <c r="E491" s="11">
        <v>3.0</v>
      </c>
      <c r="F491" s="11">
        <v>0.0</v>
      </c>
      <c r="G491" s="11">
        <v>0.0</v>
      </c>
      <c r="H491" s="6"/>
      <c r="I491" s="11">
        <v>147.6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4" t="s">
        <v>79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4" t="s">
        <v>80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4" t="s">
        <v>146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4" t="s">
        <v>148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0" t="s">
        <v>147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20" t="s">
        <v>238</v>
      </c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21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" t="s">
        <v>41</v>
      </c>
      <c r="B499" s="11">
        <v>7.0</v>
      </c>
      <c r="C499" s="11">
        <v>3.0</v>
      </c>
      <c r="D499" s="11">
        <v>1.0</v>
      </c>
      <c r="E499" s="11">
        <v>6.0</v>
      </c>
      <c r="F499" s="11">
        <v>0.0</v>
      </c>
      <c r="G499" s="11">
        <v>0.0</v>
      </c>
      <c r="H499" s="6"/>
      <c r="I499" s="11">
        <v>177.1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4" t="s">
        <v>626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4" t="s">
        <v>309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4" t="s">
        <v>338</v>
      </c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" t="s">
        <v>299</v>
      </c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634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" t="s">
        <v>387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4" t="s">
        <v>308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0" t="s">
        <v>650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0" t="s">
        <v>651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21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" t="s">
        <v>42</v>
      </c>
      <c r="B510" s="11">
        <v>10.0</v>
      </c>
      <c r="C510" s="11">
        <v>3.0</v>
      </c>
      <c r="D510" s="11">
        <v>1.0</v>
      </c>
      <c r="E510" s="11">
        <v>9.0</v>
      </c>
      <c r="F510" s="11">
        <v>0.0</v>
      </c>
      <c r="G510" s="11">
        <v>0.0</v>
      </c>
      <c r="H510" s="6"/>
      <c r="I510" s="11">
        <v>180.6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4" t="s">
        <v>81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4" t="s">
        <v>82</v>
      </c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83</v>
      </c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375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" t="s">
        <v>151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" t="s">
        <v>376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4" t="s">
        <v>154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4" t="s">
        <v>153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" t="s">
        <v>152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0" t="s">
        <v>652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0" t="s">
        <v>377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0" t="s">
        <v>241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1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4" t="s">
        <v>43</v>
      </c>
      <c r="B524" s="11">
        <v>4.0</v>
      </c>
      <c r="C524" s="11">
        <v>0.0</v>
      </c>
      <c r="D524" s="11">
        <v>0.0</v>
      </c>
      <c r="E524" s="11">
        <v>0.0</v>
      </c>
      <c r="F524" s="11">
        <v>0.0</v>
      </c>
      <c r="G524" s="11">
        <v>0.0</v>
      </c>
      <c r="H524" s="6"/>
      <c r="I524" s="11">
        <v>144.4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4" t="s">
        <v>44</v>
      </c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" t="s">
        <v>84</v>
      </c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20" t="s">
        <v>159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21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4" t="s">
        <v>87</v>
      </c>
      <c r="B529" s="11">
        <v>3.0</v>
      </c>
      <c r="C529" s="11">
        <v>0.0</v>
      </c>
      <c r="D529" s="11">
        <v>0.0</v>
      </c>
      <c r="E529" s="11">
        <v>0.0</v>
      </c>
      <c r="F529" s="11">
        <v>0.0</v>
      </c>
      <c r="G529" s="11">
        <v>0.0</v>
      </c>
      <c r="H529" s="6"/>
      <c r="I529" s="11">
        <v>121.3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4" t="s">
        <v>88</v>
      </c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20" t="s">
        <v>89</v>
      </c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21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9" t="s">
        <v>47</v>
      </c>
      <c r="B533" s="11">
        <v>3.0</v>
      </c>
      <c r="C533" s="11">
        <v>0.0</v>
      </c>
      <c r="D533" s="11">
        <v>0.0</v>
      </c>
      <c r="E533" s="11">
        <v>0.0</v>
      </c>
      <c r="F533" s="11">
        <v>0.0</v>
      </c>
      <c r="G533" s="11">
        <v>0.0</v>
      </c>
      <c r="H533" s="6"/>
      <c r="I533" s="11">
        <v>102.8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9" t="s">
        <v>92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22" t="s">
        <v>165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23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9" t="s">
        <v>48</v>
      </c>
      <c r="B537" s="11">
        <v>2.0</v>
      </c>
      <c r="C537" s="11">
        <v>0.0</v>
      </c>
      <c r="D537" s="11">
        <v>0.0</v>
      </c>
      <c r="E537" s="11">
        <v>0.0</v>
      </c>
      <c r="F537" s="11">
        <v>0.0</v>
      </c>
      <c r="G537" s="11">
        <v>0.0</v>
      </c>
      <c r="H537" s="6"/>
      <c r="I537" s="11">
        <v>76.2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20" t="s">
        <v>93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24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20" t="s">
        <v>49</v>
      </c>
      <c r="B540" s="11">
        <v>1.0</v>
      </c>
      <c r="C540" s="11">
        <v>0.0</v>
      </c>
      <c r="D540" s="11">
        <v>0.0</v>
      </c>
      <c r="E540" s="11">
        <v>0.0</v>
      </c>
      <c r="F540" s="11">
        <v>0.0</v>
      </c>
      <c r="G540" s="11">
        <v>0.0</v>
      </c>
      <c r="H540" s="6"/>
      <c r="I540" s="11">
        <v>36.9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24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 t="s">
        <v>22</v>
      </c>
      <c r="B542" s="11">
        <v>13.0</v>
      </c>
      <c r="C542" s="11">
        <v>12.0</v>
      </c>
      <c r="D542" s="11">
        <v>1.0</v>
      </c>
      <c r="E542" s="11">
        <v>17.0</v>
      </c>
      <c r="F542" s="11">
        <v>1.0</v>
      </c>
      <c r="G542" s="11">
        <v>4.0</v>
      </c>
      <c r="H542" s="6"/>
      <c r="I542" s="11">
        <v>205.7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4" t="s">
        <v>52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4" t="s">
        <v>318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4" t="s">
        <v>53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4" t="s">
        <v>103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4" t="s">
        <v>102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" t="s">
        <v>54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4" t="s">
        <v>104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4" t="s">
        <v>55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4" t="s">
        <v>56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4" t="s">
        <v>106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4" t="s">
        <v>181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4" t="s">
        <v>189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4" t="s">
        <v>369</v>
      </c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4" t="s">
        <v>188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4" t="s">
        <v>187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4" t="s">
        <v>101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4" t="s">
        <v>184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4" t="s">
        <v>642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20" t="s">
        <v>653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20" t="s">
        <v>182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0" t="s">
        <v>185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0" t="s">
        <v>381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0" t="s">
        <v>263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0" t="s">
        <v>264</v>
      </c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24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4" t="s">
        <v>296</v>
      </c>
      <c r="B568" s="11">
        <v>7.0</v>
      </c>
      <c r="C568" s="11">
        <v>3.0</v>
      </c>
      <c r="D568" s="11">
        <v>1.0</v>
      </c>
      <c r="E568" s="11">
        <v>5.0</v>
      </c>
      <c r="F568" s="11">
        <v>0.0</v>
      </c>
      <c r="G568" s="11">
        <v>0.0</v>
      </c>
      <c r="H568" s="6"/>
      <c r="I568" s="11">
        <v>201.4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" t="s">
        <v>301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4" t="s">
        <v>319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4" t="s">
        <v>191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4" t="s">
        <v>109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4" t="s">
        <v>193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4" t="s">
        <v>192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4" t="s">
        <v>320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4" t="s">
        <v>498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0" t="s">
        <v>348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1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4" t="s">
        <v>58</v>
      </c>
      <c r="B579" s="11">
        <v>4.0</v>
      </c>
      <c r="C579" s="11">
        <v>11.0</v>
      </c>
      <c r="D579" s="11">
        <v>1.0</v>
      </c>
      <c r="E579" s="11">
        <v>10.0</v>
      </c>
      <c r="F579" s="11">
        <v>0.0</v>
      </c>
      <c r="G579" s="11">
        <v>0.0</v>
      </c>
      <c r="H579" s="6"/>
      <c r="I579" s="11">
        <v>190.5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4" t="s">
        <v>449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4" t="s">
        <v>450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4" t="s">
        <v>451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4" t="s">
        <v>453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4" t="s">
        <v>454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4" t="s">
        <v>501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4" t="s">
        <v>504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4" t="s">
        <v>505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4" t="s">
        <v>507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4" t="s">
        <v>561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4" t="s">
        <v>568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4" t="s">
        <v>508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4" t="s">
        <v>566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20" t="s">
        <v>564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21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4" t="s">
        <v>627</v>
      </c>
      <c r="B595" s="11">
        <v>1.0</v>
      </c>
      <c r="C595" s="11">
        <v>5.0</v>
      </c>
      <c r="D595" s="11">
        <v>1.0</v>
      </c>
      <c r="E595" s="11">
        <v>1.0</v>
      </c>
      <c r="F595" s="11">
        <v>0.0</v>
      </c>
      <c r="G595" s="11">
        <v>0.0</v>
      </c>
      <c r="H595" s="6"/>
      <c r="I595" s="11">
        <v>144.6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4" t="s">
        <v>628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4" t="s">
        <v>629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4" t="s">
        <v>630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4" t="s">
        <v>570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0" t="s">
        <v>324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1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4" t="s">
        <v>458</v>
      </c>
      <c r="B602" s="11">
        <v>3.0</v>
      </c>
      <c r="C602" s="11">
        <v>8.0</v>
      </c>
      <c r="D602" s="11">
        <v>1.0</v>
      </c>
      <c r="E602" s="11">
        <v>6.0</v>
      </c>
      <c r="F602" s="11">
        <v>1.0</v>
      </c>
      <c r="G602" s="11">
        <v>2.0</v>
      </c>
      <c r="H602" s="6"/>
      <c r="I602" s="11">
        <v>167.0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4" t="s">
        <v>513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4" t="s">
        <v>578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4" t="s">
        <v>631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 t="s">
        <v>581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4" t="s">
        <v>635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4" t="s">
        <v>636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4" t="s">
        <v>643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4" t="s">
        <v>644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20" t="s">
        <v>654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20" t="s">
        <v>655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1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4" t="s">
        <v>61</v>
      </c>
      <c r="B614" s="11">
        <v>8.0</v>
      </c>
      <c r="C614" s="11">
        <v>0.0</v>
      </c>
      <c r="D614" s="11">
        <v>1.0</v>
      </c>
      <c r="E614" s="11">
        <v>3.0</v>
      </c>
      <c r="F614" s="11">
        <v>0.0</v>
      </c>
      <c r="G614" s="11">
        <v>0.0</v>
      </c>
      <c r="H614" s="6"/>
      <c r="I614" s="11">
        <v>198.5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4" t="s">
        <v>113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4" t="s">
        <v>203</v>
      </c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4" t="s">
        <v>273</v>
      </c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4" t="s">
        <v>202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4" t="s">
        <v>272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0" t="s">
        <v>330</v>
      </c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20" t="s">
        <v>327</v>
      </c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21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4" t="s">
        <v>62</v>
      </c>
      <c r="B623" s="11">
        <v>4.0</v>
      </c>
      <c r="C623" s="11">
        <v>0.0</v>
      </c>
      <c r="D623" s="11">
        <v>0.0</v>
      </c>
      <c r="E623" s="11">
        <v>0.0</v>
      </c>
      <c r="F623" s="11">
        <v>0.0</v>
      </c>
      <c r="G623" s="11">
        <v>0.0</v>
      </c>
      <c r="H623" s="6"/>
      <c r="I623" s="11">
        <v>154.4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4" t="s">
        <v>114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4" t="s">
        <v>116</v>
      </c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20" t="s">
        <v>204</v>
      </c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21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4" t="s">
        <v>117</v>
      </c>
      <c r="B628" s="11">
        <v>4.0</v>
      </c>
      <c r="C628" s="11">
        <v>0.0</v>
      </c>
      <c r="D628" s="11">
        <v>0.0</v>
      </c>
      <c r="E628" s="11">
        <v>0.0</v>
      </c>
      <c r="F628" s="11">
        <v>0.0</v>
      </c>
      <c r="G628" s="11">
        <v>0.0</v>
      </c>
      <c r="H628" s="6"/>
      <c r="I628" s="11">
        <v>164.3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4" t="s">
        <v>206</v>
      </c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4" t="s">
        <v>207</v>
      </c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20" t="s">
        <v>276</v>
      </c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21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4" t="s">
        <v>118</v>
      </c>
      <c r="B633" s="11">
        <v>5.0</v>
      </c>
      <c r="C633" s="11">
        <v>0.0</v>
      </c>
      <c r="D633" s="11">
        <v>1.0</v>
      </c>
      <c r="E633" s="11">
        <v>1.0</v>
      </c>
      <c r="F633" s="11">
        <v>0.0</v>
      </c>
      <c r="G633" s="11">
        <v>0.0</v>
      </c>
      <c r="H633" s="6"/>
      <c r="I633" s="11">
        <v>164.8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4" t="s">
        <v>208</v>
      </c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4" t="s">
        <v>277</v>
      </c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4" t="s">
        <v>354</v>
      </c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4" t="s">
        <v>645</v>
      </c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21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4" t="s">
        <v>119</v>
      </c>
      <c r="B639" s="11">
        <v>3.0</v>
      </c>
      <c r="C639" s="11">
        <v>0.0</v>
      </c>
      <c r="D639" s="11">
        <v>0.0</v>
      </c>
      <c r="E639" s="11">
        <v>0.0</v>
      </c>
      <c r="F639" s="11">
        <v>0.0</v>
      </c>
      <c r="G639" s="11">
        <v>0.0</v>
      </c>
      <c r="H639" s="6"/>
      <c r="I639" s="11">
        <v>126.7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4" t="s">
        <v>120</v>
      </c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20" t="s">
        <v>209</v>
      </c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21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4" t="s">
        <v>122</v>
      </c>
      <c r="B643" s="11">
        <v>3.0</v>
      </c>
      <c r="C643" s="11">
        <v>0.0</v>
      </c>
      <c r="D643" s="11">
        <v>0.0</v>
      </c>
      <c r="E643" s="11">
        <v>0.0</v>
      </c>
      <c r="F643" s="11">
        <v>0.0</v>
      </c>
      <c r="G643" s="11">
        <v>0.0</v>
      </c>
      <c r="H643" s="6"/>
      <c r="I643" s="11">
        <v>119.1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4" t="s">
        <v>124</v>
      </c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20" t="s">
        <v>212</v>
      </c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21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4" t="s">
        <v>125</v>
      </c>
      <c r="B647" s="11">
        <v>3.0</v>
      </c>
      <c r="C647" s="11">
        <v>0.0</v>
      </c>
      <c r="D647" s="11">
        <v>0.0</v>
      </c>
      <c r="E647" s="11">
        <v>0.0</v>
      </c>
      <c r="F647" s="11">
        <v>0.0</v>
      </c>
      <c r="G647" s="11">
        <v>0.0</v>
      </c>
      <c r="H647" s="6"/>
      <c r="I647" s="11">
        <v>106.6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4" t="s">
        <v>213</v>
      </c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20" t="s">
        <v>214</v>
      </c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21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4" t="s">
        <v>216</v>
      </c>
      <c r="B651" s="11">
        <v>2.0</v>
      </c>
      <c r="C651" s="11">
        <v>0.0</v>
      </c>
      <c r="D651" s="11">
        <v>0.0</v>
      </c>
      <c r="E651" s="11">
        <v>0.0</v>
      </c>
      <c r="F651" s="11">
        <v>0.0</v>
      </c>
      <c r="G651" s="11">
        <v>0.0</v>
      </c>
      <c r="H651" s="6"/>
      <c r="I651" s="11">
        <v>96.3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20" t="s">
        <v>218</v>
      </c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24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20" t="s">
        <v>221</v>
      </c>
      <c r="B654" s="11">
        <v>1.0</v>
      </c>
      <c r="C654" s="11">
        <v>0.0</v>
      </c>
      <c r="D654" s="11">
        <v>0.0</v>
      </c>
      <c r="E654" s="11">
        <v>0.0</v>
      </c>
      <c r="F654" s="11">
        <v>0.0</v>
      </c>
      <c r="G654" s="11">
        <v>0.0</v>
      </c>
      <c r="H654" s="6"/>
      <c r="I654" s="11">
        <v>43.2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24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20" t="s">
        <v>223</v>
      </c>
      <c r="B656" s="11">
        <v>1.0</v>
      </c>
      <c r="C656" s="11">
        <v>0.0</v>
      </c>
      <c r="D656" s="11">
        <v>0.0</v>
      </c>
      <c r="E656" s="11">
        <v>0.0</v>
      </c>
      <c r="F656" s="11">
        <v>0.0</v>
      </c>
      <c r="G656" s="11">
        <v>0.0</v>
      </c>
      <c r="H656" s="6"/>
      <c r="I656" s="11">
        <v>45.6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24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2" t="s">
        <v>290</v>
      </c>
      <c r="C1" s="2" t="s">
        <v>291</v>
      </c>
      <c r="D1" s="1" t="s">
        <v>292</v>
      </c>
      <c r="E1" s="1" t="s">
        <v>6</v>
      </c>
      <c r="F1" s="1" t="s">
        <v>8</v>
      </c>
      <c r="G1" s="1" t="s">
        <v>9</v>
      </c>
      <c r="H1" s="3" t="s">
        <v>11</v>
      </c>
      <c r="I1" s="5" t="s">
        <v>12</v>
      </c>
      <c r="J1" s="5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9"/>
      <c r="J2" s="9"/>
      <c r="K2" s="10">
        <f t="shared" ref="K2:N2" si="1">SUM(K6:K624)</f>
        <v>0</v>
      </c>
      <c r="L2" s="10">
        <f t="shared" si="1"/>
        <v>0</v>
      </c>
      <c r="M2" s="10">
        <f t="shared" si="1"/>
        <v>1</v>
      </c>
      <c r="N2" s="10">
        <f t="shared" si="1"/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</v>
      </c>
      <c r="B3" s="8">
        <v>45508.0</v>
      </c>
      <c r="C3" s="9"/>
      <c r="D3" s="9"/>
      <c r="E3" s="9"/>
      <c r="F3" s="9"/>
      <c r="G3" s="9"/>
      <c r="H3" s="9"/>
      <c r="I3" s="9"/>
      <c r="J3" s="9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2" t="s">
        <v>18</v>
      </c>
      <c r="B5" s="13">
        <v>45532.0</v>
      </c>
      <c r="C5" s="9"/>
      <c r="D5" s="9"/>
      <c r="E5" s="9"/>
      <c r="F5" s="9"/>
      <c r="G5" s="9"/>
      <c r="H5" s="9"/>
      <c r="I5" s="9"/>
      <c r="J5" s="9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 t="s">
        <v>19</v>
      </c>
      <c r="B6" s="6"/>
      <c r="C6" s="6"/>
      <c r="D6" s="11">
        <v>1.0</v>
      </c>
      <c r="E6" s="11">
        <v>3.0</v>
      </c>
      <c r="F6" s="11">
        <v>0.0</v>
      </c>
      <c r="G6" s="11">
        <v>0.0</v>
      </c>
      <c r="H6" s="11">
        <v>5.0</v>
      </c>
      <c r="I6" s="11">
        <v>121.9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1" t="s">
        <v>656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1" t="s">
        <v>71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1" t="s">
        <v>27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1" t="s">
        <v>28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1" t="s">
        <v>21</v>
      </c>
      <c r="B12" s="6"/>
      <c r="C12" s="6"/>
      <c r="D12" s="11">
        <v>1.0</v>
      </c>
      <c r="E12" s="11">
        <v>8.0</v>
      </c>
      <c r="F12" s="11">
        <v>0.0</v>
      </c>
      <c r="G12" s="11">
        <v>0.0</v>
      </c>
      <c r="H12" s="6"/>
      <c r="I12" s="11">
        <v>147.9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1" t="s">
        <v>32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33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1" t="s">
        <v>72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1" t="s">
        <v>430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1" t="s">
        <v>624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1" t="s">
        <v>632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1" t="s">
        <v>35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1" t="s">
        <v>36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1" t="s">
        <v>657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1" t="s">
        <v>658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1" t="s">
        <v>77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1" t="s">
        <v>659</v>
      </c>
      <c r="B25" s="6"/>
      <c r="C25" s="6"/>
      <c r="D25" s="11">
        <v>1.0</v>
      </c>
      <c r="E25" s="11">
        <v>1.0</v>
      </c>
      <c r="F25" s="11">
        <v>0.0</v>
      </c>
      <c r="G25" s="11">
        <v>0.0</v>
      </c>
      <c r="H25" s="6"/>
      <c r="I25" s="11">
        <v>100.5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1" t="s">
        <v>432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1" t="s">
        <v>435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11" t="s">
        <v>39</v>
      </c>
      <c r="B29" s="6"/>
      <c r="C29" s="6"/>
      <c r="D29" s="11">
        <v>1.0</v>
      </c>
      <c r="E29" s="11">
        <v>4.0</v>
      </c>
      <c r="F29" s="11">
        <v>0.0</v>
      </c>
      <c r="G29" s="11">
        <v>0.0</v>
      </c>
      <c r="H29" s="6"/>
      <c r="I29" s="11">
        <v>141.2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11" t="s">
        <v>79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11" t="s">
        <v>146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11" t="s">
        <v>660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11" t="s">
        <v>661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11" t="s">
        <v>80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11" t="s">
        <v>544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11" t="s">
        <v>662</v>
      </c>
      <c r="B37" s="6"/>
      <c r="C37" s="6"/>
      <c r="D37" s="11">
        <v>0.0</v>
      </c>
      <c r="E37" s="11">
        <v>0.0</v>
      </c>
      <c r="F37" s="11">
        <v>0.0</v>
      </c>
      <c r="G37" s="11">
        <v>0.0</v>
      </c>
      <c r="H37" s="6"/>
      <c r="I37" s="11">
        <v>85.6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11" t="s">
        <v>22</v>
      </c>
      <c r="B39" s="6"/>
      <c r="C39" s="6"/>
      <c r="D39" s="11">
        <v>0.0</v>
      </c>
      <c r="E39" s="11">
        <v>0.0</v>
      </c>
      <c r="F39" s="11">
        <v>0.0</v>
      </c>
      <c r="G39" s="11">
        <v>0.0</v>
      </c>
      <c r="H39" s="11">
        <v>7.0</v>
      </c>
      <c r="I39" s="11">
        <v>111.4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11" t="s">
        <v>52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11" t="s">
        <v>296</v>
      </c>
      <c r="B42" s="6"/>
      <c r="C42" s="6"/>
      <c r="D42" s="11">
        <v>0.0</v>
      </c>
      <c r="E42" s="11">
        <v>0.0</v>
      </c>
      <c r="F42" s="11">
        <v>0.0</v>
      </c>
      <c r="G42" s="11">
        <v>0.0</v>
      </c>
      <c r="H42" s="6"/>
      <c r="I42" s="11">
        <v>69.2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11" t="s">
        <v>58</v>
      </c>
      <c r="B44" s="6"/>
      <c r="C44" s="6"/>
      <c r="D44" s="11">
        <v>1.0</v>
      </c>
      <c r="E44" s="11">
        <v>3.0</v>
      </c>
      <c r="F44" s="11">
        <v>0.0</v>
      </c>
      <c r="G44" s="11">
        <v>0.0</v>
      </c>
      <c r="H44" s="6"/>
      <c r="I44" s="11">
        <v>121.7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11" t="s">
        <v>194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11" t="s">
        <v>195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11" t="s">
        <v>268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11" t="s">
        <v>450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11" t="s">
        <v>196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11" t="s">
        <v>197</v>
      </c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11" t="s">
        <v>59</v>
      </c>
      <c r="B52" s="6"/>
      <c r="C52" s="6"/>
      <c r="D52" s="11">
        <v>0.0</v>
      </c>
      <c r="E52" s="11">
        <v>0.0</v>
      </c>
      <c r="F52" s="11">
        <v>0.0</v>
      </c>
      <c r="G52" s="11">
        <v>0.0</v>
      </c>
      <c r="H52" s="6"/>
      <c r="I52" s="11">
        <v>88.2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11" t="s">
        <v>110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11" t="s">
        <v>60</v>
      </c>
      <c r="B55" s="6"/>
      <c r="C55" s="6"/>
      <c r="D55" s="11">
        <v>0.0</v>
      </c>
      <c r="E55" s="11">
        <v>0.0</v>
      </c>
      <c r="F55" s="11">
        <v>0.0</v>
      </c>
      <c r="G55" s="11">
        <v>0.0</v>
      </c>
      <c r="H55" s="6"/>
      <c r="I55" s="11">
        <v>100.4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11" t="s">
        <v>111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11" t="s">
        <v>61</v>
      </c>
      <c r="B58" s="6"/>
      <c r="C58" s="6"/>
      <c r="D58" s="11">
        <v>1.0</v>
      </c>
      <c r="E58" s="11">
        <v>3.0</v>
      </c>
      <c r="F58" s="11">
        <v>0.0</v>
      </c>
      <c r="G58" s="11">
        <v>0.0</v>
      </c>
      <c r="H58" s="6"/>
      <c r="I58" s="11">
        <v>117.2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11" t="s">
        <v>113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11" t="s">
        <v>202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11" t="s">
        <v>663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11" t="s">
        <v>664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11" t="s">
        <v>665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11" t="s">
        <v>666</v>
      </c>
      <c r="B65" s="6"/>
      <c r="C65" s="6"/>
      <c r="D65" s="11">
        <v>1.0</v>
      </c>
      <c r="E65" s="11">
        <v>1.0</v>
      </c>
      <c r="F65" s="11">
        <v>0.0</v>
      </c>
      <c r="G65" s="11">
        <v>0.0</v>
      </c>
      <c r="H65" s="6"/>
      <c r="I65" s="11">
        <v>138.7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11" t="s">
        <v>667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11" t="s">
        <v>668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11" t="s">
        <v>669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12" t="s">
        <v>18</v>
      </c>
      <c r="B70" s="13">
        <v>45546.0</v>
      </c>
      <c r="C70" s="9"/>
      <c r="D70" s="9"/>
      <c r="E70" s="9"/>
      <c r="F70" s="9"/>
      <c r="G70" s="9"/>
      <c r="H70" s="9"/>
      <c r="I70" s="9"/>
      <c r="J70" s="9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14" t="s">
        <v>19</v>
      </c>
      <c r="B71" s="6"/>
      <c r="C71" s="6"/>
      <c r="D71" s="11">
        <v>1.0</v>
      </c>
      <c r="E71" s="11">
        <v>7.0</v>
      </c>
      <c r="F71" s="11">
        <v>0.0</v>
      </c>
      <c r="G71" s="11">
        <v>0.0</v>
      </c>
      <c r="H71" s="11">
        <v>8.0</v>
      </c>
      <c r="I71" s="11">
        <v>162.2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14" t="s">
        <v>656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14" t="s">
        <v>71</v>
      </c>
      <c r="B73" s="3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14" t="s">
        <v>27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14" t="s">
        <v>28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0" t="s">
        <v>66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20" t="s">
        <v>30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20" t="s">
        <v>31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20" t="s">
        <v>670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20" t="s">
        <v>133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21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14" t="s">
        <v>21</v>
      </c>
      <c r="B82" s="6"/>
      <c r="C82" s="6"/>
      <c r="D82" s="11">
        <v>1.0</v>
      </c>
      <c r="E82" s="11">
        <v>15.0</v>
      </c>
      <c r="F82" s="11">
        <v>1.0</v>
      </c>
      <c r="G82" s="11">
        <v>3.0</v>
      </c>
      <c r="H82" s="6"/>
      <c r="I82" s="11">
        <v>166.3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14" t="s">
        <v>32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14" t="s">
        <v>33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14" t="s">
        <v>72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14" t="s">
        <v>430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14" t="s">
        <v>624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14" t="s">
        <v>632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14" t="s">
        <v>35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14" t="s">
        <v>36</v>
      </c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14" t="s">
        <v>657</v>
      </c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14" t="s">
        <v>658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14" t="s">
        <v>77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20" t="s">
        <v>638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20" t="s">
        <v>471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20" t="s">
        <v>474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20" t="s">
        <v>73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20" t="s">
        <v>75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20" t="s">
        <v>671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20" t="s">
        <v>137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20" t="s">
        <v>139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20" t="s">
        <v>476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20" t="s">
        <v>672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20" t="s">
        <v>673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24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14" t="s">
        <v>659</v>
      </c>
      <c r="B106" s="6"/>
      <c r="C106" s="6"/>
      <c r="D106" s="11">
        <v>1.0</v>
      </c>
      <c r="E106" s="11">
        <v>2.0</v>
      </c>
      <c r="F106" s="11">
        <v>1.0</v>
      </c>
      <c r="G106" s="11">
        <v>1.0</v>
      </c>
      <c r="H106" s="6"/>
      <c r="I106" s="11">
        <v>132.1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14" t="s">
        <v>432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14" t="s">
        <v>435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20" t="s">
        <v>485</v>
      </c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20" t="s">
        <v>482</v>
      </c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20" t="s">
        <v>532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21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14" t="s">
        <v>39</v>
      </c>
      <c r="B113" s="6"/>
      <c r="C113" s="6"/>
      <c r="D113" s="11">
        <v>1.0</v>
      </c>
      <c r="E113" s="11">
        <v>11.0</v>
      </c>
      <c r="F113" s="11">
        <v>1.0</v>
      </c>
      <c r="G113" s="11">
        <v>2.0</v>
      </c>
      <c r="H113" s="6"/>
      <c r="I113" s="11">
        <v>169.3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14" t="s">
        <v>79</v>
      </c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14" t="s">
        <v>146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14" t="s">
        <v>660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14" t="s">
        <v>661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14" t="s">
        <v>80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14" t="s">
        <v>544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20" t="s">
        <v>674</v>
      </c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20" t="s">
        <v>675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20" t="s">
        <v>676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20" t="s">
        <v>148</v>
      </c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20" t="s">
        <v>677</v>
      </c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20" t="s">
        <v>606</v>
      </c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20" t="s">
        <v>147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20" t="s">
        <v>678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20" t="s">
        <v>679</v>
      </c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20" t="s">
        <v>680</v>
      </c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24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14" t="s">
        <v>662</v>
      </c>
      <c r="B131" s="6"/>
      <c r="C131" s="6"/>
      <c r="D131" s="11">
        <v>1.0</v>
      </c>
      <c r="E131" s="11">
        <v>1.0</v>
      </c>
      <c r="F131" s="11">
        <v>0.0</v>
      </c>
      <c r="G131" s="11">
        <v>0.0</v>
      </c>
      <c r="H131" s="6"/>
      <c r="I131" s="11">
        <v>118.7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20" t="s">
        <v>626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20" t="s">
        <v>309</v>
      </c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24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20" t="s">
        <v>365</v>
      </c>
      <c r="B135" s="6"/>
      <c r="C135" s="6"/>
      <c r="D135" s="11">
        <v>0.0</v>
      </c>
      <c r="E135" s="11">
        <v>0.0</v>
      </c>
      <c r="F135" s="11">
        <v>0.0</v>
      </c>
      <c r="G135" s="11">
        <v>0.0</v>
      </c>
      <c r="H135" s="6"/>
      <c r="I135" s="11">
        <v>55.5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24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20" t="s">
        <v>681</v>
      </c>
      <c r="B137" s="6"/>
      <c r="C137" s="6"/>
      <c r="D137" s="11">
        <v>0.0</v>
      </c>
      <c r="E137" s="11">
        <v>0.0</v>
      </c>
      <c r="F137" s="11">
        <v>0.0</v>
      </c>
      <c r="G137" s="11">
        <v>0.0</v>
      </c>
      <c r="H137" s="6"/>
      <c r="I137" s="11">
        <v>54.9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24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20" t="s">
        <v>682</v>
      </c>
      <c r="B139" s="6"/>
      <c r="C139" s="6"/>
      <c r="D139" s="11">
        <v>0.0</v>
      </c>
      <c r="E139" s="11">
        <v>0.0</v>
      </c>
      <c r="F139" s="11">
        <v>0.0</v>
      </c>
      <c r="G139" s="11">
        <v>0.0</v>
      </c>
      <c r="H139" s="6"/>
      <c r="I139" s="11">
        <v>52.4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24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14" t="s">
        <v>22</v>
      </c>
      <c r="B141" s="6"/>
      <c r="C141" s="6"/>
      <c r="D141" s="11">
        <v>1.0</v>
      </c>
      <c r="E141" s="11">
        <v>2.0</v>
      </c>
      <c r="F141" s="11">
        <v>0.0</v>
      </c>
      <c r="G141" s="11">
        <v>0.0</v>
      </c>
      <c r="H141" s="11">
        <v>9.0</v>
      </c>
      <c r="I141" s="11">
        <v>123.4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14" t="s">
        <v>52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20" t="s">
        <v>318</v>
      </c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20" t="s">
        <v>441</v>
      </c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20" t="s">
        <v>54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21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14" t="s">
        <v>296</v>
      </c>
      <c r="B147" s="6"/>
      <c r="C147" s="6"/>
      <c r="D147" s="11">
        <v>0.0</v>
      </c>
      <c r="E147" s="11">
        <v>0.0</v>
      </c>
      <c r="F147" s="11">
        <v>0.0</v>
      </c>
      <c r="G147" s="11">
        <v>0.0</v>
      </c>
      <c r="H147" s="6"/>
      <c r="I147" s="11">
        <v>111.1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20" t="s">
        <v>301</v>
      </c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20" t="s">
        <v>319</v>
      </c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21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14" t="s">
        <v>58</v>
      </c>
      <c r="B151" s="6"/>
      <c r="C151" s="6"/>
      <c r="D151" s="11">
        <v>1.0</v>
      </c>
      <c r="E151" s="11">
        <v>7.0</v>
      </c>
      <c r="F151" s="11">
        <v>1.0</v>
      </c>
      <c r="G151" s="11">
        <v>1.0</v>
      </c>
      <c r="H151" s="6"/>
      <c r="I151" s="11">
        <v>164.0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14" t="s">
        <v>194</v>
      </c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14" t="s">
        <v>195</v>
      </c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14" t="s">
        <v>268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14" t="s">
        <v>450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14" t="s">
        <v>196</v>
      </c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14" t="s">
        <v>197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20" t="s">
        <v>683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20" t="s">
        <v>505</v>
      </c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20" t="s">
        <v>506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20" t="s">
        <v>565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20" t="s">
        <v>321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20" t="s">
        <v>322</v>
      </c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21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14" t="s">
        <v>59</v>
      </c>
      <c r="B165" s="6"/>
      <c r="C165" s="6"/>
      <c r="D165" s="11">
        <v>1.0</v>
      </c>
      <c r="E165" s="11">
        <v>3.0</v>
      </c>
      <c r="F165" s="11">
        <v>0.0</v>
      </c>
      <c r="G165" s="11">
        <v>0.0</v>
      </c>
      <c r="H165" s="6"/>
      <c r="I165" s="11">
        <v>121.9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14" t="s">
        <v>110</v>
      </c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20" t="s">
        <v>198</v>
      </c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20" t="s">
        <v>303</v>
      </c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20" t="s">
        <v>684</v>
      </c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20" t="s">
        <v>685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24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14" t="s">
        <v>60</v>
      </c>
      <c r="B172" s="6"/>
      <c r="C172" s="6"/>
      <c r="D172" s="11">
        <v>1.0</v>
      </c>
      <c r="E172" s="11">
        <v>3.0</v>
      </c>
      <c r="F172" s="11">
        <v>0.0</v>
      </c>
      <c r="G172" s="11">
        <v>0.0</v>
      </c>
      <c r="H172" s="6"/>
      <c r="I172" s="11">
        <v>138.4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14" t="s">
        <v>111</v>
      </c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20" t="s">
        <v>199</v>
      </c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20" t="s">
        <v>631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20" t="s">
        <v>112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20" t="s">
        <v>201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21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14" t="s">
        <v>61</v>
      </c>
      <c r="B179" s="6"/>
      <c r="C179" s="6"/>
      <c r="D179" s="11">
        <v>1.0</v>
      </c>
      <c r="E179" s="11">
        <v>5.0</v>
      </c>
      <c r="F179" s="11">
        <v>1.0</v>
      </c>
      <c r="G179" s="11">
        <v>1.0</v>
      </c>
      <c r="H179" s="6"/>
      <c r="I179" s="11">
        <v>154.9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14" t="s">
        <v>113</v>
      </c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14" t="s">
        <v>202</v>
      </c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14" t="s">
        <v>663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14" t="s">
        <v>664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14" t="s">
        <v>665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20" t="s">
        <v>272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20" t="s">
        <v>329</v>
      </c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20" t="s">
        <v>686</v>
      </c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20" t="s">
        <v>687</v>
      </c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21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14" t="s">
        <v>666</v>
      </c>
      <c r="B190" s="6"/>
      <c r="C190" s="6"/>
      <c r="D190" s="11">
        <v>1.0</v>
      </c>
      <c r="E190" s="11">
        <v>3.0</v>
      </c>
      <c r="F190" s="11">
        <v>0.0</v>
      </c>
      <c r="G190" s="11">
        <v>0.0</v>
      </c>
      <c r="H190" s="6"/>
      <c r="I190" s="11">
        <v>155.6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14" t="s">
        <v>667</v>
      </c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14" t="s">
        <v>668</v>
      </c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14" t="s">
        <v>669</v>
      </c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11" t="s">
        <v>688</v>
      </c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11" t="s">
        <v>689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11" t="s">
        <v>690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11" t="s">
        <v>117</v>
      </c>
      <c r="B198" s="6"/>
      <c r="C198" s="6"/>
      <c r="D198" s="11">
        <v>0.0</v>
      </c>
      <c r="E198" s="11">
        <v>0.0</v>
      </c>
      <c r="F198" s="11">
        <v>0.0</v>
      </c>
      <c r="G198" s="11">
        <v>0.0</v>
      </c>
      <c r="H198" s="6"/>
      <c r="I198" s="11">
        <v>54.7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12" t="s">
        <v>18</v>
      </c>
      <c r="B200" s="13">
        <v>45560.0</v>
      </c>
      <c r="C200" s="9"/>
      <c r="D200" s="9"/>
      <c r="E200" s="9"/>
      <c r="F200" s="9"/>
      <c r="G200" s="9"/>
      <c r="H200" s="9"/>
      <c r="I200" s="9"/>
      <c r="J200" s="9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14" t="s">
        <v>19</v>
      </c>
      <c r="B201" s="6"/>
      <c r="C201" s="6"/>
      <c r="D201" s="11">
        <v>1.0</v>
      </c>
      <c r="E201" s="11">
        <v>10.0</v>
      </c>
      <c r="F201" s="11">
        <v>0.0</v>
      </c>
      <c r="G201" s="11">
        <v>0.0</v>
      </c>
      <c r="H201" s="6"/>
      <c r="I201" s="11">
        <v>181.5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14" t="s">
        <v>656</v>
      </c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14" t="s">
        <v>71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14" t="s">
        <v>27</v>
      </c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14" t="s">
        <v>28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14" t="s">
        <v>66</v>
      </c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14" t="s">
        <v>30</v>
      </c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14" t="s">
        <v>31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14" t="s">
        <v>670</v>
      </c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14" t="s">
        <v>133</v>
      </c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20" t="s">
        <v>691</v>
      </c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20" t="s">
        <v>134</v>
      </c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20" t="s">
        <v>67</v>
      </c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20" t="s">
        <v>69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24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14" t="s">
        <v>21</v>
      </c>
      <c r="B216" s="6"/>
      <c r="C216" s="6"/>
      <c r="D216" s="11">
        <v>1.0</v>
      </c>
      <c r="E216" s="11">
        <v>19.0</v>
      </c>
      <c r="F216" s="11">
        <v>1.0</v>
      </c>
      <c r="G216" s="11">
        <v>6.0</v>
      </c>
      <c r="H216" s="6"/>
      <c r="I216" s="11">
        <v>191.3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14" t="s">
        <v>32</v>
      </c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14" t="s">
        <v>33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14" t="s">
        <v>72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14" t="s">
        <v>430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14" t="s">
        <v>624</v>
      </c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14" t="s">
        <v>632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14" t="s">
        <v>35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14" t="s">
        <v>36</v>
      </c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14" t="s">
        <v>657</v>
      </c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14" t="s">
        <v>658</v>
      </c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14" t="s">
        <v>77</v>
      </c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14" t="s">
        <v>638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14" t="s">
        <v>471</v>
      </c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14" t="s">
        <v>474</v>
      </c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14" t="s">
        <v>73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14" t="s">
        <v>75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14" t="s">
        <v>671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14" t="s">
        <v>137</v>
      </c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14" t="s">
        <v>139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14" t="s">
        <v>476</v>
      </c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14" t="s">
        <v>672</v>
      </c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14" t="s">
        <v>673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20" t="s">
        <v>529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20" t="s">
        <v>138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20" t="s">
        <v>692</v>
      </c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20" t="s">
        <v>143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20" t="s">
        <v>144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20" t="s">
        <v>524</v>
      </c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20" t="s">
        <v>693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21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14" t="s">
        <v>659</v>
      </c>
      <c r="B247" s="6"/>
      <c r="C247" s="6"/>
      <c r="D247" s="11">
        <v>1.0</v>
      </c>
      <c r="E247" s="11">
        <v>5.0</v>
      </c>
      <c r="F247" s="11">
        <v>1.0</v>
      </c>
      <c r="G247" s="11">
        <v>2.0</v>
      </c>
      <c r="H247" s="6"/>
      <c r="I247" s="11">
        <v>158.9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14" t="s">
        <v>432</v>
      </c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14" t="s">
        <v>435</v>
      </c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14" t="s">
        <v>485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14" t="s">
        <v>482</v>
      </c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4" t="s">
        <v>532</v>
      </c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20" t="s">
        <v>537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20" t="s">
        <v>539</v>
      </c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20" t="s">
        <v>433</v>
      </c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20" t="s">
        <v>531</v>
      </c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20" t="s">
        <v>640</v>
      </c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21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4" t="s">
        <v>39</v>
      </c>
      <c r="B259" s="6"/>
      <c r="C259" s="6"/>
      <c r="D259" s="11">
        <v>1.0</v>
      </c>
      <c r="E259" s="11">
        <v>15.0</v>
      </c>
      <c r="F259" s="11">
        <v>1.0</v>
      </c>
      <c r="G259" s="11">
        <v>4.0</v>
      </c>
      <c r="H259" s="6"/>
      <c r="I259" s="11">
        <v>185.9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4" t="s">
        <v>79</v>
      </c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4" t="s">
        <v>146</v>
      </c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4" t="s">
        <v>660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4" t="s">
        <v>661</v>
      </c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4" t="s">
        <v>80</v>
      </c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4" t="s">
        <v>544</v>
      </c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4" t="s">
        <v>674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4" t="s">
        <v>675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4" t="s">
        <v>676</v>
      </c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4" t="s">
        <v>148</v>
      </c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4" t="s">
        <v>677</v>
      </c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4" t="s">
        <v>606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4" t="s">
        <v>147</v>
      </c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4" t="s">
        <v>678</v>
      </c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4" t="s">
        <v>679</v>
      </c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4" t="s">
        <v>680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20" t="s">
        <v>694</v>
      </c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20" t="s">
        <v>695</v>
      </c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20" t="s">
        <v>696</v>
      </c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20" t="s">
        <v>697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20" t="s">
        <v>698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20" t="s">
        <v>238</v>
      </c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20" t="s">
        <v>699</v>
      </c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21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4" t="s">
        <v>662</v>
      </c>
      <c r="B284" s="6"/>
      <c r="C284" s="6"/>
      <c r="D284" s="11">
        <v>1.0</v>
      </c>
      <c r="E284" s="11">
        <v>4.0</v>
      </c>
      <c r="F284" s="11">
        <v>0.0</v>
      </c>
      <c r="G284" s="11">
        <v>0.0</v>
      </c>
      <c r="H284" s="6"/>
      <c r="I284" s="11">
        <v>141.1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4" t="s">
        <v>626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4" t="s">
        <v>309</v>
      </c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20" t="s">
        <v>634</v>
      </c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20" t="s">
        <v>299</v>
      </c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20" t="s">
        <v>361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20" t="s">
        <v>338</v>
      </c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21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4" t="s">
        <v>365</v>
      </c>
      <c r="B292" s="6"/>
      <c r="C292" s="6"/>
      <c r="D292" s="11">
        <v>1.0</v>
      </c>
      <c r="E292" s="11">
        <v>1.0</v>
      </c>
      <c r="F292" s="11">
        <v>0.0</v>
      </c>
      <c r="G292" s="11">
        <v>0.0</v>
      </c>
      <c r="H292" s="6"/>
      <c r="I292" s="11">
        <v>92.3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20" t="s">
        <v>83</v>
      </c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20" t="s">
        <v>366</v>
      </c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21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4" t="s">
        <v>681</v>
      </c>
      <c r="B296" s="6"/>
      <c r="C296" s="6"/>
      <c r="D296" s="11">
        <v>1.0</v>
      </c>
      <c r="E296" s="11">
        <v>1.0</v>
      </c>
      <c r="F296" s="11">
        <v>0.0</v>
      </c>
      <c r="G296" s="11">
        <v>0.0</v>
      </c>
      <c r="H296" s="6"/>
      <c r="I296" s="11">
        <v>95.4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20" t="s">
        <v>700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20" t="s">
        <v>85</v>
      </c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21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4" t="s">
        <v>682</v>
      </c>
      <c r="B300" s="6"/>
      <c r="C300" s="6"/>
      <c r="D300" s="11">
        <v>0.0</v>
      </c>
      <c r="E300" s="11">
        <v>0.0</v>
      </c>
      <c r="F300" s="11">
        <v>0.0</v>
      </c>
      <c r="G300" s="11">
        <v>0.0</v>
      </c>
      <c r="H300" s="6"/>
      <c r="I300" s="11">
        <v>92.8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20" t="s">
        <v>701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21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4" t="s">
        <v>22</v>
      </c>
      <c r="B303" s="6"/>
      <c r="C303" s="6"/>
      <c r="D303" s="11">
        <v>1.0</v>
      </c>
      <c r="E303" s="11">
        <v>3.0</v>
      </c>
      <c r="F303" s="11">
        <v>0.0</v>
      </c>
      <c r="G303" s="11">
        <v>0.0</v>
      </c>
      <c r="H303" s="6"/>
      <c r="I303" s="11">
        <v>146.6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4" t="s">
        <v>52</v>
      </c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4" t="s">
        <v>318</v>
      </c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4" t="s">
        <v>441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4" t="s">
        <v>54</v>
      </c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20" t="s">
        <v>104</v>
      </c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20" t="s">
        <v>101</v>
      </c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21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4" t="s">
        <v>296</v>
      </c>
      <c r="B311" s="6"/>
      <c r="C311" s="6"/>
      <c r="D311" s="11">
        <v>0.0</v>
      </c>
      <c r="E311" s="11">
        <v>0.0</v>
      </c>
      <c r="F311" s="11">
        <v>0.0</v>
      </c>
      <c r="G311" s="11">
        <v>0.0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4" t="s">
        <v>301</v>
      </c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4" t="s">
        <v>319</v>
      </c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21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4" t="s">
        <v>58</v>
      </c>
      <c r="B315" s="6"/>
      <c r="C315" s="6"/>
      <c r="D315" s="11">
        <v>1.0</v>
      </c>
      <c r="E315" s="11">
        <v>12.0</v>
      </c>
      <c r="F315" s="11">
        <v>1.0</v>
      </c>
      <c r="G315" s="11">
        <v>2.0</v>
      </c>
      <c r="H315" s="6"/>
      <c r="I315" s="11">
        <v>169.5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4" t="s">
        <v>194</v>
      </c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4" t="s">
        <v>195</v>
      </c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4" t="s">
        <v>268</v>
      </c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4" t="s">
        <v>450</v>
      </c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4" t="s">
        <v>196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4" t="s">
        <v>197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4" t="s">
        <v>683</v>
      </c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4" t="s">
        <v>505</v>
      </c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4" t="s">
        <v>506</v>
      </c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4" t="s">
        <v>565</v>
      </c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4" t="s">
        <v>321</v>
      </c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4" t="s">
        <v>322</v>
      </c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20" t="s">
        <v>323</v>
      </c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20" t="s">
        <v>702</v>
      </c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20" t="s">
        <v>350</v>
      </c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20" t="s">
        <v>703</v>
      </c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20" t="s">
        <v>566</v>
      </c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20" t="s">
        <v>567</v>
      </c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21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4" t="s">
        <v>59</v>
      </c>
      <c r="B335" s="6"/>
      <c r="C335" s="6"/>
      <c r="D335" s="11">
        <v>1.0</v>
      </c>
      <c r="E335" s="11">
        <v>4.0</v>
      </c>
      <c r="F335" s="11">
        <v>0.0</v>
      </c>
      <c r="G335" s="11">
        <v>0.0</v>
      </c>
      <c r="H335" s="6"/>
      <c r="I335" s="11">
        <v>143.8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4" t="s">
        <v>110</v>
      </c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4" t="s">
        <v>198</v>
      </c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4" t="s">
        <v>303</v>
      </c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4" t="s">
        <v>684</v>
      </c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4" t="s">
        <v>685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20" t="s">
        <v>304</v>
      </c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21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4" t="s">
        <v>60</v>
      </c>
      <c r="B343" s="6"/>
      <c r="C343" s="6"/>
      <c r="D343" s="11">
        <v>1.0</v>
      </c>
      <c r="E343" s="11">
        <v>4.0</v>
      </c>
      <c r="F343" s="11">
        <v>1.0</v>
      </c>
      <c r="G343" s="11">
        <v>1.0</v>
      </c>
      <c r="H343" s="6"/>
      <c r="I343" s="11">
        <v>167.1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4" t="s">
        <v>111</v>
      </c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4" t="s">
        <v>199</v>
      </c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4" t="s">
        <v>631</v>
      </c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4" t="s">
        <v>112</v>
      </c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4" t="s">
        <v>201</v>
      </c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20" t="s">
        <v>200</v>
      </c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20" t="s">
        <v>636</v>
      </c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20" t="s">
        <v>512</v>
      </c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21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4" t="s">
        <v>61</v>
      </c>
      <c r="B353" s="6"/>
      <c r="C353" s="6"/>
      <c r="D353" s="11">
        <v>1.0</v>
      </c>
      <c r="E353" s="11">
        <v>8.0</v>
      </c>
      <c r="F353" s="11">
        <v>1.0</v>
      </c>
      <c r="G353" s="11">
        <v>3.0</v>
      </c>
      <c r="H353" s="6"/>
      <c r="I353" s="11">
        <v>162.2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4" t="s">
        <v>113</v>
      </c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4" t="s">
        <v>202</v>
      </c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4" t="s">
        <v>663</v>
      </c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4" t="s">
        <v>664</v>
      </c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4" t="s">
        <v>665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4" t="s">
        <v>272</v>
      </c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4" t="s">
        <v>329</v>
      </c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4" t="s">
        <v>686</v>
      </c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4" t="s">
        <v>687</v>
      </c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20" t="s">
        <v>704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20" t="s">
        <v>705</v>
      </c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20" t="s">
        <v>706</v>
      </c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20" t="s">
        <v>707</v>
      </c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20" t="s">
        <v>327</v>
      </c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20" t="s">
        <v>328</v>
      </c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21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4" t="s">
        <v>666</v>
      </c>
      <c r="B370" s="6"/>
      <c r="C370" s="6"/>
      <c r="D370" s="11">
        <v>1.0</v>
      </c>
      <c r="E370" s="11">
        <v>6.0</v>
      </c>
      <c r="F370" s="11">
        <v>1.0</v>
      </c>
      <c r="G370" s="11">
        <v>1.0</v>
      </c>
      <c r="H370" s="6"/>
      <c r="I370" s="11">
        <v>178.0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4" t="s">
        <v>667</v>
      </c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4" t="s">
        <v>668</v>
      </c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4" t="s">
        <v>669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4" t="s">
        <v>688</v>
      </c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4" t="s">
        <v>689</v>
      </c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4" t="s">
        <v>690</v>
      </c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20" t="s">
        <v>708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22" t="s">
        <v>709</v>
      </c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20" t="s">
        <v>710</v>
      </c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20" t="s">
        <v>711</v>
      </c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4" t="s">
        <v>117</v>
      </c>
      <c r="B382" s="6"/>
      <c r="C382" s="6"/>
      <c r="D382" s="11">
        <v>0.0</v>
      </c>
      <c r="E382" s="11">
        <v>0.0</v>
      </c>
      <c r="F382" s="11">
        <v>0.0</v>
      </c>
      <c r="G382" s="11">
        <v>0.0</v>
      </c>
      <c r="H382" s="6"/>
      <c r="I382" s="11">
        <v>91.9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1" t="s">
        <v>206</v>
      </c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1" t="s">
        <v>118</v>
      </c>
      <c r="B385" s="6"/>
      <c r="C385" s="6"/>
      <c r="D385" s="11">
        <v>0.0</v>
      </c>
      <c r="E385" s="11">
        <v>0.0</v>
      </c>
      <c r="F385" s="11">
        <v>0.0</v>
      </c>
      <c r="G385" s="11">
        <v>0.0</v>
      </c>
      <c r="H385" s="6"/>
      <c r="I385" s="11">
        <v>78.6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2" t="s">
        <v>18</v>
      </c>
      <c r="B387" s="13">
        <v>45574.0</v>
      </c>
      <c r="C387" s="9"/>
      <c r="D387" s="9"/>
      <c r="E387" s="9"/>
      <c r="F387" s="9"/>
      <c r="G387" s="9"/>
      <c r="H387" s="9"/>
      <c r="I387" s="9"/>
      <c r="J387" s="9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4" t="s">
        <v>19</v>
      </c>
      <c r="B388" s="11">
        <v>7.0</v>
      </c>
      <c r="C388" s="11">
        <v>8.0</v>
      </c>
      <c r="D388" s="11">
        <v>1.0</v>
      </c>
      <c r="E388" s="11">
        <v>10.0</v>
      </c>
      <c r="F388" s="11">
        <v>0.0</v>
      </c>
      <c r="G388" s="11">
        <v>0.0</v>
      </c>
      <c r="H388" s="6"/>
      <c r="I388" s="11">
        <v>189.9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4" t="s">
        <v>656</v>
      </c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4" t="s">
        <v>71</v>
      </c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4" t="s">
        <v>27</v>
      </c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4" t="s">
        <v>28</v>
      </c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4" t="s">
        <v>66</v>
      </c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4" t="s">
        <v>30</v>
      </c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4" t="s">
        <v>31</v>
      </c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4" t="s">
        <v>670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4" t="s">
        <v>133</v>
      </c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4" t="s">
        <v>691</v>
      </c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4" t="s">
        <v>134</v>
      </c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4" t="s">
        <v>67</v>
      </c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4" t="s">
        <v>69</v>
      </c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20" t="s">
        <v>712</v>
      </c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21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4" t="s">
        <v>21</v>
      </c>
      <c r="B404" s="11">
        <v>18.0</v>
      </c>
      <c r="C404" s="11">
        <v>18.0</v>
      </c>
      <c r="D404" s="11">
        <v>1.0</v>
      </c>
      <c r="E404" s="11">
        <v>22.0</v>
      </c>
      <c r="F404" s="11">
        <v>1.0</v>
      </c>
      <c r="G404" s="11">
        <v>8.0</v>
      </c>
      <c r="H404" s="6"/>
      <c r="I404" s="11">
        <v>187.7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4" t="s">
        <v>32</v>
      </c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4" t="s">
        <v>33</v>
      </c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4" t="s">
        <v>72</v>
      </c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4" t="s">
        <v>430</v>
      </c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4" t="s">
        <v>624</v>
      </c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4" t="s">
        <v>632</v>
      </c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4" t="s">
        <v>35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4" t="s">
        <v>36</v>
      </c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4" t="s">
        <v>657</v>
      </c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4" t="s">
        <v>658</v>
      </c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4" t="s">
        <v>77</v>
      </c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4" t="s">
        <v>638</v>
      </c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4" t="s">
        <v>471</v>
      </c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4" t="s">
        <v>474</v>
      </c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4" t="s">
        <v>73</v>
      </c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4" t="s">
        <v>75</v>
      </c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4" t="s">
        <v>671</v>
      </c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4" t="s">
        <v>137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4" t="s">
        <v>139</v>
      </c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4" t="s">
        <v>476</v>
      </c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4" t="s">
        <v>672</v>
      </c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4" t="s">
        <v>673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4" t="s">
        <v>529</v>
      </c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4" t="s">
        <v>138</v>
      </c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4" t="s">
        <v>692</v>
      </c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4" t="s">
        <v>143</v>
      </c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4" t="s">
        <v>144</v>
      </c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4" t="s">
        <v>524</v>
      </c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4" t="s">
        <v>693</v>
      </c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20" t="s">
        <v>713</v>
      </c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20" t="s">
        <v>714</v>
      </c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20" t="s">
        <v>594</v>
      </c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20" t="s">
        <v>715</v>
      </c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20" t="s">
        <v>233</v>
      </c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20" t="s">
        <v>716</v>
      </c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24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4" t="s">
        <v>659</v>
      </c>
      <c r="B441" s="11">
        <v>7.0</v>
      </c>
      <c r="C441" s="11">
        <v>6.0</v>
      </c>
      <c r="D441" s="11">
        <v>1.0</v>
      </c>
      <c r="E441" s="11">
        <v>7.0</v>
      </c>
      <c r="F441" s="11">
        <v>1.0</v>
      </c>
      <c r="G441" s="11">
        <v>2.0</v>
      </c>
      <c r="H441" s="6"/>
      <c r="I441" s="11">
        <v>183.3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4" t="s">
        <v>432</v>
      </c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4" t="s">
        <v>435</v>
      </c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4" t="s">
        <v>485</v>
      </c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4" t="s">
        <v>482</v>
      </c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4" t="s">
        <v>532</v>
      </c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4" t="s">
        <v>537</v>
      </c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4" t="s">
        <v>539</v>
      </c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4" t="s">
        <v>433</v>
      </c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4" t="s">
        <v>531</v>
      </c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4" t="s">
        <v>640</v>
      </c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20" t="s">
        <v>602</v>
      </c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20" t="s">
        <v>717</v>
      </c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21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4" t="s">
        <v>39</v>
      </c>
      <c r="B455" s="11">
        <v>17.0</v>
      </c>
      <c r="C455" s="11">
        <v>11.0</v>
      </c>
      <c r="D455" s="11">
        <v>1.0</v>
      </c>
      <c r="E455" s="11">
        <v>18.0</v>
      </c>
      <c r="F455" s="11">
        <v>1.0</v>
      </c>
      <c r="G455" s="11">
        <v>5.0</v>
      </c>
      <c r="H455" s="6"/>
      <c r="I455" s="11">
        <v>203.9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4" t="s">
        <v>79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4" t="s">
        <v>146</v>
      </c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4" t="s">
        <v>660</v>
      </c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4" t="s">
        <v>661</v>
      </c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4" t="s">
        <v>80</v>
      </c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4" t="s">
        <v>544</v>
      </c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4" t="s">
        <v>674</v>
      </c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4" t="s">
        <v>675</v>
      </c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4" t="s">
        <v>676</v>
      </c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4" t="s">
        <v>148</v>
      </c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4" t="s">
        <v>677</v>
      </c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4" t="s">
        <v>606</v>
      </c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4" t="s">
        <v>147</v>
      </c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4" t="s">
        <v>678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4" t="s">
        <v>679</v>
      </c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4" t="s">
        <v>680</v>
      </c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4" t="s">
        <v>694</v>
      </c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4" t="s">
        <v>695</v>
      </c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4" t="s">
        <v>696</v>
      </c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4" t="s">
        <v>697</v>
      </c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4" t="s">
        <v>698</v>
      </c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4" t="s">
        <v>238</v>
      </c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4" t="s">
        <v>699</v>
      </c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20" t="s">
        <v>718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20" t="s">
        <v>719</v>
      </c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20" t="s">
        <v>720</v>
      </c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20" t="s">
        <v>721</v>
      </c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20" t="s">
        <v>722</v>
      </c>
      <c r="B483" s="6"/>
      <c r="C483" s="6"/>
      <c r="D483" s="6"/>
      <c r="E483" s="6"/>
      <c r="F483" s="6"/>
      <c r="G483" s="6"/>
      <c r="H483" s="6"/>
      <c r="I483" s="6"/>
      <c r="J483" s="11" t="s">
        <v>723</v>
      </c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24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4" t="s">
        <v>662</v>
      </c>
      <c r="B485" s="11">
        <v>5.0</v>
      </c>
      <c r="C485" s="11">
        <v>6.0</v>
      </c>
      <c r="D485" s="11">
        <v>1.0</v>
      </c>
      <c r="E485" s="11">
        <v>7.0</v>
      </c>
      <c r="F485" s="11">
        <v>0.0</v>
      </c>
      <c r="G485" s="11">
        <v>0.0</v>
      </c>
      <c r="H485" s="6"/>
      <c r="I485" s="11">
        <v>175.2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4" t="s">
        <v>626</v>
      </c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4" t="s">
        <v>309</v>
      </c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4" t="s">
        <v>634</v>
      </c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4" t="s">
        <v>299</v>
      </c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4" t="s">
        <v>361</v>
      </c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4" t="s">
        <v>338</v>
      </c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20" t="s">
        <v>387</v>
      </c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20" t="s">
        <v>308</v>
      </c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20" t="s">
        <v>724</v>
      </c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20" t="s">
        <v>650</v>
      </c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24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4" t="s">
        <v>365</v>
      </c>
      <c r="B497" s="11">
        <v>2.0</v>
      </c>
      <c r="C497" s="11">
        <v>3.0</v>
      </c>
      <c r="D497" s="11">
        <v>1.0</v>
      </c>
      <c r="E497" s="11">
        <v>2.0</v>
      </c>
      <c r="F497" s="11">
        <v>0.0</v>
      </c>
      <c r="G497" s="11">
        <v>0.0</v>
      </c>
      <c r="H497" s="6"/>
      <c r="I497" s="11">
        <v>115.8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4" t="s">
        <v>83</v>
      </c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4" t="s">
        <v>366</v>
      </c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20" t="s">
        <v>367</v>
      </c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20" t="s">
        <v>151</v>
      </c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21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4" t="s">
        <v>681</v>
      </c>
      <c r="B503" s="11">
        <v>2.0</v>
      </c>
      <c r="C503" s="11">
        <v>3.0</v>
      </c>
      <c r="D503" s="11">
        <v>1.0</v>
      </c>
      <c r="E503" s="11">
        <v>2.0</v>
      </c>
      <c r="F503" s="11">
        <v>0.0</v>
      </c>
      <c r="G503" s="11">
        <v>0.0</v>
      </c>
      <c r="H503" s="6"/>
      <c r="I503" s="11">
        <v>128.0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4" t="s">
        <v>700</v>
      </c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4" t="s">
        <v>85</v>
      </c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20" t="s">
        <v>157</v>
      </c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20" t="s">
        <v>725</v>
      </c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21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4" t="s">
        <v>682</v>
      </c>
      <c r="B509" s="11">
        <v>3.0</v>
      </c>
      <c r="C509" s="11">
        <v>0.0</v>
      </c>
      <c r="D509" s="11">
        <v>0.0</v>
      </c>
      <c r="E509" s="11">
        <v>0.0</v>
      </c>
      <c r="F509" s="11">
        <v>0.0</v>
      </c>
      <c r="G509" s="11">
        <v>0.0</v>
      </c>
      <c r="H509" s="6"/>
      <c r="I509" s="11">
        <v>132.2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4" t="s">
        <v>701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20" t="s">
        <v>726</v>
      </c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4" t="s">
        <v>22</v>
      </c>
      <c r="B513" s="11">
        <v>8.0</v>
      </c>
      <c r="C513" s="11">
        <v>4.0</v>
      </c>
      <c r="D513" s="11">
        <v>1.0</v>
      </c>
      <c r="E513" s="11">
        <v>7.0</v>
      </c>
      <c r="F513" s="11">
        <v>1.0</v>
      </c>
      <c r="G513" s="11">
        <v>1.0</v>
      </c>
      <c r="H513" s="6"/>
      <c r="I513" s="11">
        <v>167.3</v>
      </c>
      <c r="J513" s="11" t="s">
        <v>217</v>
      </c>
      <c r="K513" s="11"/>
      <c r="L513" s="6"/>
      <c r="M513" s="11">
        <v>1.0</v>
      </c>
      <c r="N513" s="11">
        <v>1.0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4" t="s">
        <v>52</v>
      </c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4" t="s">
        <v>318</v>
      </c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4" t="s">
        <v>441</v>
      </c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4" t="s">
        <v>54</v>
      </c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4" t="s">
        <v>104</v>
      </c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4" t="s">
        <v>101</v>
      </c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20" t="s">
        <v>184</v>
      </c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20" t="s">
        <v>187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20" t="s">
        <v>492</v>
      </c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20" t="s">
        <v>551</v>
      </c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20" t="s">
        <v>727</v>
      </c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24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4" t="s">
        <v>296</v>
      </c>
      <c r="B526" s="11">
        <v>4.0</v>
      </c>
      <c r="C526" s="11">
        <v>0.0</v>
      </c>
      <c r="D526" s="11">
        <v>0.0</v>
      </c>
      <c r="E526" s="11">
        <v>0.0</v>
      </c>
      <c r="F526" s="11">
        <v>0.0</v>
      </c>
      <c r="G526" s="11">
        <v>0.0</v>
      </c>
      <c r="H526" s="6"/>
      <c r="I526" s="11">
        <v>137.1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4" t="s">
        <v>301</v>
      </c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4" t="s">
        <v>319</v>
      </c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20" t="s">
        <v>320</v>
      </c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21"/>
      <c r="B530" s="6"/>
      <c r="C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4" t="s">
        <v>58</v>
      </c>
      <c r="B531" s="11">
        <v>21.0</v>
      </c>
      <c r="C531" s="11">
        <v>3.0</v>
      </c>
      <c r="D531" s="11">
        <v>1.0</v>
      </c>
      <c r="E531" s="11">
        <v>14.0</v>
      </c>
      <c r="F531" s="11">
        <v>1.0</v>
      </c>
      <c r="G531" s="11">
        <v>4.0</v>
      </c>
      <c r="H531" s="6"/>
      <c r="I531" s="11">
        <v>184.4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4" t="s">
        <v>194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4" t="s">
        <v>195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4" t="s">
        <v>268</v>
      </c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4" t="s">
        <v>450</v>
      </c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4" t="s">
        <v>196</v>
      </c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4" t="s">
        <v>197</v>
      </c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4" t="s">
        <v>683</v>
      </c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4" t="s">
        <v>505</v>
      </c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4" t="s">
        <v>506</v>
      </c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4" t="s">
        <v>565</v>
      </c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4" t="s">
        <v>321</v>
      </c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4" t="s">
        <v>322</v>
      </c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4" t="s">
        <v>323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4" t="s">
        <v>702</v>
      </c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4" t="s">
        <v>350</v>
      </c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4" t="s">
        <v>703</v>
      </c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4" t="s">
        <v>566</v>
      </c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4" t="s">
        <v>567</v>
      </c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20" t="s">
        <v>728</v>
      </c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20" t="s">
        <v>729</v>
      </c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20" t="s">
        <v>349</v>
      </c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20" t="s">
        <v>730</v>
      </c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20" t="s">
        <v>351</v>
      </c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24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4" t="s">
        <v>59</v>
      </c>
      <c r="B556" s="11">
        <v>7.0</v>
      </c>
      <c r="C556" s="11">
        <v>3.0</v>
      </c>
      <c r="D556" s="11">
        <v>1.0</v>
      </c>
      <c r="E556" s="11">
        <v>6.0</v>
      </c>
      <c r="F556" s="11">
        <v>0.0</v>
      </c>
      <c r="G556" s="11">
        <v>0.0</v>
      </c>
      <c r="H556" s="6"/>
      <c r="I556" s="11">
        <v>144.9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4" t="s">
        <v>110</v>
      </c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4" t="s">
        <v>198</v>
      </c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4" t="s">
        <v>303</v>
      </c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4" t="s">
        <v>684</v>
      </c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4" t="s">
        <v>685</v>
      </c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4" t="s">
        <v>304</v>
      </c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20" t="s">
        <v>731</v>
      </c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20" t="s">
        <v>326</v>
      </c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20" t="s">
        <v>269</v>
      </c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21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4" t="s">
        <v>60</v>
      </c>
      <c r="B567" s="11">
        <v>12.0</v>
      </c>
      <c r="C567" s="11">
        <v>0.0</v>
      </c>
      <c r="D567" s="11">
        <v>1.0</v>
      </c>
      <c r="E567" s="11">
        <v>5.0</v>
      </c>
      <c r="F567" s="11">
        <v>1.0</v>
      </c>
      <c r="G567" s="11">
        <v>2.0</v>
      </c>
      <c r="H567" s="6"/>
      <c r="I567" s="11">
        <v>189.1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4" t="s">
        <v>111</v>
      </c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4" t="s">
        <v>199</v>
      </c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4" t="s">
        <v>631</v>
      </c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4" t="s">
        <v>112</v>
      </c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4" t="s">
        <v>201</v>
      </c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4" t="s">
        <v>200</v>
      </c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4" t="s">
        <v>636</v>
      </c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4" t="s">
        <v>512</v>
      </c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20" t="s">
        <v>577</v>
      </c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20" t="s">
        <v>271</v>
      </c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20" t="s">
        <v>270</v>
      </c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21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4" t="s">
        <v>61</v>
      </c>
      <c r="B580" s="11">
        <v>11.0</v>
      </c>
      <c r="C580" s="11">
        <v>10.0</v>
      </c>
      <c r="D580" s="11">
        <v>1.0</v>
      </c>
      <c r="E580" s="11">
        <v>11.0</v>
      </c>
      <c r="F580" s="11">
        <v>1.0</v>
      </c>
      <c r="G580" s="11">
        <v>5.0</v>
      </c>
      <c r="H580" s="6"/>
      <c r="I580" s="11">
        <v>183.7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4" t="s">
        <v>113</v>
      </c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4" t="s">
        <v>202</v>
      </c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4" t="s">
        <v>663</v>
      </c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4" t="s">
        <v>664</v>
      </c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4" t="s">
        <v>665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4" t="s">
        <v>272</v>
      </c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4" t="s">
        <v>329</v>
      </c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4" t="s">
        <v>686</v>
      </c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4" t="s">
        <v>687</v>
      </c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4" t="s">
        <v>704</v>
      </c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4" t="s">
        <v>705</v>
      </c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4" t="s">
        <v>706</v>
      </c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4" t="s">
        <v>707</v>
      </c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4" t="s">
        <v>327</v>
      </c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4" t="s">
        <v>328</v>
      </c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20" t="s">
        <v>732</v>
      </c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20" t="s">
        <v>733</v>
      </c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20" t="s">
        <v>734</v>
      </c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20" t="s">
        <v>735</v>
      </c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20" t="s">
        <v>736</v>
      </c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24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4" t="s">
        <v>666</v>
      </c>
      <c r="B602" s="11">
        <v>5.0</v>
      </c>
      <c r="C602" s="11">
        <v>9.0</v>
      </c>
      <c r="D602" s="11">
        <v>1.0</v>
      </c>
      <c r="E602" s="11">
        <v>7.0</v>
      </c>
      <c r="F602" s="11">
        <v>1.0</v>
      </c>
      <c r="G602" s="11">
        <v>2.0</v>
      </c>
      <c r="H602" s="6"/>
      <c r="I602" s="11">
        <v>176.7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4" t="s">
        <v>667</v>
      </c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4" t="s">
        <v>668</v>
      </c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4" t="s">
        <v>669</v>
      </c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4" t="s">
        <v>688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4" t="s">
        <v>689</v>
      </c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4" t="s">
        <v>690</v>
      </c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4" t="s">
        <v>708</v>
      </c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9" t="s">
        <v>709</v>
      </c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4" t="s">
        <v>710</v>
      </c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4" t="s">
        <v>711</v>
      </c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20" t="s">
        <v>737</v>
      </c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20" t="s">
        <v>738</v>
      </c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20" t="s">
        <v>739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21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4" t="s">
        <v>117</v>
      </c>
      <c r="B617" s="11">
        <v>3.0</v>
      </c>
      <c r="C617" s="11">
        <v>0.0</v>
      </c>
      <c r="D617" s="11">
        <v>0.0</v>
      </c>
      <c r="E617" s="11">
        <v>0.0</v>
      </c>
      <c r="F617" s="11">
        <v>0.0</v>
      </c>
      <c r="G617" s="11">
        <v>0.0</v>
      </c>
      <c r="H617" s="6"/>
      <c r="I617" s="11">
        <v>118.1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4" t="s">
        <v>206</v>
      </c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20" t="s">
        <v>207</v>
      </c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21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4" t="s">
        <v>118</v>
      </c>
      <c r="B621" s="11">
        <v>2.0</v>
      </c>
      <c r="C621" s="11">
        <v>0.0</v>
      </c>
      <c r="D621" s="11">
        <v>0.0</v>
      </c>
      <c r="E621" s="11">
        <v>0.0</v>
      </c>
      <c r="F621" s="11">
        <v>0.0</v>
      </c>
      <c r="G621" s="11">
        <v>0.0</v>
      </c>
      <c r="H621" s="6"/>
      <c r="I621" s="11">
        <v>114.4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1" t="s">
        <v>208</v>
      </c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1" t="s">
        <v>119</v>
      </c>
      <c r="B624" s="11">
        <v>1.0</v>
      </c>
      <c r="C624" s="11">
        <v>0.0</v>
      </c>
      <c r="D624" s="11">
        <v>0.0</v>
      </c>
      <c r="E624" s="11">
        <v>0.0</v>
      </c>
      <c r="F624" s="11">
        <v>0.0</v>
      </c>
      <c r="G624" s="11">
        <v>0.0</v>
      </c>
      <c r="H624" s="6"/>
      <c r="I624" s="11">
        <v>47.0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>
      <c r="A1016" s="6"/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>
      <c r="A1017" s="6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>
      <c r="A1018" s="6"/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>
      <c r="A1019" s="6"/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>
      <c r="A1020" s="6"/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>
      <c r="A1021" s="6"/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>
      <c r="A1022" s="6"/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>
      <c r="A1023" s="6"/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>
      <c r="A1024" s="6"/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>
      <c r="A1025" s="6"/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>
      <c r="A1026" s="6"/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>
      <c r="A1027" s="6"/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>
      <c r="A1028" s="6"/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>
      <c r="A1029" s="6"/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>
      <c r="A1030" s="6"/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>
      <c r="A1031" s="6"/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>
      <c r="A1032" s="6"/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>
      <c r="A1033" s="6"/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>
      <c r="A1034" s="6"/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>
      <c r="A1035" s="6"/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>
      <c r="A1036" s="6"/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>
      <c r="A1037" s="6"/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>
      <c r="A1038" s="6"/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>
      <c r="A1039" s="6"/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>
      <c r="A1040" s="6"/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>
      <c r="A1041" s="6"/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>
      <c r="A1042" s="6"/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>
      <c r="A1043" s="6"/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>
      <c r="A1044" s="6"/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>
      <c r="A1045" s="6"/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>
      <c r="A1046" s="6"/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>
      <c r="A1047" s="6"/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>
      <c r="A1048" s="6"/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>
      <c r="A1049" s="6"/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>
      <c r="A1050" s="6"/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>
      <c r="A1051" s="6"/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>
      <c r="A1052" s="6"/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>
      <c r="A1053" s="6"/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>
      <c r="A1054" s="6"/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>
      <c r="A1055" s="6"/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>
      <c r="A1056" s="6"/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>
      <c r="A1057" s="6"/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>
      <c r="A1058" s="6"/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>
      <c r="A1059" s="6"/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>
      <c r="A1060" s="6"/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>
      <c r="A1061" s="6"/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>
      <c r="A1062" s="6"/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>
      <c r="A1063" s="6"/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>
      <c r="A1064" s="6"/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>
      <c r="A1065" s="6"/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>
      <c r="A1066" s="6"/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>
      <c r="A1067" s="6"/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>
      <c r="A1068" s="6"/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>
      <c r="A1069" s="6"/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>
      <c r="A1070" s="6"/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>
      <c r="A1071" s="6"/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>
      <c r="A1072" s="6"/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>
      <c r="A1073" s="6"/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>
      <c r="A1074" s="6"/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>
      <c r="A1075" s="6"/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>
      <c r="A1076" s="6"/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>
      <c r="A1077" s="6"/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>
      <c r="A1078" s="6"/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>
      <c r="A1079" s="6"/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>
      <c r="A1080" s="6"/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>
      <c r="A1081" s="6"/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>
      <c r="A1082" s="6"/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>
      <c r="A1083" s="6"/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>
      <c r="A1084" s="6"/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>
      <c r="A1085" s="6"/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>
      <c r="A1086" s="6"/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>
      <c r="A1087" s="6"/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>
      <c r="A1088" s="6"/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>
      <c r="A1089" s="6"/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>
      <c r="A1090" s="6"/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>
      <c r="A1091" s="6"/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>
      <c r="A1092" s="6"/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>
      <c r="A1093" s="6"/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>
      <c r="A1094" s="6"/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>
      <c r="A1095" s="6"/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>
      <c r="A1096" s="6"/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>
      <c r="A1097" s="6"/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>
      <c r="A1098" s="6"/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>
      <c r="A1099" s="6"/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>
      <c r="A1100" s="6"/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>
      <c r="A1101" s="6"/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>
      <c r="A1102" s="6"/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>
      <c r="A1103" s="6"/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>
      <c r="A1104" s="6"/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0.38"/>
    <col customWidth="1" min="3" max="4" width="8.5"/>
    <col customWidth="1" min="5" max="5" width="3.88"/>
    <col customWidth="1" min="6" max="6" width="18.38"/>
    <col customWidth="1" min="7" max="7" width="10.13"/>
    <col customWidth="1" min="8" max="9" width="8.5"/>
  </cols>
  <sheetData>
    <row r="1">
      <c r="A1" s="38" t="s">
        <v>18</v>
      </c>
      <c r="B1" s="39"/>
      <c r="C1" s="39"/>
      <c r="D1" s="39"/>
      <c r="F1" s="38" t="s">
        <v>18</v>
      </c>
      <c r="G1" s="39"/>
      <c r="H1" s="39"/>
      <c r="I1" s="39"/>
    </row>
    <row r="2">
      <c r="A2" s="38" t="s">
        <v>740</v>
      </c>
      <c r="B2" s="38"/>
      <c r="C2" s="38"/>
      <c r="D2" s="38"/>
      <c r="F2" s="38"/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38" t="s">
        <v>741</v>
      </c>
      <c r="G3" s="38" t="s">
        <v>742</v>
      </c>
      <c r="H3" s="38" t="s">
        <v>743</v>
      </c>
      <c r="I3" s="38" t="s">
        <v>13</v>
      </c>
    </row>
    <row r="4">
      <c r="A4" s="40"/>
      <c r="B4" s="39"/>
      <c r="C4" s="39"/>
      <c r="D4" s="39"/>
      <c r="F4" s="40"/>
      <c r="G4" s="39"/>
      <c r="H4" s="39"/>
      <c r="I4" s="39"/>
    </row>
    <row r="5">
      <c r="A5" s="40"/>
      <c r="B5" s="39"/>
      <c r="C5" s="39"/>
      <c r="D5" s="39"/>
      <c r="F5" s="38"/>
      <c r="G5" s="39"/>
      <c r="H5" s="39"/>
      <c r="I5" s="39"/>
    </row>
    <row r="6">
      <c r="A6" s="40"/>
      <c r="B6" s="39"/>
      <c r="C6" s="39"/>
      <c r="D6" s="39"/>
      <c r="F6" s="40"/>
      <c r="G6" s="39"/>
      <c r="H6" s="39"/>
      <c r="I6" s="39"/>
    </row>
    <row r="7">
      <c r="A7" s="40"/>
      <c r="B7" s="39"/>
      <c r="C7" s="39"/>
      <c r="D7" s="39"/>
      <c r="F7" s="41"/>
      <c r="G7" s="39"/>
      <c r="H7" s="39"/>
      <c r="I7" s="39"/>
    </row>
    <row r="8">
      <c r="A8" s="40"/>
      <c r="B8" s="39"/>
      <c r="C8" s="39"/>
      <c r="D8" s="39"/>
      <c r="F8" s="40"/>
      <c r="G8" s="39"/>
      <c r="H8" s="39"/>
      <c r="I8" s="39"/>
    </row>
    <row r="9">
      <c r="A9" s="40"/>
      <c r="B9" s="39"/>
      <c r="C9" s="39"/>
      <c r="D9" s="39"/>
      <c r="F9" s="41"/>
      <c r="G9" s="39"/>
      <c r="H9" s="39"/>
      <c r="I9" s="39"/>
    </row>
    <row r="10">
      <c r="A10" s="40"/>
      <c r="B10" s="39"/>
      <c r="C10" s="39"/>
      <c r="D10" s="39"/>
      <c r="F10" s="40"/>
      <c r="G10" s="39"/>
      <c r="H10" s="39"/>
      <c r="I10" s="39"/>
    </row>
    <row r="11">
      <c r="A11" s="40"/>
      <c r="B11" s="39"/>
      <c r="C11" s="39"/>
      <c r="D11" s="39"/>
      <c r="F11" s="41"/>
      <c r="G11" s="39"/>
      <c r="H11" s="39"/>
      <c r="I11" s="39"/>
    </row>
    <row r="12">
      <c r="A12" s="40"/>
      <c r="B12" s="39"/>
      <c r="C12" s="39"/>
      <c r="D12" s="39"/>
      <c r="F12" s="40"/>
      <c r="G12" s="39"/>
      <c r="H12" s="39"/>
      <c r="I12" s="39"/>
    </row>
    <row r="13">
      <c r="A13" s="40"/>
      <c r="B13" s="39"/>
      <c r="C13" s="39"/>
      <c r="D13" s="39"/>
      <c r="F13" s="41"/>
      <c r="G13" s="39"/>
      <c r="H13" s="39"/>
      <c r="I13" s="39"/>
    </row>
    <row r="14">
      <c r="A14" s="40"/>
      <c r="B14" s="39"/>
      <c r="C14" s="39"/>
      <c r="D14" s="39"/>
      <c r="F14" s="40"/>
      <c r="G14" s="39"/>
      <c r="H14" s="39"/>
      <c r="I14" s="39"/>
    </row>
    <row r="15">
      <c r="A15" s="40"/>
      <c r="B15" s="39"/>
      <c r="C15" s="39"/>
      <c r="D15" s="39"/>
      <c r="F15" s="41"/>
      <c r="G15" s="39"/>
      <c r="H15" s="39"/>
      <c r="I15" s="39"/>
    </row>
    <row r="16">
      <c r="A16" s="38"/>
      <c r="B16" s="39"/>
      <c r="C16" s="39"/>
      <c r="D16" s="39"/>
      <c r="F16" s="40"/>
      <c r="G16" s="39"/>
      <c r="H16" s="39"/>
      <c r="I16" s="39"/>
    </row>
    <row r="17">
      <c r="A17" s="40"/>
      <c r="B17" s="39"/>
      <c r="C17" s="39"/>
      <c r="D17" s="39"/>
      <c r="F17" s="41"/>
      <c r="G17" s="39"/>
      <c r="H17" s="39"/>
      <c r="I17" s="39"/>
    </row>
    <row r="18">
      <c r="A18" s="40"/>
      <c r="B18" s="39"/>
      <c r="C18" s="39"/>
      <c r="D18" s="39"/>
      <c r="F18" s="40"/>
      <c r="G18" s="39"/>
      <c r="H18" s="39"/>
      <c r="I18" s="39"/>
    </row>
    <row r="19">
      <c r="A19" s="40"/>
      <c r="B19" s="39"/>
      <c r="C19" s="39"/>
      <c r="D19" s="39"/>
      <c r="F19" s="39"/>
      <c r="G19" s="39"/>
      <c r="H19" s="39"/>
      <c r="I19" s="39"/>
    </row>
    <row r="20">
      <c r="A20" s="41"/>
      <c r="B20" s="39"/>
      <c r="C20" s="39"/>
      <c r="D20" s="39"/>
      <c r="F20" s="39"/>
      <c r="G20" s="39"/>
      <c r="H20" s="39"/>
      <c r="I20" s="39"/>
    </row>
    <row r="21">
      <c r="A21" s="40"/>
      <c r="B21" s="39"/>
      <c r="C21" s="39"/>
      <c r="D21" s="39"/>
      <c r="F21" s="39"/>
      <c r="G21" s="39"/>
      <c r="H21" s="39"/>
      <c r="I21" s="39"/>
    </row>
    <row r="22">
      <c r="A22" s="40"/>
      <c r="B22" s="39"/>
      <c r="C22" s="39"/>
      <c r="D22" s="39"/>
      <c r="F22" s="39"/>
      <c r="G22" s="39"/>
      <c r="H22" s="39"/>
      <c r="I22" s="39"/>
    </row>
    <row r="23">
      <c r="A23" s="41"/>
      <c r="B23" s="39"/>
      <c r="C23" s="39"/>
      <c r="D23" s="39"/>
      <c r="F23" s="39"/>
      <c r="G23" s="39"/>
      <c r="H23" s="39"/>
      <c r="I23" s="39"/>
    </row>
    <row r="24">
      <c r="A24" s="40"/>
      <c r="B24" s="39"/>
      <c r="C24" s="39"/>
      <c r="D24" s="39"/>
      <c r="F24" s="39"/>
      <c r="G24" s="39"/>
      <c r="H24" s="39"/>
      <c r="I24" s="39"/>
    </row>
    <row r="25">
      <c r="A25" s="41"/>
      <c r="B25" s="39"/>
      <c r="C25" s="39"/>
      <c r="D25" s="39"/>
      <c r="F25" s="39"/>
      <c r="G25" s="39"/>
      <c r="H25" s="39"/>
      <c r="I25" s="39"/>
    </row>
    <row r="26">
      <c r="A26" s="40"/>
      <c r="B26" s="39"/>
      <c r="C26" s="39"/>
      <c r="D26" s="39"/>
      <c r="F26" s="39"/>
      <c r="G26" s="39"/>
      <c r="H26" s="39"/>
      <c r="I26" s="39"/>
    </row>
    <row r="27">
      <c r="A27" s="41"/>
      <c r="B27" s="39"/>
      <c r="C27" s="39"/>
      <c r="D27" s="39"/>
      <c r="F27" s="39"/>
      <c r="G27" s="39"/>
      <c r="H27" s="39"/>
      <c r="I27" s="39"/>
    </row>
    <row r="28">
      <c r="A28" s="40"/>
      <c r="B28" s="39"/>
      <c r="C28" s="39"/>
      <c r="D28" s="39"/>
      <c r="F28" s="39"/>
      <c r="G28" s="39"/>
      <c r="H28" s="39"/>
      <c r="I28" s="39"/>
    </row>
    <row r="29">
      <c r="A29" s="39"/>
      <c r="B29" s="39"/>
      <c r="C29" s="39"/>
      <c r="D29" s="39"/>
      <c r="F29" s="39"/>
      <c r="G29" s="39"/>
      <c r="H29" s="39"/>
      <c r="I29" s="39"/>
    </row>
    <row r="30">
      <c r="A30" s="40"/>
      <c r="B30" s="39"/>
      <c r="C30" s="39"/>
      <c r="D30" s="39"/>
      <c r="F30" s="39"/>
      <c r="G30" s="39"/>
      <c r="H30" s="39"/>
      <c r="I30" s="39"/>
    </row>
    <row r="31">
      <c r="A31" s="40"/>
      <c r="B31" s="39"/>
      <c r="C31" s="39"/>
      <c r="D31" s="39"/>
      <c r="F31" s="39"/>
      <c r="G31" s="39"/>
      <c r="H31" s="39"/>
      <c r="I31" s="39"/>
    </row>
    <row r="32">
      <c r="A32" s="40"/>
      <c r="B32" s="39"/>
      <c r="C32" s="39"/>
      <c r="D32" s="39"/>
      <c r="F32" s="39"/>
      <c r="G32" s="39"/>
      <c r="H32" s="39"/>
      <c r="I32" s="39"/>
    </row>
    <row r="33">
      <c r="A33" s="41"/>
      <c r="B33" s="39"/>
      <c r="C33" s="39"/>
      <c r="D33" s="39"/>
      <c r="F33" s="39"/>
      <c r="G33" s="39"/>
      <c r="H33" s="39"/>
      <c r="I33" s="39"/>
    </row>
    <row r="34">
      <c r="A34" s="40"/>
      <c r="B34" s="39"/>
      <c r="C34" s="39"/>
      <c r="D34" s="39"/>
      <c r="F34" s="39"/>
      <c r="G34" s="39"/>
      <c r="H34" s="39"/>
      <c r="I34" s="39"/>
    </row>
    <row r="35">
      <c r="A35" s="41"/>
      <c r="B35" s="39"/>
      <c r="C35" s="39"/>
      <c r="D35" s="39"/>
      <c r="F35" s="39"/>
      <c r="G35" s="39"/>
      <c r="H35" s="39"/>
      <c r="I35" s="39"/>
    </row>
    <row r="36">
      <c r="A36" s="40"/>
      <c r="B36" s="39"/>
      <c r="C36" s="39"/>
      <c r="D36" s="39"/>
      <c r="F36" s="39"/>
      <c r="G36" s="39"/>
      <c r="H36" s="39"/>
      <c r="I36" s="39"/>
    </row>
    <row r="37">
      <c r="A37" s="41"/>
      <c r="B37" s="39"/>
      <c r="C37" s="39"/>
      <c r="D37" s="39"/>
      <c r="F37" s="39"/>
      <c r="G37" s="39"/>
      <c r="H37" s="39"/>
      <c r="I37" s="39"/>
    </row>
    <row r="38">
      <c r="A38" s="40"/>
      <c r="B38" s="39"/>
      <c r="C38" s="39"/>
      <c r="D38" s="39"/>
      <c r="F38" s="39"/>
      <c r="G38" s="39"/>
      <c r="H38" s="39"/>
      <c r="I38" s="39"/>
    </row>
    <row r="39">
      <c r="A39" s="39"/>
      <c r="B39" s="39"/>
      <c r="C39" s="39"/>
      <c r="D39" s="39"/>
      <c r="F39" s="39"/>
      <c r="G39" s="39"/>
      <c r="H39" s="39"/>
      <c r="I39" s="39"/>
    </row>
    <row r="40">
      <c r="A40" s="40"/>
      <c r="B40" s="39"/>
      <c r="C40" s="39"/>
      <c r="D40" s="39"/>
      <c r="F40" s="39"/>
      <c r="G40" s="39"/>
      <c r="H40" s="39"/>
      <c r="I40" s="39"/>
    </row>
    <row r="41">
      <c r="A41" s="40"/>
      <c r="B41" s="39"/>
      <c r="C41" s="39"/>
      <c r="D41" s="39"/>
      <c r="F41" s="39"/>
      <c r="G41" s="39"/>
      <c r="H41" s="39"/>
      <c r="I41" s="39"/>
    </row>
    <row r="42">
      <c r="A42" s="41"/>
      <c r="B42" s="39"/>
      <c r="C42" s="39"/>
      <c r="D42" s="39"/>
      <c r="F42" s="39"/>
      <c r="G42" s="39"/>
      <c r="H42" s="39"/>
      <c r="I42" s="39"/>
    </row>
    <row r="43">
      <c r="A43" s="40"/>
      <c r="B43" s="39"/>
      <c r="C43" s="39"/>
      <c r="D43" s="39"/>
      <c r="F43" s="39"/>
      <c r="G43" s="39"/>
      <c r="H43" s="39"/>
      <c r="I43" s="39"/>
    </row>
    <row r="44">
      <c r="A44" s="40"/>
      <c r="B44" s="39"/>
      <c r="C44" s="39"/>
      <c r="D44" s="39"/>
      <c r="F44" s="39"/>
      <c r="G44" s="39"/>
      <c r="H44" s="39"/>
      <c r="I44" s="39"/>
    </row>
    <row r="45">
      <c r="A45" s="40"/>
      <c r="B45" s="39"/>
      <c r="C45" s="39"/>
      <c r="D45" s="39"/>
      <c r="F45" s="39"/>
      <c r="G45" s="39"/>
      <c r="H45" s="39"/>
      <c r="I45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741</v>
      </c>
      <c r="G1" s="38" t="s">
        <v>742</v>
      </c>
      <c r="H1" s="38" t="s">
        <v>743</v>
      </c>
      <c r="I1" s="38" t="s">
        <v>13</v>
      </c>
    </row>
    <row r="2">
      <c r="A2" s="38" t="s">
        <v>744</v>
      </c>
      <c r="B2" s="38"/>
      <c r="C2" s="38"/>
      <c r="D2" s="38"/>
      <c r="F2" s="40" t="s">
        <v>53</v>
      </c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38"/>
      <c r="G3" s="38"/>
      <c r="H3" s="38"/>
      <c r="I3" s="38"/>
    </row>
    <row r="4">
      <c r="A4" s="40" t="s">
        <v>19</v>
      </c>
      <c r="B4" s="39"/>
      <c r="C4" s="39"/>
      <c r="D4" s="39"/>
      <c r="F4" s="40" t="s">
        <v>54</v>
      </c>
      <c r="G4" s="39"/>
      <c r="H4" s="39"/>
      <c r="I4" s="39"/>
    </row>
    <row r="5">
      <c r="A5" s="40" t="s">
        <v>24</v>
      </c>
      <c r="B5" s="39"/>
      <c r="C5" s="39"/>
      <c r="D5" s="39"/>
      <c r="F5" s="38" t="s">
        <v>55</v>
      </c>
      <c r="G5" s="39"/>
      <c r="H5" s="39"/>
      <c r="I5" s="39"/>
    </row>
    <row r="6">
      <c r="A6" s="40" t="s">
        <v>25</v>
      </c>
      <c r="B6" s="39"/>
      <c r="C6" s="39"/>
      <c r="D6" s="39"/>
      <c r="F6" s="40" t="s">
        <v>56</v>
      </c>
      <c r="G6" s="39"/>
      <c r="H6" s="39"/>
      <c r="I6" s="39"/>
    </row>
    <row r="7">
      <c r="A7" s="40" t="s">
        <v>26</v>
      </c>
      <c r="B7" s="39"/>
      <c r="C7" s="39"/>
      <c r="D7" s="39"/>
      <c r="F7" s="41"/>
      <c r="G7" s="39"/>
      <c r="H7" s="39"/>
      <c r="I7" s="39"/>
    </row>
    <row r="8">
      <c r="A8" s="40" t="s">
        <v>27</v>
      </c>
      <c r="B8" s="39"/>
      <c r="C8" s="39"/>
      <c r="D8" s="39"/>
      <c r="F8" s="40" t="s">
        <v>296</v>
      </c>
      <c r="G8" s="39"/>
      <c r="H8" s="39"/>
      <c r="I8" s="39"/>
    </row>
    <row r="9">
      <c r="A9" s="40" t="s">
        <v>28</v>
      </c>
      <c r="B9" s="39"/>
      <c r="C9" s="39"/>
      <c r="D9" s="39"/>
      <c r="F9" s="41"/>
      <c r="G9" s="39"/>
      <c r="H9" s="39"/>
      <c r="I9" s="39"/>
    </row>
    <row r="10">
      <c r="A10" s="40" t="s">
        <v>29</v>
      </c>
      <c r="B10" s="39"/>
      <c r="C10" s="39"/>
      <c r="D10" s="39"/>
      <c r="F10" s="40" t="s">
        <v>58</v>
      </c>
      <c r="G10" s="39"/>
      <c r="H10" s="39"/>
      <c r="I10" s="39"/>
    </row>
    <row r="11">
      <c r="A11" s="40" t="s">
        <v>30</v>
      </c>
      <c r="B11" s="39"/>
      <c r="C11" s="39"/>
      <c r="D11" s="39"/>
      <c r="F11" s="41"/>
      <c r="G11" s="39"/>
      <c r="H11" s="39"/>
      <c r="I11" s="39"/>
    </row>
    <row r="12">
      <c r="A12" s="40" t="s">
        <v>31</v>
      </c>
      <c r="B12" s="39"/>
      <c r="C12" s="39"/>
      <c r="D12" s="39"/>
      <c r="F12" s="40" t="s">
        <v>59</v>
      </c>
      <c r="G12" s="39"/>
      <c r="H12" s="39"/>
      <c r="I12" s="39"/>
    </row>
    <row r="13">
      <c r="A13" s="40"/>
      <c r="B13" s="39"/>
      <c r="C13" s="39"/>
      <c r="D13" s="39"/>
      <c r="F13" s="41"/>
      <c r="G13" s="39"/>
      <c r="H13" s="39"/>
      <c r="I13" s="39"/>
    </row>
    <row r="14">
      <c r="A14" s="40" t="s">
        <v>21</v>
      </c>
      <c r="B14" s="39"/>
      <c r="C14" s="39"/>
      <c r="D14" s="39"/>
      <c r="F14" s="40" t="s">
        <v>60</v>
      </c>
      <c r="G14" s="39"/>
      <c r="H14" s="39"/>
      <c r="I14" s="39"/>
    </row>
    <row r="15">
      <c r="A15" s="40" t="s">
        <v>32</v>
      </c>
      <c r="B15" s="39"/>
      <c r="C15" s="39"/>
      <c r="D15" s="39"/>
      <c r="F15" s="41"/>
      <c r="G15" s="39"/>
      <c r="H15" s="39"/>
      <c r="I15" s="39"/>
    </row>
    <row r="16">
      <c r="A16" s="38" t="s">
        <v>33</v>
      </c>
      <c r="B16" s="39"/>
      <c r="C16" s="39"/>
      <c r="D16" s="39"/>
      <c r="F16" s="40" t="s">
        <v>61</v>
      </c>
      <c r="G16" s="39"/>
      <c r="H16" s="39"/>
      <c r="I16" s="39"/>
    </row>
    <row r="17">
      <c r="A17" s="40" t="s">
        <v>34</v>
      </c>
      <c r="B17" s="39"/>
      <c r="C17" s="39"/>
      <c r="D17" s="39"/>
      <c r="F17" s="41"/>
      <c r="G17" s="39"/>
      <c r="H17" s="39"/>
      <c r="I17" s="39"/>
    </row>
    <row r="18">
      <c r="A18" s="40" t="s">
        <v>35</v>
      </c>
      <c r="B18" s="39"/>
      <c r="C18" s="39"/>
      <c r="D18" s="39"/>
      <c r="F18" s="40" t="s">
        <v>62</v>
      </c>
      <c r="G18" s="39"/>
      <c r="H18" s="39"/>
      <c r="I18" s="39"/>
    </row>
    <row r="19">
      <c r="A19" s="40" t="s">
        <v>36</v>
      </c>
      <c r="B19" s="39"/>
      <c r="C19" s="39"/>
      <c r="D19" s="39"/>
      <c r="F19" s="39"/>
      <c r="G19" s="39"/>
      <c r="H19" s="39"/>
      <c r="I19" s="39"/>
    </row>
    <row r="20">
      <c r="A20" s="41"/>
      <c r="B20" s="39"/>
      <c r="C20" s="39"/>
      <c r="D20" s="39"/>
      <c r="F20" s="39"/>
      <c r="G20" s="39"/>
      <c r="H20" s="39"/>
      <c r="I20" s="39"/>
    </row>
    <row r="21">
      <c r="A21" s="40" t="s">
        <v>37</v>
      </c>
      <c r="B21" s="39"/>
      <c r="C21" s="39"/>
      <c r="D21" s="39"/>
      <c r="F21" s="39"/>
      <c r="G21" s="39"/>
      <c r="H21" s="39"/>
      <c r="I21" s="39"/>
    </row>
    <row r="22">
      <c r="A22" s="40" t="s">
        <v>38</v>
      </c>
      <c r="B22" s="39"/>
      <c r="C22" s="39"/>
      <c r="D22" s="39"/>
      <c r="F22" s="39"/>
      <c r="G22" s="39"/>
      <c r="H22" s="39"/>
      <c r="I22" s="39"/>
    </row>
    <row r="23">
      <c r="A23" s="41"/>
      <c r="B23" s="39"/>
      <c r="C23" s="39"/>
      <c r="D23" s="39"/>
      <c r="F23" s="39"/>
      <c r="G23" s="39"/>
      <c r="H23" s="39"/>
      <c r="I23" s="39"/>
    </row>
    <row r="24">
      <c r="A24" s="40" t="s">
        <v>39</v>
      </c>
      <c r="B24" s="39"/>
      <c r="C24" s="39"/>
      <c r="D24" s="39"/>
      <c r="F24" s="39"/>
      <c r="G24" s="39"/>
      <c r="H24" s="39"/>
      <c r="I24" s="39"/>
    </row>
    <row r="25">
      <c r="A25" s="41"/>
      <c r="B25" s="39"/>
      <c r="C25" s="39"/>
      <c r="D25" s="39"/>
      <c r="F25" s="39"/>
      <c r="G25" s="39"/>
      <c r="H25" s="39"/>
      <c r="I25" s="39"/>
    </row>
    <row r="26">
      <c r="A26" s="40" t="s">
        <v>41</v>
      </c>
      <c r="B26" s="39"/>
      <c r="C26" s="39"/>
      <c r="D26" s="39"/>
      <c r="F26" s="39"/>
      <c r="G26" s="39"/>
      <c r="H26" s="39"/>
      <c r="I26" s="39"/>
    </row>
    <row r="27">
      <c r="A27" s="41"/>
      <c r="B27" s="39"/>
      <c r="C27" s="39"/>
      <c r="D27" s="39"/>
      <c r="F27" s="39"/>
      <c r="G27" s="39"/>
      <c r="H27" s="39"/>
      <c r="I27" s="39"/>
    </row>
    <row r="28">
      <c r="A28" s="40" t="s">
        <v>42</v>
      </c>
      <c r="B28" s="39"/>
      <c r="C28" s="39"/>
      <c r="D28" s="39"/>
      <c r="F28" s="39"/>
      <c r="G28" s="39"/>
      <c r="H28" s="39"/>
      <c r="I28" s="39"/>
    </row>
    <row r="29">
      <c r="A29" s="39"/>
      <c r="B29" s="39"/>
      <c r="C29" s="39"/>
      <c r="D29" s="39"/>
      <c r="F29" s="39"/>
      <c r="G29" s="39"/>
      <c r="H29" s="39"/>
      <c r="I29" s="39"/>
    </row>
    <row r="30">
      <c r="A30" s="40" t="s">
        <v>43</v>
      </c>
      <c r="B30" s="39"/>
      <c r="C30" s="39"/>
      <c r="D30" s="39"/>
      <c r="F30" s="39"/>
      <c r="G30" s="39"/>
      <c r="H30" s="39"/>
      <c r="I30" s="39"/>
    </row>
    <row r="31">
      <c r="A31" s="40" t="s">
        <v>44</v>
      </c>
      <c r="B31" s="39"/>
      <c r="C31" s="39"/>
      <c r="D31" s="39"/>
      <c r="F31" s="39"/>
      <c r="G31" s="39"/>
      <c r="H31" s="39"/>
      <c r="I31" s="39"/>
    </row>
    <row r="32">
      <c r="A32" s="40" t="s">
        <v>45</v>
      </c>
      <c r="B32" s="39"/>
      <c r="C32" s="39"/>
      <c r="D32" s="39"/>
      <c r="F32" s="39"/>
      <c r="G32" s="39"/>
      <c r="H32" s="39"/>
      <c r="I32" s="39"/>
    </row>
    <row r="33">
      <c r="A33" s="41"/>
      <c r="B33" s="39"/>
      <c r="C33" s="39"/>
      <c r="D33" s="39"/>
      <c r="F33" s="39"/>
      <c r="G33" s="39"/>
      <c r="H33" s="39"/>
      <c r="I33" s="39"/>
    </row>
    <row r="34">
      <c r="A34" s="40" t="s">
        <v>46</v>
      </c>
      <c r="B34" s="39"/>
      <c r="C34" s="39"/>
      <c r="D34" s="39"/>
      <c r="F34" s="39"/>
      <c r="G34" s="39"/>
      <c r="H34" s="39"/>
      <c r="I34" s="39"/>
    </row>
    <row r="35">
      <c r="A35" s="41"/>
      <c r="B35" s="39"/>
      <c r="C35" s="39"/>
      <c r="D35" s="39"/>
      <c r="F35" s="39"/>
      <c r="G35" s="39"/>
      <c r="H35" s="39"/>
      <c r="I35" s="39"/>
    </row>
    <row r="36">
      <c r="A36" s="40" t="s">
        <v>47</v>
      </c>
      <c r="B36" s="39"/>
      <c r="C36" s="39"/>
      <c r="D36" s="39"/>
      <c r="F36" s="39"/>
      <c r="G36" s="39"/>
      <c r="H36" s="39"/>
      <c r="I36" s="39"/>
    </row>
    <row r="37">
      <c r="A37" s="41"/>
      <c r="B37" s="39"/>
      <c r="C37" s="39"/>
      <c r="D37" s="39"/>
      <c r="F37" s="39"/>
      <c r="G37" s="39"/>
      <c r="H37" s="39"/>
      <c r="I37" s="39"/>
    </row>
    <row r="38">
      <c r="A38" s="40" t="s">
        <v>48</v>
      </c>
      <c r="B38" s="39"/>
      <c r="C38" s="39"/>
      <c r="D38" s="39"/>
      <c r="F38" s="39"/>
      <c r="G38" s="39"/>
      <c r="H38" s="39"/>
      <c r="I38" s="39"/>
    </row>
    <row r="39">
      <c r="A39" s="39"/>
      <c r="B39" s="39"/>
      <c r="C39" s="39"/>
      <c r="D39" s="39"/>
      <c r="F39" s="39"/>
      <c r="G39" s="39"/>
      <c r="H39" s="39"/>
      <c r="I39" s="39"/>
    </row>
    <row r="40">
      <c r="A40" s="40" t="s">
        <v>49</v>
      </c>
      <c r="B40" s="39"/>
      <c r="C40" s="39"/>
      <c r="D40" s="39"/>
      <c r="F40" s="39"/>
      <c r="G40" s="39"/>
      <c r="H40" s="39"/>
      <c r="I40" s="39"/>
    </row>
    <row r="41">
      <c r="A41" s="40" t="s">
        <v>50</v>
      </c>
      <c r="B41" s="39"/>
      <c r="C41" s="39"/>
      <c r="D41" s="39"/>
      <c r="F41" s="39"/>
      <c r="G41" s="39"/>
      <c r="H41" s="39"/>
      <c r="I41" s="39"/>
    </row>
    <row r="42">
      <c r="A42" s="41"/>
      <c r="B42" s="39"/>
      <c r="C42" s="39"/>
      <c r="D42" s="39"/>
      <c r="F42" s="39"/>
      <c r="G42" s="39"/>
      <c r="H42" s="39"/>
      <c r="I42" s="39"/>
    </row>
    <row r="43">
      <c r="A43" s="40" t="s">
        <v>22</v>
      </c>
      <c r="B43" s="39"/>
      <c r="C43" s="39"/>
      <c r="D43" s="39"/>
      <c r="F43" s="39"/>
      <c r="G43" s="39"/>
      <c r="H43" s="39"/>
      <c r="I43" s="39"/>
    </row>
    <row r="44">
      <c r="A44" s="40" t="s">
        <v>52</v>
      </c>
      <c r="B44" s="39"/>
      <c r="C44" s="39"/>
      <c r="D44" s="39"/>
      <c r="F44" s="39"/>
      <c r="G44" s="39"/>
      <c r="H44" s="39"/>
      <c r="I44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18</v>
      </c>
      <c r="G1" s="39"/>
      <c r="H1" s="39"/>
      <c r="I1" s="39"/>
    </row>
    <row r="2">
      <c r="A2" s="38" t="s">
        <v>740</v>
      </c>
      <c r="B2" s="38" t="s">
        <v>745</v>
      </c>
      <c r="C2" s="38"/>
      <c r="D2" s="38"/>
      <c r="F2" s="38"/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38" t="s">
        <v>741</v>
      </c>
      <c r="G3" s="38" t="s">
        <v>742</v>
      </c>
      <c r="H3" s="38" t="s">
        <v>743</v>
      </c>
      <c r="I3" s="38" t="s">
        <v>13</v>
      </c>
    </row>
    <row r="4">
      <c r="A4" s="40" t="s">
        <v>19</v>
      </c>
      <c r="B4" s="39"/>
      <c r="C4" s="39"/>
      <c r="D4" s="39"/>
      <c r="F4" s="40" t="s">
        <v>117</v>
      </c>
      <c r="G4" s="39"/>
      <c r="H4" s="39"/>
      <c r="I4" s="39"/>
    </row>
    <row r="5">
      <c r="A5" s="40" t="s">
        <v>24</v>
      </c>
      <c r="B5" s="39"/>
      <c r="C5" s="39"/>
      <c r="D5" s="39"/>
      <c r="F5" s="41"/>
      <c r="G5" s="39"/>
      <c r="H5" s="39"/>
      <c r="I5" s="39"/>
    </row>
    <row r="6">
      <c r="A6" s="40" t="s">
        <v>25</v>
      </c>
      <c r="B6" s="39"/>
      <c r="C6" s="39"/>
      <c r="D6" s="39"/>
      <c r="F6" s="40" t="s">
        <v>118</v>
      </c>
      <c r="G6" s="39"/>
      <c r="H6" s="39"/>
      <c r="I6" s="39"/>
    </row>
    <row r="7">
      <c r="A7" s="41"/>
      <c r="B7" s="39"/>
      <c r="C7" s="39"/>
      <c r="D7" s="39"/>
      <c r="F7" s="41"/>
      <c r="G7" s="39"/>
      <c r="H7" s="39"/>
      <c r="I7" s="39"/>
    </row>
    <row r="8">
      <c r="A8" s="40" t="s">
        <v>21</v>
      </c>
      <c r="B8" s="39"/>
      <c r="C8" s="39"/>
      <c r="D8" s="39"/>
      <c r="F8" s="40" t="s">
        <v>119</v>
      </c>
      <c r="G8" s="39"/>
      <c r="H8" s="39"/>
      <c r="I8" s="39"/>
    </row>
    <row r="9">
      <c r="A9" s="41"/>
      <c r="B9" s="39"/>
      <c r="C9" s="39"/>
      <c r="D9" s="39"/>
      <c r="F9" s="41"/>
      <c r="G9" s="39"/>
      <c r="H9" s="39"/>
      <c r="I9" s="39"/>
    </row>
    <row r="10">
      <c r="A10" s="40" t="s">
        <v>37</v>
      </c>
      <c r="B10" s="39"/>
      <c r="C10" s="39"/>
      <c r="D10" s="39"/>
      <c r="F10" s="40" t="s">
        <v>122</v>
      </c>
      <c r="G10" s="39"/>
      <c r="H10" s="39"/>
      <c r="I10" s="39"/>
    </row>
    <row r="11">
      <c r="A11" s="41"/>
      <c r="B11" s="39"/>
      <c r="C11" s="39"/>
      <c r="D11" s="39"/>
      <c r="F11" s="41"/>
      <c r="G11" s="39"/>
      <c r="H11" s="39"/>
      <c r="I11" s="39"/>
    </row>
    <row r="12">
      <c r="A12" s="40" t="s">
        <v>39</v>
      </c>
      <c r="B12" s="39"/>
      <c r="C12" s="39"/>
      <c r="D12" s="39"/>
      <c r="F12" s="40" t="s">
        <v>125</v>
      </c>
      <c r="G12" s="39"/>
      <c r="H12" s="39"/>
      <c r="I12" s="39"/>
    </row>
    <row r="13">
      <c r="A13" s="40" t="s">
        <v>79</v>
      </c>
      <c r="B13" s="39"/>
      <c r="C13" s="39"/>
      <c r="D13" s="39"/>
      <c r="F13" s="39"/>
      <c r="G13" s="39"/>
      <c r="H13" s="39"/>
      <c r="I13" s="39"/>
    </row>
    <row r="14">
      <c r="A14" s="41"/>
      <c r="B14" s="39"/>
      <c r="C14" s="39"/>
      <c r="D14" s="39"/>
      <c r="F14" s="40"/>
      <c r="G14" s="39"/>
      <c r="H14" s="39"/>
      <c r="I14" s="39"/>
    </row>
    <row r="15">
      <c r="A15" s="40" t="s">
        <v>41</v>
      </c>
      <c r="B15" s="39"/>
      <c r="C15" s="39"/>
      <c r="D15" s="39"/>
      <c r="F15" s="41"/>
      <c r="G15" s="39"/>
      <c r="H15" s="39"/>
      <c r="I15" s="39"/>
    </row>
    <row r="16">
      <c r="A16" s="40" t="s">
        <v>149</v>
      </c>
      <c r="B16" s="39"/>
      <c r="C16" s="39"/>
      <c r="D16" s="39"/>
      <c r="F16" s="40"/>
      <c r="G16" s="39"/>
      <c r="H16" s="39"/>
      <c r="I16" s="39"/>
    </row>
    <row r="17">
      <c r="A17" s="40" t="s">
        <v>150</v>
      </c>
      <c r="B17" s="39"/>
      <c r="C17" s="39"/>
      <c r="D17" s="39"/>
      <c r="F17" s="41"/>
      <c r="G17" s="39"/>
      <c r="H17" s="39"/>
      <c r="I17" s="39"/>
    </row>
    <row r="18">
      <c r="A18" s="41"/>
      <c r="B18" s="39"/>
      <c r="C18" s="39"/>
      <c r="D18" s="39"/>
      <c r="F18" s="40"/>
      <c r="G18" s="39"/>
      <c r="H18" s="39"/>
      <c r="I18" s="39"/>
    </row>
    <row r="19">
      <c r="A19" s="40" t="s">
        <v>42</v>
      </c>
      <c r="B19" s="39"/>
      <c r="C19" s="39"/>
      <c r="D19" s="39"/>
      <c r="F19" s="39"/>
      <c r="G19" s="39"/>
      <c r="H19" s="39"/>
      <c r="I19" s="39"/>
    </row>
    <row r="20">
      <c r="A20" s="40" t="s">
        <v>81</v>
      </c>
      <c r="B20" s="39"/>
      <c r="C20" s="39"/>
      <c r="D20" s="39"/>
      <c r="F20" s="39"/>
      <c r="G20" s="39"/>
      <c r="H20" s="39"/>
      <c r="I20" s="39"/>
    </row>
    <row r="21">
      <c r="A21" s="41"/>
      <c r="B21" s="39"/>
      <c r="C21" s="39"/>
      <c r="D21" s="39"/>
      <c r="F21" s="39"/>
      <c r="G21" s="39"/>
      <c r="H21" s="39"/>
      <c r="I21" s="39"/>
    </row>
    <row r="22">
      <c r="A22" s="40" t="s">
        <v>43</v>
      </c>
      <c r="B22" s="39"/>
      <c r="C22" s="39"/>
      <c r="D22" s="39"/>
      <c r="F22" s="39"/>
      <c r="G22" s="39"/>
      <c r="H22" s="39"/>
      <c r="I22" s="39"/>
    </row>
    <row r="23">
      <c r="A23" s="40" t="s">
        <v>44</v>
      </c>
      <c r="B23" s="39"/>
      <c r="C23" s="39"/>
      <c r="D23" s="39"/>
      <c r="F23" s="39"/>
      <c r="G23" s="39"/>
      <c r="H23" s="39"/>
      <c r="I23" s="39"/>
    </row>
    <row r="24">
      <c r="A24" s="41"/>
      <c r="B24" s="39"/>
      <c r="C24" s="39"/>
      <c r="D24" s="39"/>
      <c r="F24" s="39"/>
      <c r="G24" s="39"/>
      <c r="H24" s="39"/>
      <c r="I24" s="39"/>
    </row>
    <row r="25">
      <c r="A25" s="40" t="s">
        <v>22</v>
      </c>
      <c r="B25" s="39"/>
      <c r="C25" s="39"/>
      <c r="D25" s="39"/>
      <c r="F25" s="39"/>
      <c r="G25" s="39"/>
      <c r="H25" s="39"/>
      <c r="I25" s="39"/>
    </row>
    <row r="26">
      <c r="A26" s="41"/>
      <c r="B26" s="39"/>
      <c r="C26" s="39"/>
      <c r="D26" s="39"/>
      <c r="F26" s="39"/>
      <c r="G26" s="39"/>
      <c r="H26" s="39"/>
      <c r="I26" s="39"/>
    </row>
    <row r="27">
      <c r="A27" s="40" t="s">
        <v>296</v>
      </c>
      <c r="B27" s="39"/>
      <c r="C27" s="39"/>
      <c r="D27" s="39"/>
      <c r="F27" s="39"/>
      <c r="G27" s="39"/>
      <c r="H27" s="39"/>
      <c r="I27" s="39"/>
    </row>
    <row r="28">
      <c r="A28" s="41"/>
      <c r="B28" s="39"/>
      <c r="C28" s="39"/>
      <c r="D28" s="39"/>
      <c r="F28" s="39"/>
      <c r="G28" s="39"/>
      <c r="H28" s="39"/>
      <c r="I28" s="39"/>
    </row>
    <row r="29">
      <c r="A29" s="40" t="s">
        <v>58</v>
      </c>
      <c r="B29" s="39"/>
      <c r="C29" s="39"/>
      <c r="D29" s="39"/>
      <c r="F29" s="39"/>
      <c r="G29" s="39"/>
      <c r="H29" s="39"/>
      <c r="I29" s="39"/>
    </row>
    <row r="30">
      <c r="A30" s="40" t="s">
        <v>194</v>
      </c>
      <c r="B30" s="39"/>
      <c r="C30" s="39"/>
      <c r="D30" s="39"/>
      <c r="F30" s="39"/>
      <c r="G30" s="39"/>
      <c r="H30" s="39"/>
      <c r="I30" s="39"/>
    </row>
    <row r="31">
      <c r="A31" s="40" t="s">
        <v>297</v>
      </c>
      <c r="B31" s="39"/>
      <c r="C31" s="39"/>
      <c r="D31" s="39"/>
      <c r="F31" s="39"/>
      <c r="G31" s="39"/>
      <c r="H31" s="39"/>
      <c r="I31" s="39"/>
    </row>
    <row r="32">
      <c r="A32" s="41"/>
      <c r="B32" s="39"/>
      <c r="C32" s="39"/>
      <c r="D32" s="39"/>
      <c r="F32" s="39"/>
      <c r="G32" s="39"/>
      <c r="H32" s="39"/>
      <c r="I32" s="39"/>
    </row>
    <row r="33">
      <c r="A33" s="40" t="s">
        <v>59</v>
      </c>
      <c r="B33" s="39"/>
      <c r="C33" s="39"/>
      <c r="D33" s="39"/>
      <c r="F33" s="39"/>
      <c r="G33" s="39"/>
      <c r="H33" s="39"/>
      <c r="I33" s="39"/>
    </row>
    <row r="34">
      <c r="A34" s="40" t="s">
        <v>110</v>
      </c>
      <c r="B34" s="39"/>
      <c r="C34" s="39"/>
      <c r="D34" s="39"/>
      <c r="F34" s="39"/>
      <c r="G34" s="39"/>
      <c r="H34" s="39"/>
      <c r="I34" s="39"/>
    </row>
    <row r="35">
      <c r="A35" s="41"/>
      <c r="B35" s="39"/>
      <c r="C35" s="39"/>
      <c r="D35" s="39"/>
      <c r="F35" s="39"/>
      <c r="G35" s="39"/>
      <c r="H35" s="39"/>
      <c r="I35" s="39"/>
    </row>
    <row r="36">
      <c r="A36" s="40" t="s">
        <v>60</v>
      </c>
      <c r="B36" s="39"/>
      <c r="C36" s="39"/>
      <c r="D36" s="39"/>
      <c r="F36" s="39"/>
      <c r="G36" s="39"/>
      <c r="H36" s="39"/>
      <c r="I36" s="39"/>
    </row>
    <row r="37">
      <c r="A37" s="40" t="s">
        <v>111</v>
      </c>
      <c r="B37" s="39"/>
      <c r="C37" s="39"/>
      <c r="D37" s="39"/>
      <c r="F37" s="39"/>
      <c r="G37" s="39"/>
      <c r="H37" s="39"/>
      <c r="I37" s="39"/>
    </row>
    <row r="38">
      <c r="A38" s="41"/>
      <c r="B38" s="39"/>
      <c r="C38" s="39"/>
      <c r="D38" s="39"/>
      <c r="F38" s="39"/>
      <c r="G38" s="39"/>
      <c r="H38" s="39"/>
      <c r="I38" s="39"/>
    </row>
    <row r="39">
      <c r="A39" s="40" t="s">
        <v>61</v>
      </c>
      <c r="B39" s="39"/>
      <c r="C39" s="39"/>
      <c r="D39" s="39"/>
      <c r="F39" s="39"/>
      <c r="G39" s="39"/>
      <c r="H39" s="39"/>
      <c r="I39" s="39"/>
    </row>
    <row r="40">
      <c r="A40" s="40" t="s">
        <v>113</v>
      </c>
      <c r="B40" s="39"/>
      <c r="C40" s="39"/>
      <c r="D40" s="39"/>
      <c r="F40" s="39"/>
      <c r="G40" s="39"/>
      <c r="H40" s="39"/>
      <c r="I40" s="39"/>
    </row>
    <row r="41">
      <c r="A41" s="41"/>
      <c r="B41" s="39"/>
      <c r="C41" s="39"/>
      <c r="D41" s="39"/>
      <c r="F41" s="39"/>
      <c r="G41" s="39"/>
      <c r="H41" s="39"/>
      <c r="I41" s="39"/>
    </row>
    <row r="42">
      <c r="A42" s="40" t="s">
        <v>62</v>
      </c>
      <c r="B42" s="39"/>
      <c r="C42" s="39"/>
      <c r="D42" s="39"/>
      <c r="F42" s="39"/>
      <c r="G42" s="39"/>
      <c r="H42" s="39"/>
      <c r="I42" s="39"/>
    </row>
    <row r="43">
      <c r="A43" s="41"/>
      <c r="B43" s="39"/>
      <c r="C43" s="39"/>
      <c r="D43" s="39"/>
      <c r="F43" s="39"/>
      <c r="G43" s="39"/>
      <c r="H43" s="39"/>
      <c r="I43" s="39"/>
    </row>
    <row r="44">
      <c r="A44" s="39"/>
      <c r="B44" s="39"/>
      <c r="C44" s="39"/>
      <c r="D44" s="39"/>
      <c r="F44" s="39"/>
      <c r="G44" s="39"/>
      <c r="H44" s="39"/>
      <c r="I44" s="39"/>
    </row>
    <row r="45">
      <c r="A45" s="39"/>
      <c r="B45" s="39"/>
      <c r="C45" s="39"/>
      <c r="D45" s="39"/>
      <c r="F45" s="39"/>
      <c r="G45" s="39"/>
      <c r="H45" s="39"/>
      <c r="I45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741</v>
      </c>
      <c r="G1" s="38" t="s">
        <v>742</v>
      </c>
      <c r="H1" s="38" t="s">
        <v>743</v>
      </c>
      <c r="I1" s="38" t="s">
        <v>13</v>
      </c>
    </row>
    <row r="2">
      <c r="A2" s="38" t="s">
        <v>740</v>
      </c>
      <c r="B2" s="38" t="s">
        <v>746</v>
      </c>
      <c r="C2" s="38"/>
      <c r="D2" s="38"/>
      <c r="F2" s="40" t="s">
        <v>105</v>
      </c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39"/>
      <c r="G3" s="39"/>
      <c r="H3" s="39"/>
      <c r="I3" s="39"/>
    </row>
    <row r="4">
      <c r="A4" s="40" t="s">
        <v>19</v>
      </c>
      <c r="B4" s="39"/>
      <c r="C4" s="39"/>
      <c r="D4" s="39"/>
      <c r="F4" s="40" t="s">
        <v>179</v>
      </c>
      <c r="G4" s="39"/>
      <c r="H4" s="39"/>
      <c r="I4" s="39"/>
    </row>
    <row r="5">
      <c r="A5" s="41"/>
      <c r="B5" s="39"/>
      <c r="C5" s="39"/>
      <c r="D5" s="39"/>
      <c r="F5" s="41"/>
      <c r="G5" s="39"/>
      <c r="H5" s="39"/>
      <c r="I5" s="39"/>
    </row>
    <row r="6">
      <c r="A6" s="40" t="s">
        <v>21</v>
      </c>
      <c r="B6" s="39"/>
      <c r="C6" s="39"/>
      <c r="D6" s="39"/>
      <c r="F6" s="40" t="s">
        <v>296</v>
      </c>
      <c r="G6" s="39"/>
      <c r="H6" s="39"/>
      <c r="I6" s="39"/>
    </row>
    <row r="7">
      <c r="A7" s="41"/>
      <c r="B7" s="39"/>
      <c r="C7" s="39"/>
      <c r="D7" s="39"/>
      <c r="F7" s="41"/>
      <c r="G7" s="39"/>
      <c r="H7" s="39"/>
      <c r="I7" s="39"/>
    </row>
    <row r="8">
      <c r="A8" s="40" t="s">
        <v>37</v>
      </c>
      <c r="B8" s="39"/>
      <c r="C8" s="39"/>
      <c r="D8" s="39"/>
      <c r="F8" s="40" t="s">
        <v>58</v>
      </c>
      <c r="G8" s="39"/>
      <c r="H8" s="39"/>
      <c r="I8" s="39"/>
    </row>
    <row r="9">
      <c r="A9" s="41"/>
      <c r="B9" s="39"/>
      <c r="C9" s="39"/>
      <c r="D9" s="39"/>
      <c r="F9" s="40" t="s">
        <v>194</v>
      </c>
      <c r="G9" s="39"/>
      <c r="H9" s="39"/>
      <c r="I9" s="39"/>
    </row>
    <row r="10">
      <c r="A10" s="40" t="s">
        <v>39</v>
      </c>
      <c r="B10" s="39"/>
      <c r="C10" s="39"/>
      <c r="D10" s="39"/>
      <c r="F10" s="40" t="s">
        <v>195</v>
      </c>
      <c r="G10" s="39"/>
      <c r="H10" s="39"/>
      <c r="I10" s="39"/>
    </row>
    <row r="11">
      <c r="A11" s="41"/>
      <c r="B11" s="39"/>
      <c r="C11" s="39"/>
      <c r="D11" s="39"/>
      <c r="F11" s="41"/>
      <c r="G11" s="39"/>
      <c r="H11" s="39"/>
      <c r="I11" s="39"/>
    </row>
    <row r="12">
      <c r="A12" s="40" t="s">
        <v>41</v>
      </c>
      <c r="B12" s="39"/>
      <c r="C12" s="39"/>
      <c r="D12" s="39"/>
      <c r="F12" s="40" t="s">
        <v>59</v>
      </c>
      <c r="G12" s="39"/>
      <c r="H12" s="39"/>
      <c r="I12" s="39"/>
    </row>
    <row r="13">
      <c r="A13" s="40" t="s">
        <v>149</v>
      </c>
      <c r="B13" s="39"/>
      <c r="C13" s="39"/>
      <c r="D13" s="39"/>
      <c r="F13" s="40" t="s">
        <v>110</v>
      </c>
      <c r="G13" s="39"/>
      <c r="H13" s="39"/>
      <c r="I13" s="39"/>
    </row>
    <row r="14">
      <c r="A14" s="40" t="s">
        <v>150</v>
      </c>
      <c r="B14" s="39"/>
      <c r="C14" s="39"/>
      <c r="D14" s="39"/>
      <c r="F14" s="41"/>
      <c r="G14" s="39"/>
      <c r="H14" s="39"/>
      <c r="I14" s="39"/>
    </row>
    <row r="15">
      <c r="A15" s="40" t="s">
        <v>361</v>
      </c>
      <c r="B15" s="39"/>
      <c r="C15" s="39"/>
      <c r="D15" s="39"/>
      <c r="F15" s="40" t="s">
        <v>60</v>
      </c>
      <c r="G15" s="39"/>
      <c r="H15" s="39"/>
      <c r="I15" s="39"/>
    </row>
    <row r="16">
      <c r="A16" s="40" t="s">
        <v>309</v>
      </c>
      <c r="B16" s="39"/>
      <c r="C16" s="39"/>
      <c r="D16" s="39"/>
      <c r="F16" s="39"/>
      <c r="G16" s="39"/>
      <c r="H16" s="39"/>
      <c r="I16" s="39"/>
    </row>
    <row r="17">
      <c r="A17" s="40" t="s">
        <v>362</v>
      </c>
      <c r="B17" s="39"/>
      <c r="C17" s="39"/>
      <c r="D17" s="39"/>
      <c r="F17" s="41"/>
      <c r="G17" s="39"/>
      <c r="H17" s="39"/>
      <c r="I17" s="39"/>
    </row>
    <row r="18">
      <c r="A18" s="40" t="s">
        <v>747</v>
      </c>
      <c r="B18" s="39"/>
      <c r="C18" s="39"/>
      <c r="D18" s="39"/>
      <c r="F18" s="40"/>
      <c r="G18" s="39"/>
      <c r="H18" s="39"/>
      <c r="I18" s="39"/>
    </row>
    <row r="19">
      <c r="A19" s="40" t="s">
        <v>748</v>
      </c>
      <c r="B19" s="39"/>
      <c r="C19" s="39"/>
      <c r="D19" s="39"/>
      <c r="F19" s="39"/>
      <c r="G19" s="39"/>
      <c r="H19" s="39"/>
      <c r="I19" s="39"/>
    </row>
    <row r="20">
      <c r="A20" s="41"/>
      <c r="B20" s="39"/>
      <c r="C20" s="39"/>
      <c r="D20" s="39"/>
      <c r="F20" s="39"/>
      <c r="G20" s="39"/>
      <c r="H20" s="39"/>
      <c r="I20" s="39"/>
    </row>
    <row r="21">
      <c r="A21" s="40" t="s">
        <v>365</v>
      </c>
      <c r="B21" s="39"/>
      <c r="C21" s="39"/>
      <c r="D21" s="39"/>
      <c r="F21" s="39"/>
      <c r="G21" s="39"/>
      <c r="H21" s="39"/>
      <c r="I21" s="39"/>
    </row>
    <row r="22">
      <c r="A22" s="40" t="s">
        <v>366</v>
      </c>
      <c r="B22" s="39"/>
      <c r="C22" s="39"/>
      <c r="D22" s="39"/>
      <c r="F22" s="39"/>
      <c r="G22" s="39"/>
      <c r="H22" s="39"/>
      <c r="I22" s="39"/>
    </row>
    <row r="23">
      <c r="A23" s="40" t="s">
        <v>367</v>
      </c>
      <c r="B23" s="39"/>
      <c r="C23" s="39"/>
      <c r="D23" s="39"/>
      <c r="F23" s="39"/>
      <c r="G23" s="39"/>
      <c r="H23" s="39"/>
      <c r="I23" s="39"/>
    </row>
    <row r="24">
      <c r="A24" s="40" t="s">
        <v>375</v>
      </c>
      <c r="B24" s="39"/>
      <c r="C24" s="39"/>
      <c r="D24" s="39"/>
      <c r="F24" s="39"/>
      <c r="G24" s="39"/>
      <c r="H24" s="39"/>
      <c r="I24" s="39"/>
    </row>
    <row r="25">
      <c r="A25" s="40" t="s">
        <v>376</v>
      </c>
      <c r="B25" s="39"/>
      <c r="C25" s="39"/>
      <c r="D25" s="39"/>
      <c r="F25" s="39"/>
      <c r="G25" s="39"/>
      <c r="H25" s="39"/>
      <c r="I25" s="39"/>
    </row>
    <row r="26">
      <c r="A26" s="40" t="s">
        <v>378</v>
      </c>
      <c r="B26" s="39"/>
      <c r="C26" s="39"/>
      <c r="D26" s="39"/>
      <c r="F26" s="39"/>
      <c r="G26" s="39"/>
      <c r="H26" s="39"/>
      <c r="I26" s="39"/>
    </row>
    <row r="27">
      <c r="A27" s="41"/>
      <c r="B27" s="39"/>
      <c r="C27" s="39"/>
      <c r="D27" s="39"/>
      <c r="F27" s="39"/>
      <c r="G27" s="39"/>
      <c r="H27" s="39"/>
      <c r="I27" s="39"/>
    </row>
    <row r="28">
      <c r="A28" s="40" t="s">
        <v>22</v>
      </c>
      <c r="B28" s="39"/>
      <c r="C28" s="39"/>
      <c r="D28" s="39"/>
      <c r="F28" s="39"/>
      <c r="G28" s="39"/>
      <c r="H28" s="39"/>
      <c r="I28" s="39"/>
    </row>
    <row r="29">
      <c r="A29" s="40" t="s">
        <v>52</v>
      </c>
      <c r="B29" s="39"/>
      <c r="C29" s="39"/>
      <c r="D29" s="39"/>
      <c r="F29" s="39"/>
      <c r="G29" s="39"/>
      <c r="H29" s="39"/>
      <c r="I29" s="39"/>
    </row>
    <row r="30">
      <c r="A30" s="40" t="s">
        <v>318</v>
      </c>
      <c r="B30" s="39"/>
      <c r="C30" s="39"/>
      <c r="D30" s="39"/>
      <c r="F30" s="39"/>
      <c r="G30" s="39"/>
      <c r="H30" s="39"/>
      <c r="I30" s="39"/>
    </row>
    <row r="31">
      <c r="A31" s="40" t="s">
        <v>101</v>
      </c>
      <c r="B31" s="39"/>
      <c r="C31" s="39"/>
      <c r="D31" s="39"/>
      <c r="F31" s="39"/>
      <c r="G31" s="39"/>
      <c r="H31" s="39"/>
      <c r="I31" s="39"/>
    </row>
    <row r="32">
      <c r="A32" s="40" t="s">
        <v>186</v>
      </c>
      <c r="B32" s="39"/>
      <c r="C32" s="39"/>
      <c r="D32" s="39"/>
      <c r="F32" s="39"/>
      <c r="G32" s="39"/>
      <c r="H32" s="39"/>
      <c r="I32" s="39"/>
    </row>
    <row r="33">
      <c r="A33" s="40" t="s">
        <v>53</v>
      </c>
      <c r="B33" s="39"/>
      <c r="C33" s="39"/>
      <c r="D33" s="39"/>
      <c r="F33" s="39"/>
      <c r="G33" s="39"/>
      <c r="H33" s="39"/>
      <c r="I33" s="39"/>
    </row>
    <row r="34">
      <c r="A34" s="40" t="s">
        <v>103</v>
      </c>
      <c r="B34" s="39"/>
      <c r="C34" s="39"/>
      <c r="D34" s="39"/>
      <c r="F34" s="39"/>
      <c r="G34" s="39"/>
      <c r="H34" s="39"/>
      <c r="I34" s="39"/>
    </row>
    <row r="35">
      <c r="A35" s="40" t="s">
        <v>189</v>
      </c>
      <c r="B35" s="39"/>
      <c r="C35" s="39"/>
      <c r="D35" s="39"/>
      <c r="F35" s="39"/>
      <c r="G35" s="39"/>
      <c r="H35" s="39"/>
      <c r="I35" s="39"/>
    </row>
    <row r="36">
      <c r="A36" s="40" t="s">
        <v>369</v>
      </c>
      <c r="B36" s="39"/>
      <c r="C36" s="39"/>
      <c r="D36" s="39"/>
      <c r="F36" s="39"/>
      <c r="G36" s="39"/>
      <c r="H36" s="39"/>
      <c r="I36" s="39"/>
    </row>
    <row r="37">
      <c r="A37" s="40" t="s">
        <v>370</v>
      </c>
      <c r="B37" s="39"/>
      <c r="C37" s="39"/>
      <c r="D37" s="39"/>
      <c r="F37" s="39"/>
      <c r="G37" s="39"/>
      <c r="H37" s="39"/>
      <c r="I37" s="39"/>
    </row>
    <row r="38">
      <c r="A38" s="40" t="s">
        <v>54</v>
      </c>
      <c r="B38" s="39"/>
      <c r="C38" s="39"/>
      <c r="D38" s="39"/>
      <c r="F38" s="39"/>
      <c r="G38" s="39"/>
      <c r="H38" s="39"/>
      <c r="I38" s="39"/>
    </row>
    <row r="39">
      <c r="A39" s="40" t="s">
        <v>104</v>
      </c>
      <c r="B39" s="39"/>
      <c r="C39" s="39"/>
      <c r="D39" s="39"/>
      <c r="F39" s="39"/>
      <c r="G39" s="39"/>
      <c r="H39" s="39"/>
      <c r="I39" s="39"/>
    </row>
    <row r="40">
      <c r="A40" s="40" t="s">
        <v>184</v>
      </c>
      <c r="B40" s="39"/>
      <c r="C40" s="39"/>
      <c r="D40" s="39"/>
      <c r="F40" s="39"/>
      <c r="G40" s="39"/>
      <c r="H40" s="39"/>
      <c r="I40" s="39"/>
    </row>
    <row r="41">
      <c r="A41" s="40" t="s">
        <v>183</v>
      </c>
      <c r="B41" s="39"/>
      <c r="C41" s="39"/>
      <c r="D41" s="39"/>
      <c r="F41" s="39"/>
      <c r="G41" s="39"/>
      <c r="H41" s="39"/>
      <c r="I41" s="39"/>
    </row>
    <row r="42">
      <c r="A42" s="40" t="s">
        <v>55</v>
      </c>
      <c r="B42" s="39"/>
      <c r="C42" s="39"/>
      <c r="D42" s="39"/>
      <c r="F42" s="39"/>
      <c r="G42" s="39"/>
      <c r="H42" s="39"/>
      <c r="I42" s="39"/>
    </row>
    <row r="43">
      <c r="A43" s="40" t="s">
        <v>56</v>
      </c>
      <c r="B43" s="39"/>
      <c r="C43" s="39"/>
      <c r="D43" s="39"/>
      <c r="F43" s="39"/>
      <c r="G43" s="39"/>
      <c r="H43" s="39"/>
      <c r="I43" s="39"/>
    </row>
    <row r="44">
      <c r="B44" s="39"/>
      <c r="C44" s="39"/>
      <c r="D44" s="39"/>
      <c r="F44" s="39"/>
      <c r="G44" s="39"/>
      <c r="H44" s="39"/>
      <c r="I44" s="39"/>
    </row>
    <row r="45">
      <c r="A45" s="39"/>
      <c r="B45" s="39"/>
      <c r="C45" s="39"/>
      <c r="D45" s="39"/>
      <c r="F45" s="39"/>
      <c r="G45" s="39"/>
      <c r="H45" s="39"/>
      <c r="I45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741</v>
      </c>
      <c r="G1" s="38" t="s">
        <v>742</v>
      </c>
      <c r="H1" s="38" t="s">
        <v>743</v>
      </c>
      <c r="I1" s="38" t="s">
        <v>13</v>
      </c>
    </row>
    <row r="2">
      <c r="A2" s="38" t="s">
        <v>740</v>
      </c>
      <c r="B2" s="38" t="s">
        <v>749</v>
      </c>
      <c r="C2" s="38"/>
      <c r="D2" s="38"/>
      <c r="F2" s="40" t="s">
        <v>22</v>
      </c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</row>
    <row r="4">
      <c r="A4" s="40" t="s">
        <v>19</v>
      </c>
      <c r="B4" s="39"/>
      <c r="C4" s="39"/>
      <c r="D4" s="39"/>
      <c r="F4" s="40" t="s">
        <v>441</v>
      </c>
      <c r="G4" s="39"/>
      <c r="H4" s="39"/>
      <c r="I4" s="39"/>
    </row>
    <row r="5">
      <c r="A5" s="40" t="s">
        <v>24</v>
      </c>
      <c r="B5" s="39"/>
      <c r="C5" s="39"/>
      <c r="D5" s="39"/>
      <c r="F5" s="40" t="s">
        <v>442</v>
      </c>
      <c r="G5" s="39"/>
      <c r="H5" s="39"/>
      <c r="I5" s="39"/>
    </row>
    <row r="6">
      <c r="A6" s="40" t="s">
        <v>25</v>
      </c>
      <c r="B6" s="39"/>
      <c r="C6" s="39"/>
      <c r="D6" s="39"/>
      <c r="F6" s="40" t="s">
        <v>53</v>
      </c>
      <c r="G6" s="39"/>
      <c r="H6" s="39"/>
      <c r="I6" s="39"/>
    </row>
    <row r="7">
      <c r="A7" s="40" t="s">
        <v>64</v>
      </c>
      <c r="B7" s="39"/>
      <c r="C7" s="39"/>
      <c r="D7" s="39"/>
      <c r="F7" s="38" t="s">
        <v>55</v>
      </c>
      <c r="G7" s="39"/>
      <c r="H7" s="39"/>
      <c r="I7" s="39"/>
    </row>
    <row r="8">
      <c r="A8" s="40" t="s">
        <v>71</v>
      </c>
      <c r="B8" s="39"/>
      <c r="C8" s="39"/>
      <c r="D8" s="39"/>
      <c r="F8" s="40" t="s">
        <v>56</v>
      </c>
      <c r="G8" s="39"/>
      <c r="H8" s="39"/>
      <c r="I8" s="39"/>
    </row>
    <row r="9">
      <c r="A9" s="40" t="s">
        <v>26</v>
      </c>
      <c r="B9" s="39"/>
      <c r="C9" s="39"/>
      <c r="D9" s="39"/>
      <c r="F9" s="40" t="s">
        <v>443</v>
      </c>
      <c r="G9" s="39"/>
      <c r="H9" s="39"/>
      <c r="I9" s="39"/>
    </row>
    <row r="10">
      <c r="A10" s="40" t="s">
        <v>30</v>
      </c>
      <c r="B10" s="39"/>
      <c r="C10" s="39"/>
      <c r="D10" s="39"/>
      <c r="F10" s="40" t="s">
        <v>107</v>
      </c>
      <c r="G10" s="39"/>
      <c r="H10" s="39"/>
      <c r="I10" s="39"/>
    </row>
    <row r="11">
      <c r="A11" s="40" t="s">
        <v>27</v>
      </c>
      <c r="B11" s="39"/>
      <c r="C11" s="39"/>
      <c r="D11" s="39"/>
      <c r="F11" s="40" t="s">
        <v>54</v>
      </c>
      <c r="G11" s="39"/>
      <c r="H11" s="39"/>
      <c r="I11" s="39"/>
    </row>
    <row r="12">
      <c r="A12" s="40" t="s">
        <v>28</v>
      </c>
      <c r="B12" s="39"/>
      <c r="C12" s="39"/>
      <c r="D12" s="39"/>
      <c r="F12" s="40" t="s">
        <v>444</v>
      </c>
      <c r="G12" s="39"/>
      <c r="H12" s="39"/>
      <c r="I12" s="39"/>
    </row>
    <row r="13">
      <c r="A13" s="40" t="s">
        <v>424</v>
      </c>
      <c r="B13" s="39"/>
      <c r="C13" s="39"/>
      <c r="D13" s="39"/>
      <c r="F13" s="41"/>
      <c r="G13" s="39"/>
      <c r="H13" s="39"/>
      <c r="I13" s="39"/>
    </row>
    <row r="14">
      <c r="A14" s="40" t="s">
        <v>425</v>
      </c>
      <c r="B14" s="39"/>
      <c r="C14" s="39"/>
      <c r="D14" s="39"/>
      <c r="F14" s="40" t="s">
        <v>296</v>
      </c>
      <c r="G14" s="39"/>
      <c r="H14" s="39"/>
      <c r="I14" s="39"/>
    </row>
    <row r="15">
      <c r="A15" s="38" t="s">
        <v>465</v>
      </c>
      <c r="C15" s="39"/>
      <c r="D15" s="39"/>
      <c r="F15" s="40" t="s">
        <v>301</v>
      </c>
      <c r="G15" s="39"/>
      <c r="H15" s="39"/>
      <c r="I15" s="39"/>
    </row>
    <row r="16">
      <c r="A16" s="42" t="s">
        <v>462</v>
      </c>
      <c r="B16" s="39"/>
      <c r="C16" s="39"/>
      <c r="D16" s="39"/>
      <c r="F16" s="40" t="s">
        <v>320</v>
      </c>
      <c r="G16" s="39"/>
      <c r="H16" s="39"/>
      <c r="I16" s="39"/>
    </row>
    <row r="17">
      <c r="A17" s="38" t="s">
        <v>464</v>
      </c>
      <c r="C17" s="39"/>
      <c r="D17" s="39"/>
      <c r="F17" s="40"/>
      <c r="G17" s="39"/>
      <c r="H17" s="39"/>
      <c r="I17" s="39"/>
    </row>
    <row r="18">
      <c r="A18" s="43" t="s">
        <v>463</v>
      </c>
      <c r="B18" s="39"/>
      <c r="C18" s="39"/>
      <c r="D18" s="39"/>
      <c r="F18" s="40"/>
      <c r="G18" s="39"/>
      <c r="H18" s="39"/>
      <c r="I18" s="39"/>
    </row>
    <row r="19">
      <c r="A19" s="40" t="s">
        <v>466</v>
      </c>
      <c r="B19" s="39"/>
      <c r="C19" s="39"/>
      <c r="D19" s="39"/>
      <c r="F19" s="40"/>
      <c r="G19" s="39"/>
      <c r="H19" s="39"/>
      <c r="I19" s="39"/>
    </row>
    <row r="20">
      <c r="A20" s="40" t="s">
        <v>467</v>
      </c>
      <c r="B20" s="39"/>
      <c r="C20" s="39"/>
      <c r="D20" s="39"/>
      <c r="F20" s="40"/>
      <c r="G20" s="39"/>
      <c r="H20" s="39"/>
      <c r="I20" s="39"/>
    </row>
    <row r="21">
      <c r="A21" s="40" t="s">
        <v>468</v>
      </c>
      <c r="B21" s="39"/>
      <c r="C21" s="39"/>
      <c r="D21" s="39"/>
      <c r="F21" s="40"/>
      <c r="G21" s="39"/>
      <c r="H21" s="39"/>
      <c r="I21" s="39"/>
    </row>
    <row r="22">
      <c r="A22" s="40" t="s">
        <v>132</v>
      </c>
      <c r="B22" s="39"/>
      <c r="C22" s="39"/>
      <c r="D22" s="39"/>
      <c r="F22" s="40"/>
      <c r="G22" s="39"/>
      <c r="H22" s="39"/>
      <c r="I22" s="39"/>
    </row>
    <row r="23">
      <c r="A23" s="40" t="s">
        <v>133</v>
      </c>
      <c r="B23" s="39"/>
      <c r="C23" s="39"/>
      <c r="D23" s="39"/>
      <c r="F23" s="40"/>
      <c r="G23" s="39"/>
      <c r="H23" s="39"/>
      <c r="I23" s="39"/>
    </row>
    <row r="24">
      <c r="A24" s="40" t="s">
        <v>469</v>
      </c>
      <c r="B24" s="39"/>
      <c r="C24" s="39"/>
      <c r="D24" s="39"/>
      <c r="F24" s="40"/>
      <c r="G24" s="39"/>
      <c r="H24" s="39"/>
      <c r="I24" s="39"/>
    </row>
    <row r="25">
      <c r="A25" s="40" t="s">
        <v>135</v>
      </c>
      <c r="B25" s="39"/>
      <c r="C25" s="39"/>
      <c r="D25" s="39"/>
      <c r="F25" s="40"/>
      <c r="G25" s="39"/>
      <c r="H25" s="39"/>
      <c r="I25" s="39"/>
    </row>
    <row r="26">
      <c r="A26" s="40" t="s">
        <v>65</v>
      </c>
      <c r="B26" s="39"/>
      <c r="C26" s="39"/>
      <c r="D26" s="39"/>
      <c r="F26" s="40"/>
      <c r="G26" s="39"/>
      <c r="H26" s="39"/>
      <c r="I26" s="39"/>
    </row>
    <row r="27">
      <c r="A27" s="41"/>
      <c r="B27" s="39"/>
      <c r="C27" s="39"/>
      <c r="D27" s="39"/>
      <c r="F27" s="40" t="s">
        <v>319</v>
      </c>
      <c r="G27" s="39"/>
      <c r="H27" s="39"/>
      <c r="I27" s="39"/>
    </row>
    <row r="28">
      <c r="A28" s="40" t="s">
        <v>21</v>
      </c>
      <c r="B28" s="39"/>
      <c r="C28" s="39"/>
      <c r="D28" s="39"/>
      <c r="F28" s="38" t="s">
        <v>445</v>
      </c>
      <c r="G28" s="39"/>
      <c r="H28" s="39"/>
      <c r="I28" s="39"/>
    </row>
    <row r="29">
      <c r="A29" s="40" t="s">
        <v>470</v>
      </c>
      <c r="B29" s="39"/>
      <c r="C29" s="39"/>
      <c r="D29" s="39"/>
      <c r="F29" s="40" t="s">
        <v>191</v>
      </c>
      <c r="G29" s="39"/>
      <c r="H29" s="39"/>
      <c r="I29" s="39"/>
    </row>
    <row r="30">
      <c r="A30" s="40" t="s">
        <v>77</v>
      </c>
      <c r="B30" s="39"/>
      <c r="C30" s="39"/>
      <c r="D30" s="39"/>
      <c r="F30" s="40" t="s">
        <v>192</v>
      </c>
      <c r="G30" s="39"/>
      <c r="H30" s="39"/>
      <c r="I30" s="39"/>
    </row>
    <row r="31">
      <c r="A31" s="40" t="s">
        <v>34</v>
      </c>
      <c r="B31" s="39"/>
      <c r="C31" s="39"/>
      <c r="D31" s="39"/>
      <c r="F31" s="40" t="s">
        <v>109</v>
      </c>
      <c r="G31" s="39"/>
      <c r="H31" s="39"/>
      <c r="I31" s="39"/>
    </row>
    <row r="32">
      <c r="A32" s="40" t="s">
        <v>35</v>
      </c>
      <c r="B32" s="39"/>
      <c r="C32" s="39"/>
      <c r="D32" s="39"/>
      <c r="F32" s="40" t="s">
        <v>193</v>
      </c>
      <c r="G32" s="39"/>
      <c r="H32" s="39"/>
      <c r="I32" s="39"/>
    </row>
    <row r="33">
      <c r="A33" s="38" t="s">
        <v>429</v>
      </c>
      <c r="B33" s="39"/>
      <c r="C33" s="39"/>
      <c r="D33" s="39"/>
      <c r="F33" s="40" t="s">
        <v>446</v>
      </c>
      <c r="G33" s="39"/>
      <c r="H33" s="39"/>
      <c r="I33" s="39"/>
    </row>
    <row r="34">
      <c r="A34" s="38" t="s">
        <v>471</v>
      </c>
      <c r="B34" s="39"/>
      <c r="C34" s="39"/>
      <c r="D34" s="39"/>
      <c r="F34" s="40" t="s">
        <v>447</v>
      </c>
      <c r="G34" s="39"/>
      <c r="H34" s="39"/>
      <c r="I34" s="39"/>
    </row>
    <row r="35">
      <c r="A35" s="38" t="s">
        <v>472</v>
      </c>
      <c r="B35" s="39"/>
      <c r="C35" s="39"/>
      <c r="D35" s="39"/>
      <c r="F35" s="40" t="s">
        <v>448</v>
      </c>
      <c r="G35" s="39"/>
      <c r="H35" s="39"/>
      <c r="I35" s="39"/>
    </row>
    <row r="36">
      <c r="A36" s="40" t="s">
        <v>473</v>
      </c>
      <c r="B36" s="39"/>
      <c r="C36" s="39"/>
      <c r="D36" s="39"/>
      <c r="F36" s="41"/>
      <c r="G36" s="39"/>
      <c r="H36" s="39"/>
      <c r="I36" s="39"/>
    </row>
    <row r="37">
      <c r="A37" s="40" t="s">
        <v>474</v>
      </c>
      <c r="B37" s="39"/>
      <c r="C37" s="39"/>
      <c r="D37" s="39"/>
      <c r="F37" s="41"/>
      <c r="G37" s="39"/>
      <c r="H37" s="39"/>
      <c r="I37" s="39"/>
    </row>
    <row r="38">
      <c r="A38" s="40" t="s">
        <v>475</v>
      </c>
      <c r="B38" s="39"/>
      <c r="C38" s="39"/>
      <c r="D38" s="39"/>
      <c r="F38" s="41"/>
      <c r="G38" s="39"/>
      <c r="H38" s="39"/>
      <c r="I38" s="39"/>
    </row>
    <row r="39">
      <c r="A39" s="40" t="s">
        <v>36</v>
      </c>
      <c r="B39" s="39"/>
      <c r="C39" s="39"/>
      <c r="D39" s="39"/>
      <c r="F39" s="41"/>
      <c r="G39" s="39"/>
      <c r="H39" s="39"/>
      <c r="I39" s="39"/>
    </row>
    <row r="40">
      <c r="A40" s="40" t="s">
        <v>76</v>
      </c>
      <c r="B40" s="39"/>
      <c r="C40" s="39"/>
      <c r="D40" s="39"/>
      <c r="F40" s="41"/>
      <c r="G40" s="39"/>
      <c r="H40" s="39"/>
      <c r="I40" s="39"/>
    </row>
    <row r="41">
      <c r="A41" s="40" t="s">
        <v>137</v>
      </c>
      <c r="B41" s="39"/>
      <c r="C41" s="39"/>
      <c r="D41" s="39"/>
      <c r="F41" s="41"/>
      <c r="G41" s="39"/>
      <c r="H41" s="39"/>
      <c r="I41" s="39"/>
    </row>
    <row r="42">
      <c r="A42" s="40" t="s">
        <v>476</v>
      </c>
      <c r="B42" s="39"/>
      <c r="C42" s="39"/>
      <c r="D42" s="39"/>
      <c r="F42" s="41"/>
      <c r="G42" s="39"/>
      <c r="H42" s="39"/>
      <c r="I42" s="39"/>
    </row>
    <row r="43">
      <c r="A43" s="40" t="s">
        <v>477</v>
      </c>
      <c r="B43" s="39"/>
      <c r="C43" s="39"/>
      <c r="D43" s="39"/>
      <c r="F43" s="41"/>
      <c r="G43" s="39"/>
      <c r="H43" s="39"/>
      <c r="I43" s="39"/>
    </row>
    <row r="44">
      <c r="A44" s="40" t="s">
        <v>478</v>
      </c>
      <c r="B44" s="39"/>
      <c r="C44" s="39"/>
      <c r="D44" s="39"/>
      <c r="F44" s="41"/>
      <c r="G44" s="39"/>
      <c r="H44" s="39"/>
      <c r="I44" s="39"/>
    </row>
    <row r="45">
      <c r="A45" s="39"/>
      <c r="B45" s="39"/>
      <c r="C45" s="39"/>
      <c r="D45" s="39"/>
      <c r="F45" s="41"/>
      <c r="G45" s="39"/>
      <c r="H45" s="39"/>
      <c r="I45" s="39"/>
    </row>
    <row r="46">
      <c r="A46" s="38" t="s">
        <v>37</v>
      </c>
      <c r="B46" s="39"/>
      <c r="C46" s="39"/>
      <c r="D46" s="39"/>
      <c r="F46" s="40" t="s">
        <v>58</v>
      </c>
      <c r="G46" s="39"/>
      <c r="H46" s="39"/>
      <c r="I46" s="39"/>
    </row>
    <row r="47">
      <c r="A47" s="38" t="s">
        <v>432</v>
      </c>
      <c r="B47" s="39"/>
      <c r="C47" s="39"/>
      <c r="D47" s="39"/>
      <c r="F47" s="40" t="s">
        <v>449</v>
      </c>
      <c r="G47" s="39"/>
      <c r="H47" s="39"/>
      <c r="I47" s="39"/>
    </row>
    <row r="48">
      <c r="A48" s="38" t="s">
        <v>433</v>
      </c>
      <c r="B48" s="39"/>
      <c r="C48" s="39"/>
      <c r="D48" s="39"/>
      <c r="F48" s="40" t="s">
        <v>450</v>
      </c>
      <c r="G48" s="39"/>
      <c r="H48" s="39"/>
      <c r="I48" s="39"/>
    </row>
    <row r="49">
      <c r="A49" s="38" t="s">
        <v>434</v>
      </c>
      <c r="B49" s="39"/>
      <c r="C49" s="39"/>
      <c r="D49" s="39"/>
      <c r="F49" s="40" t="s">
        <v>451</v>
      </c>
      <c r="G49" s="39"/>
      <c r="H49" s="39"/>
      <c r="I49" s="39"/>
    </row>
    <row r="50">
      <c r="A50" s="38" t="s">
        <v>435</v>
      </c>
      <c r="B50" s="39"/>
      <c r="C50" s="39"/>
      <c r="D50" s="39"/>
      <c r="F50" s="40" t="s">
        <v>452</v>
      </c>
      <c r="G50" s="39"/>
      <c r="H50" s="39"/>
      <c r="I50" s="39"/>
    </row>
    <row r="51">
      <c r="A51" s="38" t="s">
        <v>436</v>
      </c>
      <c r="B51" s="39"/>
      <c r="C51" s="39"/>
      <c r="D51" s="39"/>
      <c r="F51" s="40" t="s">
        <v>453</v>
      </c>
      <c r="G51" s="39"/>
      <c r="H51" s="39"/>
      <c r="I51" s="39"/>
    </row>
    <row r="52">
      <c r="A52" s="40" t="s">
        <v>437</v>
      </c>
      <c r="B52" s="39"/>
      <c r="C52" s="39"/>
      <c r="D52" s="39"/>
      <c r="F52" s="40" t="s">
        <v>454</v>
      </c>
      <c r="G52" s="39"/>
      <c r="H52" s="39"/>
      <c r="I52" s="39"/>
    </row>
    <row r="53">
      <c r="A53" s="40" t="s">
        <v>438</v>
      </c>
      <c r="B53" s="39"/>
      <c r="C53" s="39"/>
      <c r="D53" s="39"/>
      <c r="F53" s="40" t="s">
        <v>455</v>
      </c>
      <c r="G53" s="39"/>
      <c r="H53" s="39"/>
      <c r="I53" s="39"/>
    </row>
    <row r="54">
      <c r="A54" s="40" t="s">
        <v>479</v>
      </c>
      <c r="B54" s="39"/>
      <c r="C54" s="39"/>
      <c r="D54" s="39"/>
      <c r="F54" s="41"/>
      <c r="G54" s="39"/>
      <c r="H54" s="39"/>
      <c r="I54" s="39"/>
    </row>
    <row r="55">
      <c r="A55" s="40" t="s">
        <v>480</v>
      </c>
      <c r="B55" s="39"/>
      <c r="C55" s="39"/>
      <c r="D55" s="39"/>
      <c r="F55" s="41"/>
      <c r="G55" s="39"/>
      <c r="H55" s="39"/>
      <c r="I55" s="39"/>
    </row>
    <row r="56">
      <c r="A56" s="40" t="s">
        <v>481</v>
      </c>
      <c r="B56" s="39"/>
      <c r="C56" s="39"/>
      <c r="D56" s="39"/>
      <c r="F56" s="41"/>
      <c r="G56" s="39"/>
      <c r="H56" s="39"/>
      <c r="I56" s="39"/>
    </row>
    <row r="57">
      <c r="A57" s="40" t="s">
        <v>482</v>
      </c>
      <c r="B57" s="39"/>
      <c r="C57" s="39"/>
      <c r="D57" s="39"/>
      <c r="F57" s="41"/>
      <c r="G57" s="39"/>
      <c r="H57" s="39"/>
      <c r="I57" s="39"/>
    </row>
    <row r="58">
      <c r="A58" s="40" t="s">
        <v>483</v>
      </c>
      <c r="B58" s="39"/>
      <c r="C58" s="39"/>
      <c r="D58" s="39"/>
      <c r="F58" s="41"/>
      <c r="G58" s="39"/>
      <c r="H58" s="39"/>
      <c r="I58" s="39"/>
    </row>
    <row r="59">
      <c r="A59" s="40" t="s">
        <v>484</v>
      </c>
      <c r="B59" s="39"/>
      <c r="C59" s="39"/>
      <c r="D59" s="39"/>
      <c r="F59" s="41"/>
      <c r="G59" s="39"/>
      <c r="H59" s="39"/>
      <c r="I59" s="39"/>
    </row>
    <row r="60">
      <c r="A60" s="40" t="s">
        <v>485</v>
      </c>
      <c r="B60" s="39"/>
      <c r="C60" s="39"/>
      <c r="D60" s="39"/>
      <c r="F60" s="41"/>
      <c r="G60" s="39"/>
      <c r="H60" s="39"/>
      <c r="I60" s="39"/>
    </row>
    <row r="61">
      <c r="A61" s="41"/>
      <c r="B61" s="39"/>
      <c r="C61" s="39"/>
      <c r="D61" s="39"/>
      <c r="F61" s="41"/>
      <c r="G61" s="39"/>
      <c r="H61" s="39"/>
      <c r="I61" s="39"/>
    </row>
    <row r="62">
      <c r="A62" s="40" t="s">
        <v>39</v>
      </c>
      <c r="B62" s="39"/>
      <c r="C62" s="39"/>
      <c r="D62" s="39"/>
      <c r="F62" s="40" t="s">
        <v>59</v>
      </c>
      <c r="G62" s="39"/>
      <c r="H62" s="39"/>
      <c r="I62" s="39"/>
    </row>
    <row r="63">
      <c r="A63" s="40" t="s">
        <v>80</v>
      </c>
      <c r="B63" s="39"/>
      <c r="C63" s="39"/>
      <c r="D63" s="39"/>
      <c r="F63" s="40"/>
      <c r="G63" s="39"/>
      <c r="H63" s="39"/>
      <c r="I63" s="39"/>
    </row>
    <row r="64">
      <c r="A64" s="40" t="s">
        <v>487</v>
      </c>
      <c r="B64" s="39"/>
      <c r="C64" s="39"/>
      <c r="D64" s="39"/>
      <c r="F64" s="40"/>
      <c r="G64" s="39"/>
      <c r="H64" s="39"/>
      <c r="I64" s="39"/>
    </row>
    <row r="65">
      <c r="A65" s="41"/>
      <c r="B65" s="39"/>
      <c r="C65" s="39"/>
      <c r="D65" s="39"/>
      <c r="F65" s="40" t="s">
        <v>456</v>
      </c>
      <c r="G65" s="39"/>
      <c r="H65" s="39"/>
      <c r="I65" s="39"/>
    </row>
    <row r="66">
      <c r="A66" s="40" t="s">
        <v>41</v>
      </c>
      <c r="B66" s="39"/>
      <c r="C66" s="39"/>
      <c r="D66" s="39"/>
      <c r="F66" s="40" t="s">
        <v>457</v>
      </c>
      <c r="G66" s="39"/>
      <c r="H66" s="39"/>
      <c r="I66" s="39"/>
    </row>
    <row r="67">
      <c r="A67" s="11" t="s">
        <v>149</v>
      </c>
      <c r="B67" s="39"/>
      <c r="C67" s="39"/>
      <c r="D67" s="39"/>
      <c r="F67" s="41"/>
      <c r="G67" s="39"/>
      <c r="H67" s="39"/>
      <c r="I67" s="39"/>
    </row>
    <row r="68">
      <c r="A68" s="41"/>
      <c r="B68" s="39"/>
      <c r="C68" s="39"/>
      <c r="D68" s="39"/>
      <c r="F68" s="39"/>
      <c r="G68" s="39"/>
      <c r="H68" s="39"/>
      <c r="I68" s="39"/>
    </row>
    <row r="69">
      <c r="A69" s="40" t="s">
        <v>365</v>
      </c>
      <c r="B69" s="39"/>
      <c r="C69" s="39"/>
      <c r="D69" s="39"/>
      <c r="F69" s="39"/>
      <c r="G69" s="39"/>
      <c r="H69" s="39"/>
      <c r="I69" s="39"/>
    </row>
    <row r="70">
      <c r="A70" s="38" t="s">
        <v>439</v>
      </c>
      <c r="B70" s="39"/>
      <c r="C70" s="39"/>
      <c r="D70" s="39"/>
      <c r="F70" s="39"/>
      <c r="G70" s="39"/>
      <c r="H70" s="39"/>
      <c r="I70" s="39"/>
    </row>
    <row r="71">
      <c r="A71" s="38" t="s">
        <v>440</v>
      </c>
      <c r="B71" s="39"/>
      <c r="C71" s="39"/>
      <c r="D71" s="39"/>
      <c r="F71" s="39"/>
      <c r="G71" s="39"/>
      <c r="H71" s="39"/>
      <c r="I71" s="39"/>
    </row>
    <row r="72">
      <c r="A72" s="40"/>
      <c r="B72" s="39"/>
      <c r="C72" s="39"/>
      <c r="D72" s="39"/>
      <c r="F72" s="41"/>
      <c r="G72" s="39"/>
      <c r="H72" s="39"/>
      <c r="I72" s="39"/>
    </row>
    <row r="73">
      <c r="B73" s="39"/>
      <c r="C73" s="39"/>
      <c r="D73" s="39"/>
      <c r="F73" s="39"/>
      <c r="G73" s="39"/>
      <c r="H73" s="39"/>
      <c r="I73" s="39"/>
    </row>
    <row r="74">
      <c r="A74" s="39"/>
      <c r="B74" s="39"/>
      <c r="C74" s="39"/>
      <c r="D74" s="39"/>
      <c r="F74" s="39"/>
      <c r="G74" s="39"/>
      <c r="H74" s="39"/>
      <c r="I74" s="39"/>
    </row>
    <row r="76">
      <c r="A76" s="38" t="s">
        <v>18</v>
      </c>
      <c r="B76" s="39"/>
      <c r="C76" s="39"/>
      <c r="D76" s="39"/>
      <c r="F76" s="38" t="s">
        <v>18</v>
      </c>
      <c r="G76" s="39"/>
      <c r="H76" s="39"/>
      <c r="I76" s="39"/>
    </row>
    <row r="77">
      <c r="A77" s="38" t="s">
        <v>740</v>
      </c>
      <c r="B77" s="38" t="s">
        <v>749</v>
      </c>
      <c r="C77" s="38"/>
      <c r="D77" s="38"/>
      <c r="F77" s="38" t="s">
        <v>740</v>
      </c>
      <c r="G77" s="38" t="s">
        <v>749</v>
      </c>
      <c r="H77" s="38"/>
      <c r="I77" s="38"/>
    </row>
    <row r="78">
      <c r="A78" s="38" t="s">
        <v>741</v>
      </c>
      <c r="B78" s="38" t="s">
        <v>742</v>
      </c>
      <c r="C78" s="38" t="s">
        <v>743</v>
      </c>
      <c r="D78" s="38" t="s">
        <v>13</v>
      </c>
      <c r="F78" s="38" t="s">
        <v>741</v>
      </c>
      <c r="G78" s="38" t="s">
        <v>742</v>
      </c>
      <c r="H78" s="38" t="s">
        <v>743</v>
      </c>
      <c r="I78" s="38" t="s">
        <v>13</v>
      </c>
    </row>
    <row r="79">
      <c r="B79" s="39"/>
      <c r="C79" s="39"/>
      <c r="D79" s="39"/>
      <c r="F79" s="40"/>
      <c r="G79" s="39"/>
      <c r="H79" s="39"/>
      <c r="I79" s="39"/>
    </row>
    <row r="80">
      <c r="A80" s="40"/>
      <c r="B80" s="39"/>
      <c r="C80" s="39"/>
      <c r="D80" s="39"/>
      <c r="F80" s="40"/>
      <c r="G80" s="39"/>
      <c r="H80" s="39"/>
      <c r="I80" s="39"/>
    </row>
    <row r="81">
      <c r="A81" s="40"/>
      <c r="B81" s="39"/>
      <c r="C81" s="39"/>
      <c r="D81" s="39"/>
      <c r="F81" s="40" t="s">
        <v>461</v>
      </c>
      <c r="G81" s="39"/>
      <c r="H81" s="39"/>
      <c r="I81" s="39"/>
    </row>
    <row r="82">
      <c r="A82" s="40"/>
      <c r="B82" s="39"/>
      <c r="C82" s="39"/>
      <c r="D82" s="39"/>
      <c r="F82" s="40"/>
      <c r="G82" s="39"/>
      <c r="H82" s="39"/>
      <c r="I82" s="39"/>
    </row>
    <row r="83">
      <c r="A83" s="40"/>
      <c r="B83" s="39"/>
      <c r="C83" s="39"/>
      <c r="D83" s="39"/>
      <c r="F83" s="40"/>
      <c r="G83" s="39"/>
      <c r="H83" s="39"/>
      <c r="I83" s="39"/>
    </row>
    <row r="84">
      <c r="A84" s="40"/>
      <c r="B84" s="39"/>
      <c r="C84" s="39"/>
      <c r="D84" s="39"/>
      <c r="F84" s="40"/>
      <c r="G84" s="39"/>
      <c r="H84" s="39"/>
      <c r="I84" s="39"/>
    </row>
    <row r="85">
      <c r="A85" s="40"/>
      <c r="B85" s="39"/>
      <c r="C85" s="39"/>
      <c r="D85" s="39"/>
      <c r="F85" s="40"/>
      <c r="G85" s="39"/>
      <c r="H85" s="39"/>
      <c r="I85" s="39"/>
    </row>
    <row r="86">
      <c r="A86" s="40"/>
      <c r="B86" s="39"/>
      <c r="C86" s="39"/>
      <c r="D86" s="39"/>
      <c r="F86" s="40"/>
      <c r="G86" s="39"/>
      <c r="H86" s="39"/>
      <c r="I86" s="39"/>
    </row>
    <row r="87">
      <c r="A87" s="40"/>
      <c r="B87" s="39"/>
      <c r="C87" s="39"/>
      <c r="D87" s="39"/>
      <c r="F87" s="40"/>
      <c r="G87" s="39"/>
      <c r="H87" s="39"/>
      <c r="I87" s="39"/>
    </row>
    <row r="88">
      <c r="A88" s="40"/>
      <c r="B88" s="39"/>
      <c r="C88" s="39"/>
      <c r="D88" s="39"/>
      <c r="F88" s="40"/>
      <c r="G88" s="39"/>
      <c r="H88" s="39"/>
      <c r="I88" s="39"/>
    </row>
    <row r="89">
      <c r="A89" s="40"/>
      <c r="B89" s="39"/>
      <c r="C89" s="39"/>
      <c r="D89" s="39"/>
      <c r="F89" s="40"/>
      <c r="G89" s="39"/>
      <c r="H89" s="39"/>
      <c r="I89" s="39"/>
    </row>
    <row r="90">
      <c r="A90" s="40"/>
      <c r="B90" s="39"/>
      <c r="C90" s="39"/>
      <c r="D90" s="39"/>
      <c r="F90" s="40"/>
      <c r="G90" s="39"/>
      <c r="H90" s="39"/>
      <c r="I90" s="39"/>
    </row>
    <row r="91">
      <c r="A91" s="40"/>
      <c r="B91" s="39"/>
      <c r="C91" s="39"/>
      <c r="D91" s="39"/>
      <c r="F91" s="40"/>
      <c r="G91" s="39"/>
      <c r="H91" s="39"/>
      <c r="I91" s="39"/>
    </row>
    <row r="92">
      <c r="A92" s="41"/>
      <c r="B92" s="39"/>
      <c r="C92" s="39"/>
      <c r="D92" s="39"/>
      <c r="F92" s="41"/>
      <c r="G92" s="39"/>
      <c r="H92" s="39"/>
      <c r="I92" s="39"/>
    </row>
    <row r="93">
      <c r="A93" s="40"/>
      <c r="B93" s="39"/>
      <c r="C93" s="39"/>
      <c r="D93" s="39"/>
      <c r="F93" s="40"/>
      <c r="G93" s="39"/>
      <c r="H93" s="39"/>
      <c r="I93" s="39"/>
    </row>
    <row r="94">
      <c r="A94" s="40"/>
      <c r="B94" s="39"/>
      <c r="C94" s="39"/>
      <c r="D94" s="39"/>
      <c r="F94" s="40"/>
      <c r="G94" s="39"/>
      <c r="H94" s="39"/>
      <c r="I94" s="39"/>
    </row>
    <row r="95">
      <c r="A95" s="40"/>
      <c r="B95" s="39"/>
      <c r="C95" s="39"/>
      <c r="D95" s="39"/>
      <c r="F95" s="40"/>
      <c r="G95" s="39"/>
      <c r="H95" s="39"/>
      <c r="I95" s="39"/>
    </row>
    <row r="96">
      <c r="A96" s="40"/>
      <c r="B96" s="39"/>
      <c r="C96" s="39"/>
      <c r="D96" s="39"/>
      <c r="F96" s="40"/>
      <c r="G96" s="39"/>
      <c r="H96" s="39"/>
      <c r="I96" s="39"/>
    </row>
    <row r="97">
      <c r="A97" s="40"/>
      <c r="B97" s="39"/>
      <c r="C97" s="39"/>
      <c r="D97" s="39"/>
      <c r="F97" s="40"/>
      <c r="G97" s="39"/>
      <c r="H97" s="39"/>
      <c r="I97" s="39"/>
    </row>
    <row r="98">
      <c r="A98" s="38"/>
      <c r="B98" s="39"/>
      <c r="C98" s="39"/>
      <c r="D98" s="39"/>
      <c r="F98" s="38"/>
      <c r="G98" s="39"/>
      <c r="H98" s="39"/>
      <c r="I98" s="39"/>
    </row>
    <row r="99">
      <c r="A99" s="38"/>
      <c r="B99" s="39"/>
      <c r="C99" s="39"/>
      <c r="D99" s="39"/>
      <c r="F99" s="38"/>
      <c r="G99" s="39"/>
      <c r="H99" s="39"/>
      <c r="I99" s="39"/>
    </row>
    <row r="100">
      <c r="A100" s="38"/>
      <c r="B100" s="39"/>
      <c r="C100" s="39"/>
      <c r="D100" s="39"/>
      <c r="F100" s="38"/>
      <c r="G100" s="39"/>
      <c r="H100" s="39"/>
      <c r="I100" s="39"/>
    </row>
    <row r="101">
      <c r="A101" s="39"/>
      <c r="B101" s="39"/>
      <c r="C101" s="39"/>
      <c r="D101" s="39"/>
      <c r="F101" s="39"/>
      <c r="G101" s="39"/>
      <c r="H101" s="39"/>
      <c r="I101" s="39"/>
    </row>
    <row r="102">
      <c r="A102" s="38"/>
      <c r="B102" s="39"/>
      <c r="C102" s="39"/>
      <c r="D102" s="39"/>
      <c r="F102" s="38"/>
      <c r="G102" s="39"/>
      <c r="H102" s="39"/>
      <c r="I102" s="39"/>
    </row>
    <row r="103">
      <c r="A103" s="38"/>
      <c r="B103" s="39"/>
      <c r="C103" s="39"/>
      <c r="D103" s="39"/>
      <c r="F103" s="38"/>
      <c r="G103" s="39"/>
      <c r="H103" s="39"/>
      <c r="I103" s="39"/>
    </row>
    <row r="104">
      <c r="A104" s="38"/>
      <c r="B104" s="39"/>
      <c r="C104" s="39"/>
      <c r="D104" s="39"/>
      <c r="F104" s="38"/>
      <c r="G104" s="39"/>
      <c r="H104" s="39"/>
      <c r="I104" s="39"/>
    </row>
    <row r="105">
      <c r="A105" s="38"/>
      <c r="B105" s="39"/>
      <c r="C105" s="39"/>
      <c r="D105" s="39"/>
      <c r="F105" s="38"/>
      <c r="G105" s="39"/>
      <c r="H105" s="39"/>
      <c r="I105" s="39"/>
    </row>
    <row r="106">
      <c r="A106" s="38"/>
      <c r="B106" s="39"/>
      <c r="C106" s="39"/>
      <c r="D106" s="39"/>
      <c r="F106" s="38"/>
      <c r="G106" s="39"/>
      <c r="H106" s="39"/>
      <c r="I106" s="39"/>
    </row>
    <row r="107">
      <c r="A107" s="38"/>
      <c r="B107" s="39"/>
      <c r="C107" s="39"/>
      <c r="D107" s="39"/>
      <c r="F107" s="38"/>
      <c r="G107" s="39"/>
      <c r="H107" s="39"/>
      <c r="I107" s="39"/>
    </row>
    <row r="108">
      <c r="A108" s="40"/>
      <c r="B108" s="39"/>
      <c r="C108" s="39"/>
      <c r="D108" s="39"/>
      <c r="F108" s="40"/>
      <c r="G108" s="39"/>
      <c r="H108" s="39"/>
      <c r="I108" s="39"/>
    </row>
    <row r="109">
      <c r="A109" s="40"/>
      <c r="B109" s="39"/>
      <c r="C109" s="39"/>
      <c r="D109" s="39"/>
      <c r="F109" s="40"/>
      <c r="G109" s="39"/>
      <c r="H109" s="39"/>
      <c r="I109" s="39"/>
    </row>
    <row r="110">
      <c r="A110" s="41"/>
      <c r="B110" s="39"/>
      <c r="C110" s="39"/>
      <c r="D110" s="39"/>
      <c r="F110" s="41"/>
      <c r="G110" s="39"/>
      <c r="H110" s="39"/>
      <c r="I110" s="39"/>
    </row>
    <row r="111">
      <c r="A111" s="40"/>
      <c r="B111" s="39"/>
      <c r="C111" s="39"/>
      <c r="D111" s="39"/>
      <c r="F111" s="40"/>
      <c r="G111" s="39"/>
      <c r="H111" s="39"/>
      <c r="I111" s="39"/>
    </row>
    <row r="112">
      <c r="A112" s="41"/>
      <c r="B112" s="39"/>
      <c r="C112" s="39"/>
      <c r="D112" s="39"/>
      <c r="F112" s="41"/>
      <c r="G112" s="39"/>
      <c r="H112" s="39"/>
      <c r="I112" s="39"/>
    </row>
    <row r="113">
      <c r="A113" s="40"/>
      <c r="B113" s="39"/>
      <c r="C113" s="39"/>
      <c r="D113" s="39"/>
      <c r="F113" s="40"/>
      <c r="G113" s="39"/>
      <c r="H113" s="39"/>
      <c r="I113" s="39"/>
    </row>
    <row r="114">
      <c r="A114" s="41"/>
      <c r="B114" s="39"/>
      <c r="C114" s="39"/>
      <c r="D114" s="39"/>
      <c r="F114" s="41"/>
      <c r="G114" s="39"/>
      <c r="H114" s="39"/>
      <c r="I114" s="39"/>
    </row>
    <row r="115">
      <c r="A115" s="40"/>
      <c r="B115" s="39"/>
      <c r="C115" s="39"/>
      <c r="D115" s="39"/>
      <c r="F115" s="40"/>
      <c r="G115" s="39"/>
      <c r="H115" s="39"/>
      <c r="I115" s="39"/>
    </row>
    <row r="116">
      <c r="A116" s="41"/>
      <c r="B116" s="39"/>
      <c r="C116" s="39"/>
      <c r="D116" s="39"/>
      <c r="F116" s="38"/>
      <c r="G116" s="39"/>
      <c r="H116" s="39"/>
      <c r="I116" s="39"/>
    </row>
    <row r="117">
      <c r="A117" s="40" t="s">
        <v>458</v>
      </c>
      <c r="B117" s="39"/>
      <c r="C117" s="39"/>
      <c r="D117" s="39"/>
      <c r="F117" s="38"/>
      <c r="G117" s="39"/>
      <c r="H117" s="39"/>
      <c r="I117" s="39"/>
    </row>
    <row r="118">
      <c r="A118" s="40" t="s">
        <v>459</v>
      </c>
      <c r="B118" s="39"/>
      <c r="C118" s="39"/>
      <c r="D118" s="39"/>
      <c r="F118" s="40"/>
      <c r="G118" s="39"/>
      <c r="H118" s="39"/>
      <c r="I118" s="39"/>
    </row>
    <row r="119">
      <c r="A119" s="40" t="s">
        <v>460</v>
      </c>
      <c r="B119" s="39"/>
      <c r="C119" s="39"/>
      <c r="D119" s="39"/>
      <c r="G119" s="39"/>
      <c r="H119" s="39"/>
      <c r="I119" s="39"/>
    </row>
    <row r="120">
      <c r="A120" s="39"/>
      <c r="B120" s="39"/>
      <c r="C120" s="39"/>
      <c r="D120" s="39"/>
      <c r="F120" s="39"/>
      <c r="G120" s="39"/>
      <c r="H120" s="39"/>
      <c r="I120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18</v>
      </c>
      <c r="G1" s="39"/>
      <c r="H1" s="39"/>
      <c r="I1" s="39"/>
    </row>
    <row r="2">
      <c r="A2" s="38" t="s">
        <v>740</v>
      </c>
      <c r="B2" s="38" t="s">
        <v>750</v>
      </c>
      <c r="C2" s="38"/>
      <c r="D2" s="38"/>
      <c r="F2" s="38"/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38" t="s">
        <v>741</v>
      </c>
      <c r="G3" s="38" t="s">
        <v>742</v>
      </c>
      <c r="H3" s="38" t="s">
        <v>743</v>
      </c>
      <c r="I3" s="38" t="s">
        <v>13</v>
      </c>
    </row>
    <row r="4">
      <c r="A4" s="40" t="s">
        <v>19</v>
      </c>
      <c r="B4" s="39"/>
      <c r="C4" s="39"/>
      <c r="D4" s="39"/>
      <c r="F4" s="40" t="s">
        <v>43</v>
      </c>
      <c r="G4" s="39"/>
      <c r="H4" s="39"/>
      <c r="I4" s="39"/>
    </row>
    <row r="5">
      <c r="A5" s="40" t="s">
        <v>24</v>
      </c>
      <c r="B5" s="39"/>
      <c r="C5" s="39"/>
      <c r="D5" s="39"/>
      <c r="F5" s="39"/>
      <c r="G5" s="39"/>
      <c r="H5" s="39"/>
      <c r="I5" s="39"/>
    </row>
    <row r="6">
      <c r="A6" s="40" t="s">
        <v>25</v>
      </c>
      <c r="B6" s="39"/>
      <c r="C6" s="39"/>
      <c r="D6" s="39"/>
      <c r="F6" s="40" t="s">
        <v>22</v>
      </c>
      <c r="G6" s="39"/>
      <c r="H6" s="39"/>
      <c r="I6" s="39"/>
    </row>
    <row r="7">
      <c r="A7" s="40" t="s">
        <v>27</v>
      </c>
      <c r="B7" s="39"/>
      <c r="C7" s="39"/>
      <c r="D7" s="39"/>
      <c r="F7" s="40" t="s">
        <v>52</v>
      </c>
      <c r="G7" s="39"/>
      <c r="H7" s="39"/>
      <c r="I7" s="39"/>
    </row>
    <row r="8">
      <c r="A8" s="40" t="s">
        <v>28</v>
      </c>
      <c r="B8" s="39"/>
      <c r="C8" s="39"/>
      <c r="D8" s="39"/>
      <c r="F8" s="40" t="s">
        <v>318</v>
      </c>
      <c r="G8" s="39"/>
      <c r="H8" s="39"/>
      <c r="I8" s="39"/>
    </row>
    <row r="9">
      <c r="A9" s="40" t="s">
        <v>66</v>
      </c>
      <c r="B9" s="39"/>
      <c r="C9" s="39"/>
      <c r="D9" s="39"/>
      <c r="F9" s="40" t="s">
        <v>53</v>
      </c>
      <c r="G9" s="39"/>
      <c r="H9" s="39"/>
      <c r="I9" s="39"/>
    </row>
    <row r="10">
      <c r="A10" s="40" t="s">
        <v>425</v>
      </c>
      <c r="B10" s="39"/>
      <c r="C10" s="39"/>
      <c r="D10" s="39"/>
      <c r="F10" s="40" t="s">
        <v>103</v>
      </c>
      <c r="G10" s="39"/>
      <c r="H10" s="39"/>
      <c r="I10" s="39"/>
    </row>
    <row r="11">
      <c r="A11" s="40" t="s">
        <v>465</v>
      </c>
      <c r="B11" s="39"/>
      <c r="C11" s="39"/>
      <c r="D11" s="39"/>
      <c r="F11" s="40" t="s">
        <v>102</v>
      </c>
      <c r="G11" s="39"/>
      <c r="H11" s="39"/>
      <c r="I11" s="39"/>
    </row>
    <row r="12">
      <c r="A12" s="40" t="s">
        <v>30</v>
      </c>
      <c r="B12" s="39"/>
      <c r="C12" s="39"/>
      <c r="D12" s="39"/>
      <c r="F12" s="40" t="s">
        <v>54</v>
      </c>
      <c r="G12" s="39"/>
      <c r="H12" s="39"/>
      <c r="I12" s="39"/>
    </row>
    <row r="13">
      <c r="A13" s="40" t="s">
        <v>26</v>
      </c>
      <c r="B13" s="39"/>
      <c r="C13" s="39"/>
      <c r="D13" s="39"/>
      <c r="F13" s="40" t="s">
        <v>104</v>
      </c>
      <c r="G13" s="39"/>
      <c r="H13" s="39"/>
      <c r="I13" s="39"/>
    </row>
    <row r="14">
      <c r="A14" s="41"/>
      <c r="B14" s="39"/>
      <c r="C14" s="39"/>
      <c r="D14" s="39"/>
      <c r="F14" s="40" t="s">
        <v>55</v>
      </c>
      <c r="G14" s="39"/>
      <c r="H14" s="39"/>
      <c r="I14" s="39"/>
    </row>
    <row r="15">
      <c r="A15" s="40" t="s">
        <v>21</v>
      </c>
      <c r="B15" s="39"/>
      <c r="C15" s="39"/>
      <c r="D15" s="39"/>
      <c r="F15" s="40" t="s">
        <v>56</v>
      </c>
      <c r="G15" s="39"/>
      <c r="H15" s="39"/>
      <c r="I15" s="39"/>
    </row>
    <row r="16">
      <c r="A16" s="40" t="s">
        <v>32</v>
      </c>
      <c r="B16" s="39"/>
      <c r="C16" s="39"/>
      <c r="D16" s="39"/>
      <c r="F16" s="40" t="s">
        <v>106</v>
      </c>
      <c r="G16" s="39"/>
      <c r="H16" s="39"/>
      <c r="I16" s="39"/>
    </row>
    <row r="17">
      <c r="A17" s="40" t="s">
        <v>33</v>
      </c>
      <c r="B17" s="39"/>
      <c r="C17" s="39"/>
      <c r="D17" s="39"/>
      <c r="F17" s="41"/>
      <c r="G17" s="39"/>
      <c r="H17" s="39"/>
      <c r="I17" s="39"/>
    </row>
    <row r="18">
      <c r="A18" s="40" t="s">
        <v>430</v>
      </c>
      <c r="B18" s="39"/>
      <c r="C18" s="39"/>
      <c r="D18" s="39"/>
      <c r="F18" s="40" t="s">
        <v>296</v>
      </c>
      <c r="G18" s="39"/>
      <c r="H18" s="39"/>
      <c r="I18" s="39"/>
    </row>
    <row r="19">
      <c r="A19" s="40" t="s">
        <v>624</v>
      </c>
      <c r="B19" s="39"/>
      <c r="C19" s="39"/>
      <c r="D19" s="39"/>
      <c r="F19" s="40" t="s">
        <v>301</v>
      </c>
      <c r="G19" s="39"/>
      <c r="H19" s="39"/>
      <c r="I19" s="39"/>
    </row>
    <row r="20">
      <c r="A20" s="40" t="s">
        <v>34</v>
      </c>
      <c r="B20" s="39"/>
      <c r="C20" s="39"/>
      <c r="D20" s="39"/>
      <c r="F20" s="40" t="s">
        <v>319</v>
      </c>
      <c r="G20" s="39"/>
      <c r="H20" s="39"/>
      <c r="I20" s="39"/>
    </row>
    <row r="21">
      <c r="A21" s="41"/>
      <c r="B21" s="39"/>
      <c r="C21" s="39"/>
      <c r="D21" s="39"/>
      <c r="F21" s="40" t="s">
        <v>191</v>
      </c>
      <c r="G21" s="39"/>
      <c r="H21" s="39"/>
      <c r="I21" s="39"/>
    </row>
    <row r="22">
      <c r="A22" s="40" t="s">
        <v>37</v>
      </c>
      <c r="B22" s="39"/>
      <c r="C22" s="39"/>
      <c r="D22" s="39"/>
      <c r="F22" s="40" t="s">
        <v>109</v>
      </c>
      <c r="G22" s="39"/>
      <c r="H22" s="39"/>
      <c r="I22" s="39"/>
    </row>
    <row r="23">
      <c r="A23" s="40" t="s">
        <v>38</v>
      </c>
      <c r="B23" s="39"/>
      <c r="C23" s="39"/>
      <c r="D23" s="39"/>
      <c r="F23" s="41"/>
      <c r="G23" s="39"/>
      <c r="H23" s="39"/>
      <c r="I23" s="39"/>
    </row>
    <row r="24">
      <c r="A24" s="40" t="s">
        <v>78</v>
      </c>
      <c r="B24" s="39"/>
      <c r="C24" s="39"/>
      <c r="D24" s="39"/>
      <c r="F24" s="40" t="s">
        <v>58</v>
      </c>
      <c r="G24" s="39"/>
      <c r="H24" s="39"/>
      <c r="I24" s="39"/>
    </row>
    <row r="25">
      <c r="A25" s="40" t="s">
        <v>436</v>
      </c>
      <c r="B25" s="39"/>
      <c r="C25" s="39"/>
      <c r="D25" s="39"/>
      <c r="F25" s="40" t="s">
        <v>449</v>
      </c>
      <c r="G25" s="39"/>
      <c r="H25" s="39"/>
      <c r="I25" s="39"/>
    </row>
    <row r="26">
      <c r="A26" s="40" t="s">
        <v>437</v>
      </c>
      <c r="B26" s="39"/>
      <c r="C26" s="39"/>
      <c r="D26" s="39"/>
      <c r="F26" s="40" t="s">
        <v>450</v>
      </c>
      <c r="G26" s="39"/>
      <c r="H26" s="39"/>
      <c r="I26" s="39"/>
    </row>
    <row r="27">
      <c r="A27" s="40" t="s">
        <v>625</v>
      </c>
      <c r="B27" s="39"/>
      <c r="C27" s="39"/>
      <c r="D27" s="39"/>
      <c r="F27" s="40" t="s">
        <v>451</v>
      </c>
      <c r="G27" s="39"/>
      <c r="H27" s="39"/>
      <c r="I27" s="39"/>
    </row>
    <row r="28">
      <c r="A28" s="40" t="s">
        <v>532</v>
      </c>
      <c r="B28" s="39"/>
      <c r="C28" s="39"/>
      <c r="D28" s="39"/>
      <c r="F28" s="40" t="s">
        <v>453</v>
      </c>
      <c r="G28" s="39"/>
      <c r="H28" s="39"/>
      <c r="I28" s="39"/>
    </row>
    <row r="29">
      <c r="A29" s="40" t="s">
        <v>434</v>
      </c>
      <c r="B29" s="39"/>
      <c r="C29" s="39"/>
      <c r="D29" s="39"/>
      <c r="F29" s="40" t="s">
        <v>454</v>
      </c>
      <c r="G29" s="39"/>
      <c r="H29" s="39"/>
      <c r="I29" s="39"/>
    </row>
    <row r="30">
      <c r="A30" s="41"/>
      <c r="B30" s="39"/>
      <c r="C30" s="39"/>
      <c r="D30" s="39"/>
      <c r="F30" s="41"/>
      <c r="G30" s="39"/>
      <c r="H30" s="39"/>
      <c r="I30" s="39"/>
    </row>
    <row r="31">
      <c r="A31" s="40" t="s">
        <v>39</v>
      </c>
      <c r="B31" s="39"/>
      <c r="C31" s="39"/>
      <c r="D31" s="39"/>
      <c r="F31" s="40" t="s">
        <v>627</v>
      </c>
      <c r="G31" s="39"/>
      <c r="H31" s="39"/>
      <c r="I31" s="39"/>
    </row>
    <row r="32">
      <c r="A32" s="40" t="s">
        <v>79</v>
      </c>
      <c r="B32" s="39"/>
      <c r="C32" s="39"/>
      <c r="D32" s="39"/>
      <c r="F32" s="40" t="s">
        <v>628</v>
      </c>
      <c r="G32" s="39"/>
      <c r="H32" s="39"/>
      <c r="I32" s="39"/>
    </row>
    <row r="33">
      <c r="A33" s="41"/>
      <c r="B33" s="39"/>
      <c r="C33" s="39"/>
      <c r="D33" s="39"/>
      <c r="F33" s="40" t="s">
        <v>629</v>
      </c>
      <c r="G33" s="39"/>
      <c r="H33" s="39"/>
      <c r="I33" s="39"/>
    </row>
    <row r="34">
      <c r="A34" s="40" t="s">
        <v>41</v>
      </c>
      <c r="B34" s="39"/>
      <c r="C34" s="39"/>
      <c r="D34" s="39"/>
      <c r="F34" s="40" t="s">
        <v>630</v>
      </c>
      <c r="G34" s="39"/>
      <c r="H34" s="39"/>
      <c r="I34" s="39"/>
    </row>
    <row r="35">
      <c r="A35" s="40" t="s">
        <v>626</v>
      </c>
      <c r="B35" s="39"/>
      <c r="C35" s="39"/>
      <c r="D35" s="39"/>
      <c r="F35" s="41"/>
      <c r="G35" s="39"/>
      <c r="H35" s="39"/>
      <c r="I35" s="39"/>
    </row>
    <row r="36">
      <c r="A36" s="40" t="s">
        <v>309</v>
      </c>
      <c r="B36" s="39"/>
      <c r="C36" s="39"/>
      <c r="D36" s="39"/>
      <c r="F36" s="40" t="s">
        <v>458</v>
      </c>
      <c r="G36" s="39"/>
      <c r="H36" s="39"/>
      <c r="I36" s="39"/>
    </row>
    <row r="37">
      <c r="A37" s="41"/>
      <c r="B37" s="39"/>
      <c r="C37" s="39"/>
      <c r="D37" s="39"/>
      <c r="F37" s="40" t="s">
        <v>513</v>
      </c>
      <c r="G37" s="39"/>
      <c r="H37" s="39"/>
      <c r="I37" s="39"/>
    </row>
    <row r="38">
      <c r="A38" s="40" t="s">
        <v>42</v>
      </c>
      <c r="B38" s="39"/>
      <c r="C38" s="39"/>
      <c r="D38" s="39"/>
      <c r="F38" s="40" t="s">
        <v>578</v>
      </c>
      <c r="G38" s="39"/>
      <c r="H38" s="39"/>
      <c r="I38" s="39"/>
    </row>
    <row r="39">
      <c r="A39" s="40" t="s">
        <v>81</v>
      </c>
      <c r="B39" s="39"/>
      <c r="C39" s="39"/>
      <c r="D39" s="39"/>
      <c r="F39" s="40" t="s">
        <v>631</v>
      </c>
      <c r="G39" s="39"/>
      <c r="H39" s="39"/>
      <c r="I39" s="39"/>
    </row>
    <row r="40">
      <c r="A40" s="40" t="s">
        <v>82</v>
      </c>
      <c r="B40" s="39"/>
      <c r="C40" s="39"/>
      <c r="D40" s="39"/>
      <c r="F40" s="40" t="s">
        <v>581</v>
      </c>
      <c r="G40" s="39"/>
      <c r="H40" s="39"/>
      <c r="I40" s="39"/>
    </row>
    <row r="41">
      <c r="A41" s="40" t="s">
        <v>83</v>
      </c>
      <c r="B41" s="39"/>
      <c r="C41" s="39"/>
      <c r="D41" s="39"/>
      <c r="F41" s="41"/>
      <c r="G41" s="39"/>
      <c r="H41" s="39"/>
      <c r="I41" s="39"/>
    </row>
    <row r="42">
      <c r="A42" s="40" t="s">
        <v>375</v>
      </c>
      <c r="B42" s="39"/>
      <c r="C42" s="39"/>
      <c r="D42" s="39"/>
      <c r="F42" s="40" t="s">
        <v>61</v>
      </c>
      <c r="G42" s="39"/>
      <c r="H42" s="39"/>
      <c r="I42" s="39"/>
    </row>
    <row r="43">
      <c r="A43" s="41"/>
      <c r="B43" s="39"/>
      <c r="C43" s="39"/>
      <c r="D43" s="39"/>
      <c r="F43" s="40" t="s">
        <v>113</v>
      </c>
      <c r="G43" s="39"/>
      <c r="H43" s="39"/>
      <c r="I43" s="39"/>
    </row>
    <row r="44">
      <c r="B44" s="39"/>
      <c r="C44" s="39"/>
      <c r="D44" s="39"/>
      <c r="F44" s="39"/>
      <c r="G44" s="39"/>
      <c r="H44" s="39"/>
      <c r="I44" s="39"/>
    </row>
    <row r="45">
      <c r="A45" s="38" t="s">
        <v>18</v>
      </c>
      <c r="B45" s="39"/>
      <c r="C45" s="39"/>
      <c r="D45" s="39"/>
      <c r="F45" s="38"/>
      <c r="G45" s="39"/>
      <c r="H45" s="39"/>
      <c r="I45" s="39"/>
    </row>
    <row r="46">
      <c r="A46" s="38" t="s">
        <v>740</v>
      </c>
      <c r="B46" s="38" t="s">
        <v>750</v>
      </c>
      <c r="C46" s="38"/>
      <c r="D46" s="38"/>
      <c r="F46" s="38"/>
      <c r="G46" s="38"/>
      <c r="H46" s="38"/>
      <c r="I46" s="38"/>
    </row>
    <row r="47">
      <c r="A47" s="38" t="s">
        <v>741</v>
      </c>
      <c r="B47" s="38" t="s">
        <v>742</v>
      </c>
      <c r="C47" s="38" t="s">
        <v>743</v>
      </c>
      <c r="D47" s="38" t="s">
        <v>13</v>
      </c>
      <c r="F47" s="38"/>
      <c r="G47" s="38"/>
      <c r="H47" s="38"/>
      <c r="I47" s="38"/>
    </row>
    <row r="48">
      <c r="A48" s="40" t="s">
        <v>203</v>
      </c>
      <c r="B48" s="39"/>
      <c r="C48" s="39"/>
      <c r="D48" s="39"/>
      <c r="F48" s="40"/>
      <c r="G48" s="39"/>
      <c r="H48" s="39"/>
      <c r="I48" s="39"/>
    </row>
    <row r="49">
      <c r="A49" s="40"/>
      <c r="B49" s="39"/>
      <c r="C49" s="39"/>
      <c r="D49" s="39"/>
      <c r="F49" s="40"/>
      <c r="G49" s="39"/>
      <c r="H49" s="39"/>
      <c r="I49" s="39"/>
    </row>
    <row r="50">
      <c r="A50" s="40" t="s">
        <v>62</v>
      </c>
      <c r="B50" s="39"/>
      <c r="C50" s="39"/>
      <c r="D50" s="39"/>
      <c r="F50" s="40"/>
      <c r="G50" s="39"/>
      <c r="H50" s="39"/>
      <c r="I50" s="39"/>
    </row>
    <row r="51">
      <c r="A51" s="40"/>
      <c r="B51" s="39"/>
      <c r="C51" s="39"/>
      <c r="D51" s="39"/>
      <c r="F51" s="40"/>
      <c r="G51" s="39"/>
      <c r="H51" s="39"/>
      <c r="I51" s="39"/>
    </row>
    <row r="52">
      <c r="A52" s="40" t="s">
        <v>117</v>
      </c>
      <c r="B52" s="39"/>
      <c r="C52" s="39"/>
      <c r="D52" s="39"/>
      <c r="F52" s="40"/>
      <c r="G52" s="39"/>
      <c r="H52" s="39"/>
      <c r="I52" s="39"/>
    </row>
    <row r="53">
      <c r="A53" s="40" t="s">
        <v>206</v>
      </c>
      <c r="B53" s="39"/>
      <c r="C53" s="39"/>
      <c r="D53" s="39"/>
      <c r="F53" s="38"/>
      <c r="G53" s="39"/>
      <c r="H53" s="39"/>
      <c r="I53" s="39"/>
    </row>
    <row r="54">
      <c r="A54" s="41"/>
      <c r="B54" s="39"/>
      <c r="C54" s="39"/>
      <c r="D54" s="39"/>
      <c r="F54" s="40"/>
      <c r="G54" s="39"/>
      <c r="H54" s="39"/>
      <c r="I54" s="39"/>
    </row>
    <row r="55">
      <c r="A55" s="40" t="s">
        <v>118</v>
      </c>
      <c r="B55" s="39"/>
      <c r="C55" s="39"/>
      <c r="D55" s="39"/>
      <c r="F55" s="41"/>
      <c r="G55" s="39"/>
      <c r="H55" s="39"/>
      <c r="I55" s="39"/>
    </row>
    <row r="56">
      <c r="A56" s="40" t="s">
        <v>208</v>
      </c>
      <c r="B56" s="39"/>
      <c r="C56" s="39"/>
      <c r="D56" s="39"/>
      <c r="F56" s="40"/>
      <c r="G56" s="39"/>
      <c r="H56" s="39"/>
      <c r="I56" s="39"/>
    </row>
    <row r="57">
      <c r="A57" s="40"/>
      <c r="B57" s="39"/>
      <c r="C57" s="39"/>
      <c r="D57" s="39"/>
      <c r="F57" s="41"/>
      <c r="G57" s="39"/>
      <c r="H57" s="39"/>
      <c r="I57" s="39"/>
    </row>
    <row r="58">
      <c r="A58" s="40"/>
      <c r="B58" s="39"/>
      <c r="C58" s="39"/>
      <c r="D58" s="39"/>
      <c r="F58" s="40"/>
      <c r="G58" s="39"/>
      <c r="H58" s="39"/>
      <c r="I58" s="39"/>
    </row>
    <row r="59">
      <c r="A59" s="40"/>
      <c r="B59" s="39"/>
      <c r="C59" s="39"/>
      <c r="D59" s="39"/>
      <c r="F59" s="41"/>
      <c r="G59" s="39"/>
      <c r="H59" s="39"/>
      <c r="I59" s="39"/>
    </row>
    <row r="60">
      <c r="A60" s="40"/>
      <c r="B60" s="39"/>
      <c r="C60" s="39"/>
      <c r="D60" s="39"/>
      <c r="F60" s="40"/>
      <c r="G60" s="39"/>
      <c r="H60" s="39"/>
      <c r="I60" s="39"/>
    </row>
    <row r="61">
      <c r="A61" s="40"/>
      <c r="B61" s="39"/>
      <c r="C61" s="39"/>
      <c r="D61" s="39"/>
      <c r="F61" s="41"/>
      <c r="G61" s="39"/>
      <c r="H61" s="39"/>
      <c r="I61" s="39"/>
    </row>
    <row r="62">
      <c r="A62" s="40"/>
      <c r="B62" s="39"/>
      <c r="C62" s="39"/>
      <c r="D62" s="39"/>
      <c r="F62" s="40"/>
      <c r="G62" s="39"/>
      <c r="H62" s="39"/>
      <c r="I62" s="39"/>
    </row>
    <row r="63">
      <c r="A63" s="40"/>
      <c r="B63" s="39"/>
      <c r="C63" s="39"/>
      <c r="D63" s="39"/>
      <c r="F63" s="41"/>
      <c r="G63" s="39"/>
      <c r="H63" s="39"/>
      <c r="I63" s="39"/>
    </row>
    <row r="64">
      <c r="A64" s="38"/>
      <c r="B64" s="39"/>
      <c r="C64" s="39"/>
      <c r="D64" s="39"/>
      <c r="F64" s="40"/>
      <c r="G64" s="39"/>
      <c r="H64" s="39"/>
      <c r="I64" s="39"/>
    </row>
    <row r="65">
      <c r="A65" s="40"/>
      <c r="B65" s="39"/>
      <c r="C65" s="39"/>
      <c r="D65" s="39"/>
      <c r="F65" s="41"/>
      <c r="G65" s="39"/>
      <c r="H65" s="39"/>
      <c r="I65" s="39"/>
    </row>
    <row r="66">
      <c r="A66" s="40"/>
      <c r="B66" s="39"/>
      <c r="C66" s="39"/>
      <c r="D66" s="39"/>
      <c r="F66" s="40"/>
      <c r="G66" s="39"/>
      <c r="H66" s="39"/>
      <c r="I66" s="39"/>
    </row>
    <row r="67">
      <c r="A67" s="40"/>
      <c r="B67" s="39"/>
      <c r="C67" s="39"/>
      <c r="D67" s="39"/>
      <c r="F67" s="39"/>
      <c r="G67" s="39"/>
      <c r="H67" s="39"/>
      <c r="I67" s="39"/>
    </row>
    <row r="68">
      <c r="A68" s="41"/>
      <c r="B68" s="39"/>
      <c r="C68" s="39"/>
      <c r="D68" s="39"/>
      <c r="F68" s="39"/>
      <c r="G68" s="39"/>
      <c r="H68" s="39"/>
      <c r="I68" s="39"/>
    </row>
    <row r="69">
      <c r="A69" s="40"/>
      <c r="B69" s="39"/>
      <c r="C69" s="39"/>
      <c r="D69" s="39"/>
      <c r="F69" s="39"/>
      <c r="G69" s="39"/>
      <c r="H69" s="39"/>
      <c r="I69" s="39"/>
    </row>
    <row r="70">
      <c r="A70" s="40"/>
      <c r="B70" s="39"/>
      <c r="C70" s="39"/>
      <c r="D70" s="39"/>
      <c r="F70" s="39"/>
      <c r="G70" s="39"/>
      <c r="H70" s="39"/>
      <c r="I70" s="39"/>
    </row>
    <row r="71">
      <c r="A71" s="41"/>
      <c r="B71" s="39"/>
      <c r="C71" s="39"/>
      <c r="D71" s="39"/>
      <c r="F71" s="39"/>
      <c r="G71" s="39"/>
      <c r="H71" s="39"/>
      <c r="I71" s="39"/>
    </row>
    <row r="72">
      <c r="A72" s="40"/>
      <c r="B72" s="39"/>
      <c r="C72" s="39"/>
      <c r="D72" s="39"/>
      <c r="F72" s="39"/>
      <c r="G72" s="39"/>
      <c r="H72" s="39"/>
      <c r="I72" s="39"/>
    </row>
    <row r="73">
      <c r="A73" s="41"/>
      <c r="B73" s="39"/>
      <c r="C73" s="39"/>
      <c r="D73" s="39"/>
      <c r="F73" s="39"/>
      <c r="G73" s="39"/>
      <c r="H73" s="39"/>
      <c r="I73" s="39"/>
    </row>
    <row r="74">
      <c r="A74" s="40"/>
      <c r="B74" s="39"/>
      <c r="C74" s="39"/>
      <c r="D74" s="39"/>
      <c r="F74" s="39"/>
      <c r="G74" s="39"/>
      <c r="H74" s="39"/>
      <c r="I74" s="39"/>
    </row>
    <row r="75">
      <c r="A75" s="41"/>
      <c r="B75" s="39"/>
      <c r="C75" s="39"/>
      <c r="D75" s="39"/>
      <c r="F75" s="39"/>
      <c r="G75" s="39"/>
      <c r="H75" s="39"/>
      <c r="I75" s="39"/>
    </row>
    <row r="76">
      <c r="A76" s="40"/>
      <c r="B76" s="39"/>
      <c r="C76" s="39"/>
      <c r="D76" s="39"/>
      <c r="F76" s="39"/>
      <c r="G76" s="39"/>
      <c r="H76" s="39"/>
      <c r="I76" s="39"/>
    </row>
    <row r="77">
      <c r="A77" s="39"/>
      <c r="B77" s="39"/>
      <c r="C77" s="39"/>
      <c r="D77" s="39"/>
      <c r="F77" s="39"/>
      <c r="G77" s="39"/>
      <c r="H77" s="39"/>
      <c r="I77" s="39"/>
    </row>
    <row r="78">
      <c r="A78" s="40"/>
      <c r="B78" s="39"/>
      <c r="C78" s="39"/>
      <c r="D78" s="39"/>
      <c r="F78" s="39"/>
      <c r="G78" s="39"/>
      <c r="H78" s="39"/>
      <c r="I78" s="39"/>
    </row>
    <row r="79">
      <c r="A79" s="40"/>
      <c r="B79" s="39"/>
      <c r="C79" s="39"/>
      <c r="D79" s="39"/>
      <c r="F79" s="39"/>
      <c r="G79" s="39"/>
      <c r="H79" s="39"/>
      <c r="I79" s="39"/>
    </row>
    <row r="80">
      <c r="A80" s="40"/>
      <c r="B80" s="39"/>
      <c r="C80" s="39"/>
      <c r="D80" s="39"/>
      <c r="F80" s="39"/>
      <c r="G80" s="39"/>
      <c r="H80" s="39"/>
      <c r="I80" s="39"/>
    </row>
    <row r="81">
      <c r="A81" s="41"/>
      <c r="B81" s="39"/>
      <c r="C81" s="39"/>
      <c r="D81" s="39"/>
      <c r="F81" s="39"/>
      <c r="G81" s="39"/>
      <c r="H81" s="39"/>
      <c r="I81" s="39"/>
    </row>
    <row r="82">
      <c r="A82" s="40"/>
      <c r="B82" s="39"/>
      <c r="C82" s="39"/>
      <c r="D82" s="39"/>
      <c r="F82" s="39"/>
      <c r="G82" s="39"/>
      <c r="H82" s="39"/>
      <c r="I82" s="39"/>
    </row>
    <row r="83">
      <c r="A83" s="41"/>
      <c r="B83" s="39"/>
      <c r="C83" s="39"/>
      <c r="D83" s="39"/>
      <c r="F83" s="39"/>
      <c r="G83" s="39"/>
      <c r="H83" s="39"/>
      <c r="I83" s="39"/>
    </row>
    <row r="84">
      <c r="A84" s="40"/>
      <c r="B84" s="39"/>
      <c r="C84" s="39"/>
      <c r="D84" s="39"/>
      <c r="F84" s="39"/>
      <c r="G84" s="39"/>
      <c r="H84" s="39"/>
      <c r="I84" s="39"/>
    </row>
    <row r="85">
      <c r="A85" s="41"/>
      <c r="B85" s="39"/>
      <c r="C85" s="39"/>
      <c r="D85" s="39"/>
      <c r="F85" s="39"/>
      <c r="G85" s="39"/>
      <c r="H85" s="39"/>
      <c r="I85" s="39"/>
    </row>
    <row r="86">
      <c r="A86" s="40"/>
      <c r="B86" s="39"/>
      <c r="C86" s="39"/>
      <c r="D86" s="39"/>
      <c r="F86" s="39"/>
      <c r="G86" s="39"/>
      <c r="H86" s="39"/>
      <c r="I86" s="39"/>
    </row>
    <row r="87">
      <c r="A87" s="39"/>
      <c r="B87" s="39"/>
      <c r="C87" s="39"/>
      <c r="D87" s="39"/>
      <c r="F87" s="39"/>
      <c r="G87" s="39"/>
      <c r="H87" s="39"/>
      <c r="I87" s="39"/>
    </row>
    <row r="88">
      <c r="A88" s="40"/>
      <c r="B88" s="39"/>
      <c r="C88" s="39"/>
      <c r="D88" s="39"/>
      <c r="F88" s="39"/>
      <c r="G88" s="39"/>
      <c r="H88" s="39"/>
      <c r="I88" s="39"/>
    </row>
    <row r="89">
      <c r="A89" s="40"/>
      <c r="B89" s="39"/>
      <c r="C89" s="39"/>
      <c r="D89" s="39"/>
      <c r="F89" s="39"/>
      <c r="G89" s="39"/>
      <c r="H89" s="39"/>
      <c r="I89" s="39"/>
    </row>
    <row r="90">
      <c r="A90" s="41"/>
      <c r="B90" s="39"/>
      <c r="C90" s="39"/>
      <c r="D90" s="39"/>
      <c r="F90" s="39"/>
      <c r="G90" s="39"/>
      <c r="H90" s="39"/>
      <c r="I90" s="39"/>
    </row>
    <row r="91">
      <c r="A91" s="40"/>
      <c r="B91" s="39"/>
      <c r="C91" s="39"/>
      <c r="D91" s="39"/>
      <c r="F91" s="39"/>
      <c r="G91" s="39"/>
      <c r="H91" s="39"/>
      <c r="I91" s="39"/>
    </row>
    <row r="92">
      <c r="A92" s="40"/>
      <c r="B92" s="39"/>
      <c r="C92" s="39"/>
      <c r="D92" s="39"/>
      <c r="F92" s="39"/>
      <c r="G92" s="39"/>
      <c r="H92" s="39"/>
      <c r="I92" s="39"/>
    </row>
    <row r="93">
      <c r="A93" s="40"/>
      <c r="B93" s="39"/>
      <c r="C93" s="39"/>
      <c r="D93" s="39"/>
      <c r="F93" s="39"/>
      <c r="G93" s="39"/>
      <c r="H93" s="39"/>
      <c r="I93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9.25"/>
    <col customWidth="1" min="3" max="4" width="8.5"/>
    <col customWidth="1" min="5" max="5" width="3.88"/>
    <col customWidth="1" min="6" max="6" width="18.38"/>
    <col customWidth="1" min="7" max="7" width="9.25"/>
    <col customWidth="1" min="8" max="9" width="8.5"/>
  </cols>
  <sheetData>
    <row r="1">
      <c r="A1" s="38" t="s">
        <v>18</v>
      </c>
      <c r="B1" s="39"/>
      <c r="C1" s="39"/>
      <c r="D1" s="39"/>
      <c r="F1" s="38" t="s">
        <v>741</v>
      </c>
      <c r="G1" s="38" t="s">
        <v>742</v>
      </c>
      <c r="H1" s="38" t="s">
        <v>743</v>
      </c>
      <c r="I1" s="38" t="s">
        <v>13</v>
      </c>
    </row>
    <row r="2">
      <c r="A2" s="38" t="s">
        <v>740</v>
      </c>
      <c r="B2" s="38" t="s">
        <v>751</v>
      </c>
      <c r="C2" s="38"/>
      <c r="D2" s="38"/>
      <c r="F2" s="40" t="s">
        <v>194</v>
      </c>
      <c r="G2" s="38"/>
      <c r="H2" s="38"/>
      <c r="I2" s="38"/>
    </row>
    <row r="3">
      <c r="A3" s="38" t="s">
        <v>741</v>
      </c>
      <c r="B3" s="38" t="s">
        <v>742</v>
      </c>
      <c r="C3" s="38" t="s">
        <v>743</v>
      </c>
      <c r="D3" s="38" t="s">
        <v>13</v>
      </c>
      <c r="F3" s="40" t="s">
        <v>195</v>
      </c>
      <c r="G3" s="38"/>
      <c r="H3" s="38"/>
      <c r="I3" s="38"/>
    </row>
    <row r="4">
      <c r="A4" s="40" t="s">
        <v>19</v>
      </c>
      <c r="B4" s="39"/>
      <c r="C4" s="39"/>
      <c r="D4" s="39"/>
      <c r="F4" s="40" t="s">
        <v>268</v>
      </c>
      <c r="G4" s="39"/>
      <c r="H4" s="39"/>
      <c r="I4" s="39"/>
    </row>
    <row r="5">
      <c r="A5" s="40" t="s">
        <v>656</v>
      </c>
      <c r="B5" s="39"/>
      <c r="C5" s="39"/>
      <c r="D5" s="39"/>
      <c r="F5" s="40" t="s">
        <v>450</v>
      </c>
      <c r="G5" s="39"/>
      <c r="H5" s="39"/>
      <c r="I5" s="39"/>
    </row>
    <row r="6">
      <c r="A6" s="40" t="s">
        <v>71</v>
      </c>
      <c r="B6" s="39"/>
      <c r="C6" s="39"/>
      <c r="D6" s="39"/>
      <c r="F6" s="40" t="s">
        <v>196</v>
      </c>
      <c r="G6" s="39"/>
      <c r="H6" s="39"/>
      <c r="I6" s="39"/>
    </row>
    <row r="7">
      <c r="A7" s="40" t="s">
        <v>27</v>
      </c>
      <c r="B7" s="39"/>
      <c r="C7" s="39"/>
      <c r="D7" s="39"/>
      <c r="F7" s="40" t="s">
        <v>197</v>
      </c>
      <c r="G7" s="39"/>
      <c r="H7" s="39"/>
      <c r="I7" s="39"/>
    </row>
    <row r="8">
      <c r="A8" s="40" t="s">
        <v>28</v>
      </c>
      <c r="B8" s="39"/>
      <c r="C8" s="39"/>
      <c r="D8" s="39"/>
      <c r="F8" s="41"/>
      <c r="G8" s="39"/>
      <c r="H8" s="39"/>
      <c r="I8" s="39"/>
    </row>
    <row r="9">
      <c r="A9" s="41"/>
      <c r="B9" s="39"/>
      <c r="C9" s="39"/>
      <c r="D9" s="39"/>
      <c r="F9" s="40" t="s">
        <v>59</v>
      </c>
      <c r="G9" s="39"/>
      <c r="H9" s="39"/>
      <c r="I9" s="39"/>
    </row>
    <row r="10">
      <c r="A10" s="40" t="s">
        <v>21</v>
      </c>
      <c r="B10" s="39"/>
      <c r="C10" s="39"/>
      <c r="D10" s="39"/>
      <c r="F10" s="40" t="s">
        <v>110</v>
      </c>
      <c r="G10" s="39"/>
      <c r="H10" s="39"/>
      <c r="I10" s="39"/>
    </row>
    <row r="11">
      <c r="A11" s="40" t="s">
        <v>32</v>
      </c>
      <c r="B11" s="39"/>
      <c r="C11" s="39"/>
      <c r="D11" s="39"/>
      <c r="F11" s="41"/>
      <c r="G11" s="39"/>
      <c r="H11" s="39"/>
      <c r="I11" s="39"/>
    </row>
    <row r="12">
      <c r="A12" s="40" t="s">
        <v>33</v>
      </c>
      <c r="B12" s="39"/>
      <c r="C12" s="39"/>
      <c r="D12" s="39"/>
      <c r="F12" s="40" t="s">
        <v>60</v>
      </c>
      <c r="G12" s="39"/>
      <c r="H12" s="39"/>
      <c r="I12" s="39"/>
    </row>
    <row r="13">
      <c r="A13" s="40" t="s">
        <v>72</v>
      </c>
      <c r="B13" s="39"/>
      <c r="C13" s="39"/>
      <c r="D13" s="39"/>
      <c r="F13" s="40" t="s">
        <v>111</v>
      </c>
      <c r="G13" s="39"/>
      <c r="H13" s="39"/>
      <c r="I13" s="39"/>
    </row>
    <row r="14">
      <c r="A14" s="40" t="s">
        <v>430</v>
      </c>
      <c r="B14" s="39"/>
      <c r="C14" s="39"/>
      <c r="D14" s="39"/>
      <c r="F14" s="41"/>
      <c r="G14" s="39"/>
      <c r="H14" s="39"/>
      <c r="I14" s="39"/>
    </row>
    <row r="15">
      <c r="A15" s="40" t="s">
        <v>624</v>
      </c>
      <c r="B15" s="39"/>
      <c r="C15" s="39"/>
      <c r="D15" s="39"/>
      <c r="F15" s="40" t="s">
        <v>61</v>
      </c>
      <c r="G15" s="39"/>
      <c r="H15" s="39"/>
      <c r="I15" s="39"/>
    </row>
    <row r="16">
      <c r="A16" s="40" t="s">
        <v>632</v>
      </c>
      <c r="B16" s="39"/>
      <c r="C16" s="39"/>
      <c r="D16" s="39"/>
      <c r="F16" s="40" t="s">
        <v>113</v>
      </c>
      <c r="G16" s="39"/>
      <c r="H16" s="39"/>
      <c r="I16" s="39"/>
    </row>
    <row r="17">
      <c r="A17" s="40" t="s">
        <v>35</v>
      </c>
      <c r="B17" s="39"/>
      <c r="C17" s="39"/>
      <c r="D17" s="39"/>
      <c r="F17" s="40" t="s">
        <v>202</v>
      </c>
      <c r="G17" s="39"/>
      <c r="H17" s="39"/>
      <c r="I17" s="39"/>
    </row>
    <row r="18">
      <c r="A18" s="40" t="s">
        <v>36</v>
      </c>
      <c r="B18" s="39"/>
      <c r="C18" s="39"/>
      <c r="D18" s="39"/>
      <c r="F18" s="40" t="s">
        <v>663</v>
      </c>
      <c r="G18" s="39"/>
      <c r="H18" s="39"/>
      <c r="I18" s="39"/>
    </row>
    <row r="19">
      <c r="A19" s="40" t="s">
        <v>657</v>
      </c>
      <c r="B19" s="39"/>
      <c r="C19" s="39"/>
      <c r="D19" s="39"/>
      <c r="F19" s="40" t="s">
        <v>664</v>
      </c>
      <c r="G19" s="39"/>
      <c r="H19" s="39"/>
      <c r="I19" s="39"/>
    </row>
    <row r="20">
      <c r="A20" s="40" t="s">
        <v>658</v>
      </c>
      <c r="B20" s="39"/>
      <c r="C20" s="39"/>
      <c r="D20" s="39"/>
      <c r="F20" s="40" t="s">
        <v>665</v>
      </c>
      <c r="G20" s="39"/>
      <c r="H20" s="39"/>
      <c r="I20" s="39"/>
    </row>
    <row r="21">
      <c r="A21" s="40" t="s">
        <v>77</v>
      </c>
      <c r="B21" s="39"/>
      <c r="C21" s="39"/>
      <c r="D21" s="39"/>
      <c r="F21" s="41"/>
      <c r="G21" s="39"/>
      <c r="H21" s="39"/>
      <c r="I21" s="39"/>
    </row>
    <row r="22">
      <c r="A22" s="41"/>
      <c r="B22" s="39"/>
      <c r="C22" s="39"/>
      <c r="D22" s="39"/>
      <c r="F22" s="40" t="s">
        <v>666</v>
      </c>
      <c r="G22" s="39"/>
      <c r="H22" s="39"/>
      <c r="I22" s="39"/>
    </row>
    <row r="23">
      <c r="A23" s="40" t="s">
        <v>659</v>
      </c>
      <c r="B23" s="39"/>
      <c r="C23" s="39"/>
      <c r="D23" s="39"/>
      <c r="F23" s="40" t="s">
        <v>667</v>
      </c>
      <c r="G23" s="39"/>
      <c r="H23" s="39"/>
      <c r="I23" s="39"/>
    </row>
    <row r="24">
      <c r="A24" s="40" t="s">
        <v>432</v>
      </c>
      <c r="B24" s="39"/>
      <c r="C24" s="39"/>
      <c r="D24" s="39"/>
      <c r="F24" s="40" t="s">
        <v>668</v>
      </c>
      <c r="G24" s="39"/>
      <c r="H24" s="39"/>
      <c r="I24" s="39"/>
    </row>
    <row r="25">
      <c r="A25" s="40" t="s">
        <v>435</v>
      </c>
      <c r="B25" s="39"/>
      <c r="C25" s="39"/>
      <c r="D25" s="39"/>
      <c r="F25" s="40" t="s">
        <v>669</v>
      </c>
      <c r="G25" s="39"/>
      <c r="H25" s="39"/>
      <c r="I25" s="39"/>
    </row>
    <row r="26">
      <c r="A26" s="41"/>
      <c r="B26" s="39"/>
      <c r="C26" s="39"/>
      <c r="D26" s="39"/>
      <c r="F26" s="39"/>
      <c r="G26" s="39"/>
      <c r="H26" s="39"/>
      <c r="I26" s="39"/>
    </row>
    <row r="27">
      <c r="A27" s="40" t="s">
        <v>39</v>
      </c>
      <c r="B27" s="39"/>
      <c r="C27" s="39"/>
      <c r="D27" s="39"/>
      <c r="F27" s="39"/>
      <c r="G27" s="39"/>
      <c r="H27" s="39"/>
      <c r="I27" s="39"/>
    </row>
    <row r="28">
      <c r="A28" s="40" t="s">
        <v>79</v>
      </c>
      <c r="B28" s="39"/>
      <c r="C28" s="39"/>
      <c r="D28" s="39"/>
      <c r="F28" s="39"/>
      <c r="G28" s="39"/>
      <c r="H28" s="39"/>
      <c r="I28" s="39"/>
    </row>
    <row r="29">
      <c r="A29" s="40" t="s">
        <v>146</v>
      </c>
      <c r="B29" s="39"/>
      <c r="C29" s="39"/>
      <c r="D29" s="39"/>
      <c r="F29" s="39"/>
      <c r="G29" s="39"/>
      <c r="H29" s="39"/>
      <c r="I29" s="39"/>
    </row>
    <row r="30">
      <c r="A30" s="40" t="s">
        <v>660</v>
      </c>
      <c r="B30" s="39"/>
      <c r="C30" s="39"/>
      <c r="D30" s="39"/>
      <c r="F30" s="39"/>
      <c r="G30" s="39"/>
      <c r="H30" s="39"/>
      <c r="I30" s="39"/>
    </row>
    <row r="31">
      <c r="A31" s="40" t="s">
        <v>661</v>
      </c>
      <c r="B31" s="39"/>
      <c r="C31" s="39"/>
      <c r="D31" s="39"/>
      <c r="F31" s="39"/>
      <c r="G31" s="39"/>
      <c r="H31" s="39"/>
      <c r="I31" s="39"/>
    </row>
    <row r="32">
      <c r="A32" s="40" t="s">
        <v>80</v>
      </c>
      <c r="B32" s="39"/>
      <c r="C32" s="39"/>
      <c r="D32" s="39"/>
      <c r="F32" s="39"/>
      <c r="G32" s="39"/>
      <c r="H32" s="39"/>
      <c r="I32" s="39"/>
    </row>
    <row r="33">
      <c r="A33" s="40" t="s">
        <v>544</v>
      </c>
      <c r="B33" s="39"/>
      <c r="C33" s="39"/>
      <c r="D33" s="39"/>
      <c r="F33" s="39"/>
      <c r="G33" s="39"/>
      <c r="H33" s="39"/>
      <c r="I33" s="39"/>
    </row>
    <row r="34">
      <c r="A34" s="41"/>
      <c r="B34" s="39"/>
      <c r="C34" s="39"/>
      <c r="D34" s="39"/>
      <c r="F34" s="39"/>
      <c r="G34" s="39"/>
      <c r="H34" s="39"/>
      <c r="I34" s="39"/>
    </row>
    <row r="35">
      <c r="A35" s="40" t="s">
        <v>662</v>
      </c>
      <c r="B35" s="39"/>
      <c r="C35" s="39"/>
      <c r="D35" s="39"/>
      <c r="F35" s="39"/>
      <c r="G35" s="39"/>
      <c r="H35" s="39"/>
      <c r="I35" s="39"/>
    </row>
    <row r="36">
      <c r="A36" s="41"/>
      <c r="B36" s="39"/>
      <c r="C36" s="39"/>
      <c r="D36" s="39"/>
      <c r="F36" s="39"/>
      <c r="G36" s="39"/>
      <c r="H36" s="39"/>
      <c r="I36" s="39"/>
    </row>
    <row r="37">
      <c r="A37" s="40" t="s">
        <v>22</v>
      </c>
      <c r="B37" s="39"/>
      <c r="C37" s="39"/>
      <c r="D37" s="39"/>
      <c r="F37" s="39"/>
      <c r="G37" s="39"/>
      <c r="H37" s="39"/>
      <c r="I37" s="39"/>
    </row>
    <row r="38">
      <c r="A38" s="40" t="s">
        <v>52</v>
      </c>
      <c r="B38" s="39"/>
      <c r="C38" s="39"/>
      <c r="D38" s="39"/>
      <c r="F38" s="39"/>
      <c r="G38" s="39"/>
      <c r="H38" s="39"/>
      <c r="I38" s="39"/>
    </row>
    <row r="39">
      <c r="A39" s="41"/>
      <c r="B39" s="39"/>
      <c r="C39" s="39"/>
      <c r="D39" s="39"/>
      <c r="F39" s="39"/>
      <c r="G39" s="39"/>
      <c r="H39" s="39"/>
      <c r="I39" s="39"/>
    </row>
    <row r="40">
      <c r="A40" s="40" t="s">
        <v>296</v>
      </c>
      <c r="B40" s="39"/>
      <c r="C40" s="39"/>
      <c r="D40" s="39"/>
      <c r="F40" s="39"/>
      <c r="G40" s="39"/>
      <c r="H40" s="39"/>
      <c r="I40" s="39"/>
    </row>
    <row r="41">
      <c r="A41" s="41"/>
      <c r="B41" s="39"/>
      <c r="C41" s="39"/>
      <c r="D41" s="39"/>
      <c r="F41" s="39"/>
      <c r="G41" s="39"/>
      <c r="H41" s="39"/>
      <c r="I41" s="39"/>
    </row>
    <row r="42">
      <c r="A42" s="40" t="s">
        <v>58</v>
      </c>
      <c r="B42" s="39"/>
      <c r="C42" s="39"/>
      <c r="D42" s="39"/>
      <c r="F42" s="39"/>
      <c r="G42" s="39"/>
      <c r="H42" s="39"/>
      <c r="I42" s="39"/>
    </row>
    <row r="43">
      <c r="A43" s="39"/>
      <c r="B43" s="39"/>
      <c r="C43" s="39"/>
      <c r="D43" s="39"/>
      <c r="F43" s="39"/>
      <c r="G43" s="39"/>
      <c r="H43" s="39"/>
      <c r="I43" s="39"/>
    </row>
    <row r="44">
      <c r="A44" s="39"/>
      <c r="B44" s="39"/>
      <c r="C44" s="39"/>
      <c r="D44" s="39"/>
      <c r="F44" s="39"/>
      <c r="G44" s="39"/>
      <c r="H44" s="39"/>
      <c r="I44" s="39"/>
    </row>
    <row r="45">
      <c r="A45" s="39"/>
      <c r="B45" s="39"/>
      <c r="C45" s="39"/>
      <c r="D45" s="39"/>
      <c r="F45" s="39"/>
      <c r="G45" s="39"/>
      <c r="H45" s="39"/>
      <c r="I45" s="39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