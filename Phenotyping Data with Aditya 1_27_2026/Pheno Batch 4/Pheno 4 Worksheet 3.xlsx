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D" sheetId="1" r:id="rId5"/>
    <sheet state="visible" name="SEN" sheetId="2" r:id="rId6"/>
    <sheet state="visible" name="CHA" sheetId="3" r:id="rId7"/>
    <sheet state="visible" name="CAM" sheetId="4" r:id="rId8"/>
    <sheet state="visible" name="ALB" sheetId="5" r:id="rId9"/>
    <sheet state="visible" name="RJUNE" sheetId="6" r:id="rId10"/>
    <sheet state="visible" name="FINN" sheetId="7" r:id="rId11"/>
    <sheet state="visible" name="POR" sheetId="8" r:id="rId12"/>
    <sheet state="visible" name="BRI" sheetId="9" r:id="rId13"/>
    <sheet state="visible" name="CAB" sheetId="10" r:id="rId14"/>
    <sheet state="visible" name="MOX" sheetId="11" r:id="rId15"/>
    <sheet state="visible" name="Misc. Dry Matter" sheetId="12" r:id="rId16"/>
  </sheets>
  <definedNames/>
  <calcPr/>
</workbook>
</file>

<file path=xl/sharedStrings.xml><?xml version="1.0" encoding="utf-8"?>
<sst xmlns="http://schemas.openxmlformats.org/spreadsheetml/2006/main" count="6367" uniqueCount="2121">
  <si>
    <t>Daughter plant</t>
  </si>
  <si>
    <t>Envelope #</t>
  </si>
  <si>
    <t>Internode L 1</t>
  </si>
  <si>
    <t>Internode L 2</t>
  </si>
  <si>
    <t>Internode L 3</t>
  </si>
  <si>
    <t>Crown dia mm</t>
  </si>
  <si>
    <t>#Branch cr /mp</t>
  </si>
  <si>
    <t xml:space="preserve">Dp Dry matter </t>
  </si>
  <si>
    <t>1.1.2.1</t>
  </si>
  <si>
    <t>1.1.4.2</t>
  </si>
  <si>
    <t>Counter</t>
  </si>
  <si>
    <t>1.1.6.3</t>
  </si>
  <si>
    <t>1.1.1/1.2.1</t>
  </si>
  <si>
    <t>1.1.2/1.2.1</t>
  </si>
  <si>
    <t>Dry matter Avg</t>
  </si>
  <si>
    <t>1.1.8.4</t>
  </si>
  <si>
    <t>1.1.4/1.2.1</t>
  </si>
  <si>
    <t>1.1.2/1.4.2</t>
  </si>
  <si>
    <t>1.1.2/2.2.1</t>
  </si>
  <si>
    <t>1.1.1/1.4.2</t>
  </si>
  <si>
    <t>1.1.4/1.4.2</t>
  </si>
  <si>
    <t>1.1.4/1.2/1.2.1</t>
  </si>
  <si>
    <t>1.1.4/2.2.1</t>
  </si>
  <si>
    <t>1.1.4/2.4.2</t>
  </si>
  <si>
    <t>1.1.2/1.6.3</t>
  </si>
  <si>
    <t>1.1.2/1.2/1.2.1</t>
  </si>
  <si>
    <t>1.1.2/2.4.2</t>
  </si>
  <si>
    <t>1.1.2/2.2/1.2.1</t>
  </si>
  <si>
    <t>1.1.1/1.6.3</t>
  </si>
  <si>
    <t>1.1.1/1.1/1.2.1</t>
  </si>
  <si>
    <t>1.1.10.5</t>
  </si>
  <si>
    <t>1.1.6/1.1/1.2.1</t>
  </si>
  <si>
    <t>1.1.4/1.2/1.4.2</t>
  </si>
  <si>
    <t>1.1.4/2.6.3</t>
  </si>
  <si>
    <t>1.1.2/1.8.4</t>
  </si>
  <si>
    <t>1.1.2/1.6/1.2.1</t>
  </si>
  <si>
    <t>1.1.2/1.4/1.2.1</t>
  </si>
  <si>
    <t>1.1.2/1.4/1.4.2</t>
  </si>
  <si>
    <t>1.1.2/1.2/1.4.2</t>
  </si>
  <si>
    <t>1.1.2/2.6.3</t>
  </si>
  <si>
    <t>1.1.2/2.2./1.4.2</t>
  </si>
  <si>
    <t>1.1.1/1.8.4</t>
  </si>
  <si>
    <t>1.1.9/1.2.1</t>
  </si>
  <si>
    <t>1.1.4/1.7.3</t>
  </si>
  <si>
    <t>1.1.6/1.1/1.4.2</t>
  </si>
  <si>
    <t>1.1.2/1.2/1.6.3</t>
  </si>
  <si>
    <t>1.1.1/1.10.5</t>
  </si>
  <si>
    <t>1.1.2/2.8.4</t>
  </si>
  <si>
    <t>1.1.2/1.10.5</t>
  </si>
  <si>
    <t>1.1.4/1.2/1.6.3</t>
  </si>
  <si>
    <t>1.2.2.1</t>
  </si>
  <si>
    <t>1.2.4.2</t>
  </si>
  <si>
    <t>1.2.1/1.2.1</t>
  </si>
  <si>
    <t>1.2.6.3</t>
  </si>
  <si>
    <t>1.2.2/1.3.1</t>
  </si>
  <si>
    <t>1.2.1/1.4.2</t>
  </si>
  <si>
    <t>1.2.4/1.2.1</t>
  </si>
  <si>
    <t>1.2.4/1.4.2</t>
  </si>
  <si>
    <t>1.2.2/1.5.2</t>
  </si>
  <si>
    <t>1.2.2/1.2/1.2.1</t>
  </si>
  <si>
    <t>1.2.1/1.6.3</t>
  </si>
  <si>
    <t>1.2.1/1.8.4</t>
  </si>
  <si>
    <t>1.2.1/1.4/1.2.1</t>
  </si>
  <si>
    <t>1.2.1/1.2/1.2.1</t>
  </si>
  <si>
    <t>1.2.1/1.2/1.4.2</t>
  </si>
  <si>
    <t>1.2.1/1.2/1.6.3</t>
  </si>
  <si>
    <t>1.2.1/1.2/1.2/1.2.1</t>
  </si>
  <si>
    <t>1.2.1/1.4/1.4.2</t>
  </si>
  <si>
    <t>1.2.1/1.6/1.2.1</t>
  </si>
  <si>
    <t>1.2.2/1.7.3</t>
  </si>
  <si>
    <t>1.2.2/1.3/1.2.1</t>
  </si>
  <si>
    <t>1.2.2/1.2/1.4.2</t>
  </si>
  <si>
    <t>1.2.2/1.2/1.2/1.2.1</t>
  </si>
  <si>
    <t>1.2.4/1.6.3</t>
  </si>
  <si>
    <t>1.2.4/1.2/1.2.1</t>
  </si>
  <si>
    <t>1.2.7/1.2.1</t>
  </si>
  <si>
    <t>1.2.7/1.4.2</t>
  </si>
  <si>
    <t>1.2.6/1.3.1</t>
  </si>
  <si>
    <t>1.2.4/1.8.4</t>
  </si>
  <si>
    <t>1.2.4/1.4/1.2.1</t>
  </si>
  <si>
    <t>1.2.2/1.9.4</t>
  </si>
  <si>
    <t>1.2.2/1.2/1.6.3</t>
  </si>
  <si>
    <t>1.2.2/1.5/1.2.1</t>
  </si>
  <si>
    <t>1.2.1/1.6/1.42</t>
  </si>
  <si>
    <t>1.2.1/1.10.5</t>
  </si>
  <si>
    <t>1.2.1/1.4/1.6.3</t>
  </si>
  <si>
    <t>1.2.1/1.4/1.2/1.2.1</t>
  </si>
  <si>
    <t>1.2.1/1.2/1.8.4</t>
  </si>
  <si>
    <t>1.2.1/1.2/1.2/1.4.2</t>
  </si>
  <si>
    <t>1.2.1/1.4/1.2/1.4.2</t>
  </si>
  <si>
    <t>1.2.2/1.3/1.4.2</t>
  </si>
  <si>
    <t>1.2.2/1.2/1.2/1.4.2</t>
  </si>
  <si>
    <t>1.2.7/1.6.3</t>
  </si>
  <si>
    <t>1.3.2.1</t>
  </si>
  <si>
    <t>1.3.5.2</t>
  </si>
  <si>
    <t>1.3.4/1.2.1</t>
  </si>
  <si>
    <t>1.3.2/1.3.1</t>
  </si>
  <si>
    <t>1.3.1/1.2.1</t>
  </si>
  <si>
    <t>1.3.1/1.1/1.2.1</t>
  </si>
  <si>
    <t>1.3.7.3</t>
  </si>
  <si>
    <t>1.3.5/1.2.1</t>
  </si>
  <si>
    <t>1.3.4/1.4.2</t>
  </si>
  <si>
    <t>1.3.2/1.5.2</t>
  </si>
  <si>
    <t>1.3.2/1.2/1.2.1</t>
  </si>
  <si>
    <t>1.3.1/1.4.2</t>
  </si>
  <si>
    <t>1.3.1/1.6.3</t>
  </si>
  <si>
    <t>1.3.1/1.1/1.4.2</t>
  </si>
  <si>
    <t>1.3.9.4</t>
  </si>
  <si>
    <t>1.3.5/1.4.2</t>
  </si>
  <si>
    <t>1.3.4/1.6.3</t>
  </si>
  <si>
    <t>1.3.4/1.2/1.2.1</t>
  </si>
  <si>
    <t>1.3.4/1.2/1.4.2</t>
  </si>
  <si>
    <t>1.3.2/1.7.3</t>
  </si>
  <si>
    <t>1.3.2/1.2/1.4.2</t>
  </si>
  <si>
    <t>1.3.1/1.8.4</t>
  </si>
  <si>
    <t>1.3.1/1.4/1.2.1</t>
  </si>
  <si>
    <t>1.3.1/1.1/1.6.3</t>
  </si>
  <si>
    <t>1.3.1/1.1/1.8.4</t>
  </si>
  <si>
    <t>1.3.1/1.10.5</t>
  </si>
  <si>
    <t>1.3.2/1.2/1.6.3</t>
  </si>
  <si>
    <t>1.3.2/1.9.4</t>
  </si>
  <si>
    <t>1.3.4/1.8.4</t>
  </si>
  <si>
    <t>1.3.5/1.6.3</t>
  </si>
  <si>
    <t>1.3.7/1.3.1</t>
  </si>
  <si>
    <t>1.3.11.5</t>
  </si>
  <si>
    <t>1.3.1/1.1/1.4/1.2.1</t>
  </si>
  <si>
    <t>1.3.4/1.2/1.6.3</t>
  </si>
  <si>
    <t>1.3.5/1.8.4</t>
  </si>
  <si>
    <t>1.4.2.1</t>
  </si>
  <si>
    <t>1.4.4.2</t>
  </si>
  <si>
    <t>1.4.1/1.2.1</t>
  </si>
  <si>
    <t>1.4.1/1.4.2</t>
  </si>
  <si>
    <t>1.4.1/1.6.3</t>
  </si>
  <si>
    <t>1.4.1/1.2/1.2.1</t>
  </si>
  <si>
    <t>1.4.2/1.3.1</t>
  </si>
  <si>
    <t>1.4.2/1.2/1.2.1</t>
  </si>
  <si>
    <t>1.4.6.3</t>
  </si>
  <si>
    <t>1.4.8.4</t>
  </si>
  <si>
    <t>1.4.4/1.2.1</t>
  </si>
  <si>
    <t>1.4.10.5</t>
  </si>
  <si>
    <t>1.4.6/1.2.1</t>
  </si>
  <si>
    <t>1.4.4/1.4.2</t>
  </si>
  <si>
    <t>1.4.4/1.2/1.2.1</t>
  </si>
  <si>
    <t>1.4.2/1.5.2</t>
  </si>
  <si>
    <t>1.4.2/1.2/1.4.2</t>
  </si>
  <si>
    <t>1.4.1/1.2/1.4.2</t>
  </si>
  <si>
    <t>1.4.1/1.4/1.2.1</t>
  </si>
  <si>
    <t>1.4.1/1.8.4</t>
  </si>
  <si>
    <t>1.4.1/1.2/1.2/1.2.1</t>
  </si>
  <si>
    <t>1.4.12.6</t>
  </si>
  <si>
    <t>1.4.8/1.2.1</t>
  </si>
  <si>
    <t>1.4.4/1.6.3</t>
  </si>
  <si>
    <t>1.4.2/1.7.3</t>
  </si>
  <si>
    <t>1.4.2/1.2/1.6.3</t>
  </si>
  <si>
    <t>1.4.2/1.2/1.2/1.2.1</t>
  </si>
  <si>
    <t>1.4.1/1.10.5</t>
  </si>
  <si>
    <t>1.4.1/1.6/1.2.1</t>
  </si>
  <si>
    <t>1.4.1/1.2/1.6.3</t>
  </si>
  <si>
    <t>1.4.1/1.4/1.4.2</t>
  </si>
  <si>
    <t>1.4.2/1.2/1.2/1.4.2</t>
  </si>
  <si>
    <t>1.4.4/1.2/1.4.2</t>
  </si>
  <si>
    <t>1.4.4/1.8.4</t>
  </si>
  <si>
    <t>1.5.2.1</t>
  </si>
  <si>
    <t>1.5.4.2</t>
  </si>
  <si>
    <t>1.5.1/1.2.1</t>
  </si>
  <si>
    <t>1.5.6.3</t>
  </si>
  <si>
    <t>1.5.8.4</t>
  </si>
  <si>
    <t>1.5.4/1.2.1</t>
  </si>
  <si>
    <t>1.5.2/1.3.1</t>
  </si>
  <si>
    <t>1.5.2/1.2/1.2.1</t>
  </si>
  <si>
    <t>1.5.10.5</t>
  </si>
  <si>
    <t>1.5.4/1.4.2</t>
  </si>
  <si>
    <t>1.5.2/1.5.2</t>
  </si>
  <si>
    <t>1.5.2/1.7.3</t>
  </si>
  <si>
    <t>1.5.2/1.2/1.4.2</t>
  </si>
  <si>
    <t>1.5.2/1.2/1.6.3</t>
  </si>
  <si>
    <t>1.5.2/1.9.4</t>
  </si>
  <si>
    <t>1.5.4/1.6.3</t>
  </si>
  <si>
    <t>1.5.8/1.2.1</t>
  </si>
  <si>
    <t>1.5.4/1.2/1.2.1</t>
  </si>
  <si>
    <t>1.5.2/1.5/1.2.1</t>
  </si>
  <si>
    <t>1.5.2/1.2/1.8.4</t>
  </si>
  <si>
    <t>1.5.8/1.4.2</t>
  </si>
  <si>
    <t>1.6.2.1</t>
  </si>
  <si>
    <t>1.6.4.2</t>
  </si>
  <si>
    <t>1.6.6.3</t>
  </si>
  <si>
    <t>1.6.2/1.2.1</t>
  </si>
  <si>
    <t>1.6.8.4</t>
  </si>
  <si>
    <t>1.6.6/1.2.1</t>
  </si>
  <si>
    <t>1.6.4/1.2.1</t>
  </si>
  <si>
    <t>1.6.4/1.4.2</t>
  </si>
  <si>
    <t>1.6.2/1.4.2</t>
  </si>
  <si>
    <t>1.6.2/1.2/1.2.1</t>
  </si>
  <si>
    <t>1.6.2/1.6.3</t>
  </si>
  <si>
    <t>1.6.6/1.4.2</t>
  </si>
  <si>
    <t>1.6.10.5</t>
  </si>
  <si>
    <t>1.6.2/1.2/1.4.2</t>
  </si>
  <si>
    <t>1.6.2/1.8.4</t>
  </si>
  <si>
    <t>1.6.4/1.6.3</t>
  </si>
  <si>
    <t>1.7.2.1</t>
  </si>
  <si>
    <t>1.7.4.2</t>
  </si>
  <si>
    <t>1.7.6.3</t>
  </si>
  <si>
    <t>1.7.2/1.2.1</t>
  </si>
  <si>
    <t>1.7.8.4</t>
  </si>
  <si>
    <t>1.7.2/1.4.2</t>
  </si>
  <si>
    <t>1.7.2/1.2/1.2.1</t>
  </si>
  <si>
    <t>1.7.6/1.2.1</t>
  </si>
  <si>
    <t>1.7.10.5</t>
  </si>
  <si>
    <t>1.7.12.6</t>
  </si>
  <si>
    <t>1.7.8/1.2.1</t>
  </si>
  <si>
    <t>1.7.6/1.4.2</t>
  </si>
  <si>
    <t>1.7.2/1.5/1.1.1</t>
  </si>
  <si>
    <t>1.7.2/1.2/1.4.2</t>
  </si>
  <si>
    <t>1.8.3.1</t>
  </si>
  <si>
    <t>1.8.6.2</t>
  </si>
  <si>
    <t>1.8.2/1.2.1</t>
  </si>
  <si>
    <t>1.8.2/1.4.2</t>
  </si>
  <si>
    <t>1.8.8.3</t>
  </si>
  <si>
    <t>1.8.5/1.2.1</t>
  </si>
  <si>
    <t>1.8.4/1.2.1</t>
  </si>
  <si>
    <t>1.8.3/1.3.1</t>
  </si>
  <si>
    <t>1.8.3/1.2/1.2.1</t>
  </si>
  <si>
    <t>1.8.2/1.6.3</t>
  </si>
  <si>
    <t>1.8.2/1.2/1.2.1</t>
  </si>
  <si>
    <t>1.8.2/1.4/1.2.1</t>
  </si>
  <si>
    <t>1.8.2/1.2/1.4.2</t>
  </si>
  <si>
    <t>1.8.2/1.8.4</t>
  </si>
  <si>
    <t>1.8.3/1.5.2</t>
  </si>
  <si>
    <t>1.8.4/1.4.2</t>
  </si>
  <si>
    <t>1.8.5/1.4.2</t>
  </si>
  <si>
    <t>1.8.6/1.2.1</t>
  </si>
  <si>
    <t>1.8.10.4</t>
  </si>
  <si>
    <t>1.8.2/1.4/1.4.2</t>
  </si>
  <si>
    <t>1.8.6/1.4.2</t>
  </si>
  <si>
    <t>1.8.4/1.6.3</t>
  </si>
  <si>
    <t>1.8.12.5</t>
  </si>
  <si>
    <t>1.8.3/1.7.3</t>
  </si>
  <si>
    <t>1.9.2.1</t>
  </si>
  <si>
    <t>1.9.4.2</t>
  </si>
  <si>
    <t>1.9.1/1.2.1</t>
  </si>
  <si>
    <t>1.9.1/1.4.2</t>
  </si>
  <si>
    <t>1.9.6.3</t>
  </si>
  <si>
    <t>1.9.2/1.2.1</t>
  </si>
  <si>
    <t>1.9.1/1.6.3</t>
  </si>
  <si>
    <t>1.9.1/1.8.4</t>
  </si>
  <si>
    <t>1.9.2/1.4.2</t>
  </si>
  <si>
    <t>1.9.4/1.3.1</t>
  </si>
  <si>
    <t>1.9.8.4</t>
  </si>
  <si>
    <t>1.9.10.5</t>
  </si>
  <si>
    <t>1.9.2/1.6.3</t>
  </si>
  <si>
    <t>1.10.2.1</t>
  </si>
  <si>
    <t>1.10.4.2</t>
  </si>
  <si>
    <t>1.10.6.3</t>
  </si>
  <si>
    <t>1.10.1/1.2.1</t>
  </si>
  <si>
    <t>1.10.1/1.4.2</t>
  </si>
  <si>
    <t>1.10.8.4</t>
  </si>
  <si>
    <t>1.10.4/1.2.1</t>
  </si>
  <si>
    <t>1.10.1/1.6.3</t>
  </si>
  <si>
    <t>1.10.6/1.2.1</t>
  </si>
  <si>
    <t>1.10.4/1.4.2</t>
  </si>
  <si>
    <t>1.10.1/1.8.4</t>
  </si>
  <si>
    <t>1.10.4/1.6.3</t>
  </si>
  <si>
    <t>1.10.6/1.4.2</t>
  </si>
  <si>
    <t>1.11.2.1</t>
  </si>
  <si>
    <t>1.11.4.2</t>
  </si>
  <si>
    <t>1.11.6.3</t>
  </si>
  <si>
    <t>1.11.2/1.2.1</t>
  </si>
  <si>
    <t>1.11.1/1.2.1</t>
  </si>
  <si>
    <t>1.11.8.4</t>
  </si>
  <si>
    <t>1.11.1/1.4.2</t>
  </si>
  <si>
    <t>1.11.2/1.4.2</t>
  </si>
  <si>
    <t>1.11.2/1.6.3</t>
  </si>
  <si>
    <t>1.11.6/1.2.1</t>
  </si>
  <si>
    <t>1.12.2.1</t>
  </si>
  <si>
    <t>1.12.4.2</t>
  </si>
  <si>
    <t>1.12.1/1.2.1</t>
  </si>
  <si>
    <t>1.12.6.3</t>
  </si>
  <si>
    <t>1.12.2/1.3.1</t>
  </si>
  <si>
    <t>1.12.1/1.4.2</t>
  </si>
  <si>
    <t>1.12.4/1.2.1</t>
  </si>
  <si>
    <t>1.12.2/1.5.2</t>
  </si>
  <si>
    <t>1.12.2/1.2/1.2.1</t>
  </si>
  <si>
    <t>1.12.1/1.6.3</t>
  </si>
  <si>
    <t>1.13.3.1</t>
  </si>
  <si>
    <t>1.13.2/1.2.1</t>
  </si>
  <si>
    <t>1.13.6.2</t>
  </si>
  <si>
    <t>1.13.3/1.2.1</t>
  </si>
  <si>
    <t>1.13.2/1.4.2</t>
  </si>
  <si>
    <t>1.13.3/1.4.2</t>
  </si>
  <si>
    <t>1.13.8.3</t>
  </si>
  <si>
    <t>1.13.2/1.6.3</t>
  </si>
  <si>
    <t>1.14.3.1</t>
  </si>
  <si>
    <t>1.14.6.2</t>
  </si>
  <si>
    <t>1.14,2/1.2.1</t>
  </si>
  <si>
    <t>1.14.5/1.2.1</t>
  </si>
  <si>
    <t>1.14.2/1.4.2</t>
  </si>
  <si>
    <t>1.14.3/1.2.1</t>
  </si>
  <si>
    <t>1.14.3/1.4.2</t>
  </si>
  <si>
    <t>1.14.5/1.4.2</t>
  </si>
  <si>
    <t>1.14.8.3</t>
  </si>
  <si>
    <t>1.15.2.1</t>
  </si>
  <si>
    <t>1.15.4.2</t>
  </si>
  <si>
    <t>1.15.6.3</t>
  </si>
  <si>
    <t>1.15.8.4</t>
  </si>
  <si>
    <t>1.16.2.1</t>
  </si>
  <si>
    <t>1.16.4.2</t>
  </si>
  <si>
    <t>1.16.2/1.2.1</t>
  </si>
  <si>
    <t>1.16.6.3</t>
  </si>
  <si>
    <t>1.16.8.4</t>
  </si>
  <si>
    <t>1.16.2/1.4.2</t>
  </si>
  <si>
    <t>1.17.2.1</t>
  </si>
  <si>
    <t>1.17.4.2</t>
  </si>
  <si>
    <t>1.17.2/1.2.1</t>
  </si>
  <si>
    <t>1.18.2.1</t>
  </si>
  <si>
    <t>1.18.4.2</t>
  </si>
  <si>
    <t>1.19.3.1</t>
  </si>
  <si>
    <t>1.19.5.2</t>
  </si>
  <si>
    <t>1.19.7.3</t>
  </si>
  <si>
    <t>1.20.2.1</t>
  </si>
  <si>
    <t>1.20.4.2</t>
  </si>
  <si>
    <t>1.20.6.3</t>
  </si>
  <si>
    <t>1.21.2.1</t>
  </si>
  <si>
    <t>1.21.4.2</t>
  </si>
  <si>
    <t>1.22.2.1</t>
  </si>
  <si>
    <t>1.22.4.2</t>
  </si>
  <si>
    <t>1.23.2.1</t>
  </si>
  <si>
    <t>1.23.4.2</t>
  </si>
  <si>
    <t>1.24.2.1</t>
  </si>
  <si>
    <t>1.25.2.1</t>
  </si>
  <si>
    <t>2.1.2.1</t>
  </si>
  <si>
    <t>2.1.4.2</t>
  </si>
  <si>
    <t>2.1.6.3</t>
  </si>
  <si>
    <t>2.1.8.4</t>
  </si>
  <si>
    <t>2.1.4/1.2.1</t>
  </si>
  <si>
    <t>2.1.2/1.3.1</t>
  </si>
  <si>
    <t>2.1.2/1.2/1.2.1</t>
  </si>
  <si>
    <t>2.1.2/2.2.1</t>
  </si>
  <si>
    <t>2.1.6/1.2.1</t>
  </si>
  <si>
    <t>2.1.4/1.4.2</t>
  </si>
  <si>
    <t>2.1.2/1.5.2</t>
  </si>
  <si>
    <t>2.1.2/1.2/1.4.2</t>
  </si>
  <si>
    <t>2.1.2/2.4.2</t>
  </si>
  <si>
    <t>2.1.2/1.7.3</t>
  </si>
  <si>
    <t>2.1.2/2.6.3</t>
  </si>
  <si>
    <t>2.1.8/1.2.1</t>
  </si>
  <si>
    <t>2.1.10.5</t>
  </si>
  <si>
    <t>2.1.2/1.2/1.6.3</t>
  </si>
  <si>
    <t>2.1.8/1.4.2</t>
  </si>
  <si>
    <t>2.1.6/1.4.2</t>
  </si>
  <si>
    <t>2.1.4/1.6.3</t>
  </si>
  <si>
    <t>2.1.4/1.4/1.1.1</t>
  </si>
  <si>
    <t>--</t>
  </si>
  <si>
    <t>2.1.2/2.8.4</t>
  </si>
  <si>
    <t>2.1.2/1.9.4</t>
  </si>
  <si>
    <t>2.1.2/1.2/1.8.4</t>
  </si>
  <si>
    <t>2.1.2/2.10.5</t>
  </si>
  <si>
    <t>2.2.2.1</t>
  </si>
  <si>
    <t>2.2.4.2</t>
  </si>
  <si>
    <t>2.2.1/1.2.1</t>
  </si>
  <si>
    <t>2.2.6.3</t>
  </si>
  <si>
    <t>2.2.3/1.2.1</t>
  </si>
  <si>
    <t>2.2.2/1.3.1</t>
  </si>
  <si>
    <t>2.2.1/1.4.2</t>
  </si>
  <si>
    <t>2.2.4/1.3.1</t>
  </si>
  <si>
    <t>2.2.3/1.4.2</t>
  </si>
  <si>
    <t>2.2.4/1.2/1.2.1</t>
  </si>
  <si>
    <t>2.2.1/1.6.3</t>
  </si>
  <si>
    <t>2.2.2/1.2/1.2.1</t>
  </si>
  <si>
    <t>2.2.1/1.4/1.2.1</t>
  </si>
  <si>
    <t>2.2.2/1.2/1.4.2</t>
  </si>
  <si>
    <t>2.2.3/1.6.3</t>
  </si>
  <si>
    <t>2.2.4/1.2/1.4.2</t>
  </si>
  <si>
    <t>2.2.1/1.8.4</t>
  </si>
  <si>
    <t>2.2.7/1.2.1</t>
  </si>
  <si>
    <t>2.2.4/1.5.2</t>
  </si>
  <si>
    <t>2.2.8.4</t>
  </si>
  <si>
    <t>2.2.7/1.4.2</t>
  </si>
  <si>
    <t>2.2.3/1.4/1.2.1</t>
  </si>
  <si>
    <t>2.2.2/1.5.2</t>
  </si>
  <si>
    <t>2.2.2/1.4/1.2.1</t>
  </si>
  <si>
    <t>2.2.2/1.2/1.6.3</t>
  </si>
  <si>
    <t>2.2.1/1.4/1.4.2</t>
  </si>
  <si>
    <t>2.2.1/1.4/1.6.3</t>
  </si>
  <si>
    <t>2.2.2/1.4/1.4.2</t>
  </si>
  <si>
    <t>2.2.3/1.4/1.4.2</t>
  </si>
  <si>
    <t>2.2.4/1.2/1.6.3</t>
  </si>
  <si>
    <t>2.3.2.1</t>
  </si>
  <si>
    <t>2.3.4.2</t>
  </si>
  <si>
    <t>2.3.6.3</t>
  </si>
  <si>
    <t>2.3.1/1.2.1</t>
  </si>
  <si>
    <t>2.3.8.4</t>
  </si>
  <si>
    <t>2.3.4/1.2.1</t>
  </si>
  <si>
    <t>2.3.1/1.1/1.3.1</t>
  </si>
  <si>
    <t>2.3.1/1.4.2</t>
  </si>
  <si>
    <t>2.3.1/1.1/1.5.2</t>
  </si>
  <si>
    <t>2.3.1/1.8.4</t>
  </si>
  <si>
    <t>2.3.1/1.6.3</t>
  </si>
  <si>
    <t>2.3.4/1.4.2</t>
  </si>
  <si>
    <t>2.3.8/1.2.1</t>
  </si>
  <si>
    <t>2.3.6/1.2.1</t>
  </si>
  <si>
    <t>2.3.10.5</t>
  </si>
  <si>
    <t>2.3.8./1.4.2</t>
  </si>
  <si>
    <t>2.3.4/1.6.3</t>
  </si>
  <si>
    <t>2.3.1/1.1/1.7.3</t>
  </si>
  <si>
    <t>2.3.1/1.10.5</t>
  </si>
  <si>
    <t>2.3.4/1.8.4</t>
  </si>
  <si>
    <t>2.4.2.1</t>
  </si>
  <si>
    <t>2.4.4.2</t>
  </si>
  <si>
    <t>2.4.6.3</t>
  </si>
  <si>
    <t>2.4.2/1.2.1</t>
  </si>
  <si>
    <t>2.4.2/1.4.2</t>
  </si>
  <si>
    <t>2.4.8.4</t>
  </si>
  <si>
    <t>2.4.2/1.6.3</t>
  </si>
  <si>
    <t>2.4.6/1.2.1</t>
  </si>
  <si>
    <t>2.4.2/1.8.4</t>
  </si>
  <si>
    <t>2.4.10.5</t>
  </si>
  <si>
    <t>2.4.12.6</t>
  </si>
  <si>
    <t>2.4.8/1.2.1</t>
  </si>
  <si>
    <t>2.4.6/1.4.2</t>
  </si>
  <si>
    <t>2.4.8/1.4.2</t>
  </si>
  <si>
    <t>2.4.14.7</t>
  </si>
  <si>
    <t>2.4.6/1.6.3</t>
  </si>
  <si>
    <t>2.4.2/1.10.5</t>
  </si>
  <si>
    <t>2.4.8/1.6.3</t>
  </si>
  <si>
    <t>2.4.6/1.8.4</t>
  </si>
  <si>
    <t>2.5.2.1</t>
  </si>
  <si>
    <t>2.5.4.2</t>
  </si>
  <si>
    <t>2.5.6.3</t>
  </si>
  <si>
    <t>2.5.8.4</t>
  </si>
  <si>
    <t>2.5.4/1.2.1</t>
  </si>
  <si>
    <t>2.5.4/1.4.2</t>
  </si>
  <si>
    <t>2.5.6/1.2.1</t>
  </si>
  <si>
    <t>2.5.8/1.2.1</t>
  </si>
  <si>
    <t>2.5.10.5</t>
  </si>
  <si>
    <t>2.5.12.6</t>
  </si>
  <si>
    <t>2.5.4/1.6.3</t>
  </si>
  <si>
    <t>2.5.14.7</t>
  </si>
  <si>
    <t>2.5.8/1.4.2</t>
  </si>
  <si>
    <t>2.6.2.1</t>
  </si>
  <si>
    <t>2.6.4.2</t>
  </si>
  <si>
    <t>2.6.1/1.2.1</t>
  </si>
  <si>
    <t>2.6.6.3</t>
  </si>
  <si>
    <t>2.6.8.4</t>
  </si>
  <si>
    <t>2.6.4/1.2.1</t>
  </si>
  <si>
    <t>2.6.2/1.3.1</t>
  </si>
  <si>
    <t>2.6.2/1.2/1.2.1</t>
  </si>
  <si>
    <t>2.6.1/1.4.2</t>
  </si>
  <si>
    <t>2.6.10.5</t>
  </si>
  <si>
    <t>2.6.6/1.2.1</t>
  </si>
  <si>
    <t>2.6.4/1.4.2</t>
  </si>
  <si>
    <t>2.6.2/1.5.2</t>
  </si>
  <si>
    <t>2.6.1/1.6.3</t>
  </si>
  <si>
    <t>2.6.1/1.8.4</t>
  </si>
  <si>
    <t>2.6.4/1.2/1.2.1</t>
  </si>
  <si>
    <t>2.6.6/1.4.2</t>
  </si>
  <si>
    <t>2.6.4/1.6.3</t>
  </si>
  <si>
    <t>2.6.2/1.7.3</t>
  </si>
  <si>
    <t>2.6.4/1.2/1.4.2</t>
  </si>
  <si>
    <t>2.6.1/1.10.5</t>
  </si>
  <si>
    <t>2.6.2/1.9.4</t>
  </si>
  <si>
    <t>2.6.4/1.8.4</t>
  </si>
  <si>
    <t>2.6.6/1.6.3</t>
  </si>
  <si>
    <t>2.6.12.6</t>
  </si>
  <si>
    <t>2.7.2.1</t>
  </si>
  <si>
    <t>2.7.4.2</t>
  </si>
  <si>
    <t>2.7.6.3</t>
  </si>
  <si>
    <t>2.7.2/1.2.1</t>
  </si>
  <si>
    <t>2.7.8.4</t>
  </si>
  <si>
    <t>2.7.2/1.4.2</t>
  </si>
  <si>
    <t>2.7.10.5</t>
  </si>
  <si>
    <t>2.7.2/1.6.3</t>
  </si>
  <si>
    <t>2.7.2/1.8.4</t>
  </si>
  <si>
    <t>2.7.12.6</t>
  </si>
  <si>
    <t>2.7.14.7</t>
  </si>
  <si>
    <t>2.7.2/1.10.5</t>
  </si>
  <si>
    <t>2.8.2.1</t>
  </si>
  <si>
    <t>2.8.4.2</t>
  </si>
  <si>
    <t>2.8.1/1.2.1</t>
  </si>
  <si>
    <t>2.8.6.3</t>
  </si>
  <si>
    <t>2.8.8.4</t>
  </si>
  <si>
    <t>2.8.1/1.4.2</t>
  </si>
  <si>
    <t>2.8.2/1.2.1</t>
  </si>
  <si>
    <t>2.8.10.5</t>
  </si>
  <si>
    <t>2.8.6/1.2.1</t>
  </si>
  <si>
    <t>2.8.4/1.2.1</t>
  </si>
  <si>
    <t>2.8.2/1.4.2</t>
  </si>
  <si>
    <t>2.8.2/1.6.3</t>
  </si>
  <si>
    <t>2.8.2/1.2/1.2.1</t>
  </si>
  <si>
    <t>2.8.1/1.6.3</t>
  </si>
  <si>
    <t>2.8.2/1.2/1.4.2</t>
  </si>
  <si>
    <t>2.8.12.6</t>
  </si>
  <si>
    <t>2.8.4/1.4.2</t>
  </si>
  <si>
    <t>2.8.2/1.8.4</t>
  </si>
  <si>
    <t>2.8.1/1.8.4</t>
  </si>
  <si>
    <t>2.8.2/1.2/1.6.3</t>
  </si>
  <si>
    <t>2.8.4/1.6.3</t>
  </si>
  <si>
    <t>2.9.2.1</t>
  </si>
  <si>
    <t>2.9.4.2</t>
  </si>
  <si>
    <t>2.9.1/1.2.1</t>
  </si>
  <si>
    <t>2.9.1/1.4.2</t>
  </si>
  <si>
    <t>2.9.1/1.6.3</t>
  </si>
  <si>
    <t>2.9.1/1.2/1.2.1</t>
  </si>
  <si>
    <t>2.9.2/1.3.1</t>
  </si>
  <si>
    <t>2.9.4/1.2.1</t>
  </si>
  <si>
    <t>2.9.6.3</t>
  </si>
  <si>
    <t>2.9.8.4</t>
  </si>
  <si>
    <t>2.9.6/1.2.1</t>
  </si>
  <si>
    <t>2.9.10.5</t>
  </si>
  <si>
    <t>2.9.2/1.2/1.2.1</t>
  </si>
  <si>
    <t>2.9.1/1.8.4</t>
  </si>
  <si>
    <t>2.9.1/1.2/1.4.2</t>
  </si>
  <si>
    <t>2.9.6/1.4.2</t>
  </si>
  <si>
    <t>2.9.2/1.2/1.4.2</t>
  </si>
  <si>
    <t>2.9.1/1.2/1.6.3</t>
  </si>
  <si>
    <t>2.9.1/1.10.5</t>
  </si>
  <si>
    <t>2.9.6/1.6.3</t>
  </si>
  <si>
    <t>2.9.1/1.2/1.8.4</t>
  </si>
  <si>
    <t>2.10.2.1</t>
  </si>
  <si>
    <t>2.10.4.2</t>
  </si>
  <si>
    <t>2.10.6.3</t>
  </si>
  <si>
    <t>2.10.8.4</t>
  </si>
  <si>
    <t>2.10.2/1.2.1</t>
  </si>
  <si>
    <t>2.10.2/1.4.2</t>
  </si>
  <si>
    <t>2.10.4/1.2.1</t>
  </si>
  <si>
    <t>2.10.10.5</t>
  </si>
  <si>
    <t>2.10.6/1.2.1</t>
  </si>
  <si>
    <t>2.10.2/1.2/1.2.1</t>
  </si>
  <si>
    <t>2.10.2/1.6.3</t>
  </si>
  <si>
    <t>2.10.4/1.4.2</t>
  </si>
  <si>
    <t>2.10.12.6</t>
  </si>
  <si>
    <t>2.10.6/1.4.2</t>
  </si>
  <si>
    <t>2.10.4/1.6.3</t>
  </si>
  <si>
    <t>2.10.2/1.8.4</t>
  </si>
  <si>
    <t>2.10.2/1.2/1.4.2</t>
  </si>
  <si>
    <t>2.10.2/1.2/1.6.3</t>
  </si>
  <si>
    <t>2.10.4/1.8.4</t>
  </si>
  <si>
    <t>2.10.6/1.6.3</t>
  </si>
  <si>
    <t>2.11.2.1</t>
  </si>
  <si>
    <t>2.11.4.2</t>
  </si>
  <si>
    <t>2.11.1/1.2.1</t>
  </si>
  <si>
    <t>2.11.6.3</t>
  </si>
  <si>
    <t>2.11.2/1.2.1</t>
  </si>
  <si>
    <t>2.11.1/1.4.2</t>
  </si>
  <si>
    <t>2.11.8.4</t>
  </si>
  <si>
    <t>2.11.4/1.2.1</t>
  </si>
  <si>
    <t>2.11.4/1.4.2</t>
  </si>
  <si>
    <t>2.11.2/1.4.2</t>
  </si>
  <si>
    <t>2.11.1/1.6.3</t>
  </si>
  <si>
    <t>2.11.10.5</t>
  </si>
  <si>
    <t>2.11.6/1.2.1</t>
  </si>
  <si>
    <t>2.11.6/1.4.2</t>
  </si>
  <si>
    <t>2.11.1/1.8.4</t>
  </si>
  <si>
    <t>2.11.2/1.6.3</t>
  </si>
  <si>
    <t>2.11.1/1.10.5</t>
  </si>
  <si>
    <t>2.11.2/1.8.4</t>
  </si>
  <si>
    <t>2.11.4/1.6.3</t>
  </si>
  <si>
    <t>2.11.8/1.2.1</t>
  </si>
  <si>
    <t>2.12.2.1</t>
  </si>
  <si>
    <t>2.12.4.2</t>
  </si>
  <si>
    <t>2.12.1/1.2.1</t>
  </si>
  <si>
    <t>2.12.6.3</t>
  </si>
  <si>
    <t>2.12.1/1.4.2</t>
  </si>
  <si>
    <t>2.12.2/1.2.1</t>
  </si>
  <si>
    <t>2.12.2/1.4.2</t>
  </si>
  <si>
    <t>2.12.1/1.6.3</t>
  </si>
  <si>
    <t>2.12.4/1.2.1</t>
  </si>
  <si>
    <t>2.12.8.4</t>
  </si>
  <si>
    <t>2.12.4/1.4.2</t>
  </si>
  <si>
    <t>2.12.2/1.6.3</t>
  </si>
  <si>
    <t>2.12.1/1.8.4</t>
  </si>
  <si>
    <t>2.12.10.5</t>
  </si>
  <si>
    <t>2.12.4/1.6.3</t>
  </si>
  <si>
    <t>2.13.2.1</t>
  </si>
  <si>
    <t>2.13.4.2</t>
  </si>
  <si>
    <t>2.13.2/1.2.1</t>
  </si>
  <si>
    <t>2.13.6.3</t>
  </si>
  <si>
    <t>2.13.2/1.4.2</t>
  </si>
  <si>
    <t>2.13.4/1.2.1</t>
  </si>
  <si>
    <t>2.13.8.4</t>
  </si>
  <si>
    <t>2.13.10.5</t>
  </si>
  <si>
    <t>2.13.4/1.4.2</t>
  </si>
  <si>
    <t>2.13.2/1.6.3</t>
  </si>
  <si>
    <t>2.13.2/1.8.4</t>
  </si>
  <si>
    <t>2.13.4/1.6.3</t>
  </si>
  <si>
    <t>2.14.2.1</t>
  </si>
  <si>
    <t>2.14.4.2</t>
  </si>
  <si>
    <t>2.14.6.3</t>
  </si>
  <si>
    <t>2.14.3/1.2.1</t>
  </si>
  <si>
    <t>2.14.2/1.2.1</t>
  </si>
  <si>
    <t>2.14.2/1.4.2</t>
  </si>
  <si>
    <t>2.14.4/1.2.1</t>
  </si>
  <si>
    <t>2.14.4/1.4.2</t>
  </si>
  <si>
    <t>2.14.2/1.2/1.2.1</t>
  </si>
  <si>
    <t>2.14.3/1.4.2</t>
  </si>
  <si>
    <t>2.14.9.4</t>
  </si>
  <si>
    <t>2.14.3/1.6.3</t>
  </si>
  <si>
    <t>2.14.2/1.6.3</t>
  </si>
  <si>
    <t>2.14.2/1.2/1.4.2</t>
  </si>
  <si>
    <t>2.14.11.5</t>
  </si>
  <si>
    <t>2.14.3/1.8.4</t>
  </si>
  <si>
    <t>2.14.2/1.8.4</t>
  </si>
  <si>
    <t>2.15.2.1</t>
  </si>
  <si>
    <t>2.15.4.2</t>
  </si>
  <si>
    <t>2.15.2/1.2.1</t>
  </si>
  <si>
    <t>2.15.1/1.2.1</t>
  </si>
  <si>
    <t>2.15.1/1.4.2</t>
  </si>
  <si>
    <t>2.15.2/1.4.2</t>
  </si>
  <si>
    <t>2.15.4/1.1/1.2.1</t>
  </si>
  <si>
    <t>2.15.6.3</t>
  </si>
  <si>
    <t>2.15.8.4</t>
  </si>
  <si>
    <t>2.15.4/1.1/1.4.2</t>
  </si>
  <si>
    <t>2.15.2/1.6.3</t>
  </si>
  <si>
    <t>2.15.1/1.6.3</t>
  </si>
  <si>
    <t>2.15.1/1.8.4</t>
  </si>
  <si>
    <t>2.15.2/1.2/1.2.1</t>
  </si>
  <si>
    <t>2.15.2/1.8.4</t>
  </si>
  <si>
    <t>2.15.2/1.2/1.4.2</t>
  </si>
  <si>
    <t>2.15.4/1.1/1.6.3</t>
  </si>
  <si>
    <t>2.15.10.5</t>
  </si>
  <si>
    <t>2.15.6/1.2.1</t>
  </si>
  <si>
    <t>2.16.2.1</t>
  </si>
  <si>
    <t>2.16.4.2</t>
  </si>
  <si>
    <t>2.16.1/1.2.1</t>
  </si>
  <si>
    <t>2.16.4/1.2.1</t>
  </si>
  <si>
    <t>2.16.6/1.2.1</t>
  </si>
  <si>
    <t>2.16.7.3</t>
  </si>
  <si>
    <t>2.16.2/1.3.1</t>
  </si>
  <si>
    <t>2.16.2/1.2/1.2.1</t>
  </si>
  <si>
    <t>2.16.1/1.4.2</t>
  </si>
  <si>
    <t>2.16.9.4</t>
  </si>
  <si>
    <t>2.16.6/1.4.2</t>
  </si>
  <si>
    <t>2.16.2/1.5.2</t>
  </si>
  <si>
    <t>2.16.4/1.4.2</t>
  </si>
  <si>
    <t>2.16.1/1.6.3</t>
  </si>
  <si>
    <t>2.16.2/1.2/1.4.2</t>
  </si>
  <si>
    <t>2.16.11.5</t>
  </si>
  <si>
    <t>2.16.1/1.8.4</t>
  </si>
  <si>
    <t>2.16.4/1.6.3</t>
  </si>
  <si>
    <t>2.16.2/1.7.3</t>
  </si>
  <si>
    <t>2.17.2.1</t>
  </si>
  <si>
    <t>2.17.4.2</t>
  </si>
  <si>
    <t>2.1.7.2/1.3.1</t>
  </si>
  <si>
    <t>2.17.6.3</t>
  </si>
  <si>
    <t>2.17.8.4</t>
  </si>
  <si>
    <t>2.17.4/1.2.1</t>
  </si>
  <si>
    <t>2.17.2/1.2/1.2.1</t>
  </si>
  <si>
    <t>2.17.2/1.2/1.4.2</t>
  </si>
  <si>
    <t>2.17.4/1.4.2</t>
  </si>
  <si>
    <t>2.17.6/1.2.1</t>
  </si>
  <si>
    <t>2.17.2/1.5.2</t>
  </si>
  <si>
    <t>2.17.10.5</t>
  </si>
  <si>
    <t>2.17.6/1.4.2</t>
  </si>
  <si>
    <t>2.17.4/1.6.3</t>
  </si>
  <si>
    <t>2.17.2/1.7.3</t>
  </si>
  <si>
    <t>2.17.2/1.2/1.6.3</t>
  </si>
  <si>
    <t>2.18.2.1</t>
  </si>
  <si>
    <t>2.18.4.2</t>
  </si>
  <si>
    <t>2.18.6.3</t>
  </si>
  <si>
    <t>2.18.8.4</t>
  </si>
  <si>
    <t>2.18.4/1.2.1</t>
  </si>
  <si>
    <t>2.18.10.5</t>
  </si>
  <si>
    <t>2.18.6/1.2.1</t>
  </si>
  <si>
    <t>2.18.4/1.4.2</t>
  </si>
  <si>
    <t>2.18.12.6</t>
  </si>
  <si>
    <t>2.18.4/1.6.3</t>
  </si>
  <si>
    <t>2.18.6/1.4.2</t>
  </si>
  <si>
    <t>2.19.2.1</t>
  </si>
  <si>
    <t>2.19.4.2</t>
  </si>
  <si>
    <t>2.19.6.3</t>
  </si>
  <si>
    <t>2.19.2/1.3.1</t>
  </si>
  <si>
    <t>2.19.2/1.2/1.2.1</t>
  </si>
  <si>
    <t>2.19.8.4</t>
  </si>
  <si>
    <t>2.19.2/1.5.2</t>
  </si>
  <si>
    <t>2.19.2/1.2/1.4.2</t>
  </si>
  <si>
    <t>2.19.2/1.7.3</t>
  </si>
  <si>
    <t>2.19.6/1.2.1</t>
  </si>
  <si>
    <t>2.19.10.5</t>
  </si>
  <si>
    <t>2.20.3.1</t>
  </si>
  <si>
    <t>2.20.2/1.2.1</t>
  </si>
  <si>
    <t>2.20.6.2</t>
  </si>
  <si>
    <t>2.20.2/1.4.2</t>
  </si>
  <si>
    <t>2.20.8.3</t>
  </si>
  <si>
    <t>2.20.5/1.2.1</t>
  </si>
  <si>
    <t>2.20.3/1.2.1</t>
  </si>
  <si>
    <t>2.20.3/1.4.2</t>
  </si>
  <si>
    <t>2.20.2/1.6.3</t>
  </si>
  <si>
    <t>2.20.2/1.8.4</t>
  </si>
  <si>
    <t>2.20.2/1.4/1.2.1</t>
  </si>
  <si>
    <t>2.20.5/1.4.2</t>
  </si>
  <si>
    <t>2.20.10.4</t>
  </si>
  <si>
    <t>2.21.3.1</t>
  </si>
  <si>
    <t>2.21.2/1.2.1</t>
  </si>
  <si>
    <t>2.21.6.2</t>
  </si>
  <si>
    <t>2.21.2/1.4.2</t>
  </si>
  <si>
    <t>2.21.5/1.2.1</t>
  </si>
  <si>
    <t>2.21.2/1.6.3</t>
  </si>
  <si>
    <t>2.21.8.3</t>
  </si>
  <si>
    <t>2.21.10.4</t>
  </si>
  <si>
    <t>2.21.2/1.4/1.2.1</t>
  </si>
  <si>
    <t>2.21.5/1.4.2</t>
  </si>
  <si>
    <t>2.21.2/1.8.4</t>
  </si>
  <si>
    <t>2.22.2.1</t>
  </si>
  <si>
    <t>2.22.4.2</t>
  </si>
  <si>
    <t>2.22.6.3</t>
  </si>
  <si>
    <t>2.22.8.4</t>
  </si>
  <si>
    <t>2.22.10.5</t>
  </si>
  <si>
    <t>2.23.2.1</t>
  </si>
  <si>
    <t>2.23.4.2</t>
  </si>
  <si>
    <t>2.23.6.3</t>
  </si>
  <si>
    <t>2.23.2/1.2.1</t>
  </si>
  <si>
    <t>2.23.2/1.4.2</t>
  </si>
  <si>
    <t>2.23.6/1.2.1</t>
  </si>
  <si>
    <t>2.23.8.4</t>
  </si>
  <si>
    <t>2.24.3.1</t>
  </si>
  <si>
    <t>2.24.5.2</t>
  </si>
  <si>
    <t>2.24.2/1.2.1</t>
  </si>
  <si>
    <t>2.24.2/1.4.2</t>
  </si>
  <si>
    <t>2.24.7.3</t>
  </si>
  <si>
    <t>2.24.9.4</t>
  </si>
  <si>
    <t>2.24.2/1.6.3</t>
  </si>
  <si>
    <t>2.25.2.1</t>
  </si>
  <si>
    <t>2.25.4.2</t>
  </si>
  <si>
    <t>2.25.6.3</t>
  </si>
  <si>
    <t>2.25.8.4</t>
  </si>
  <si>
    <t>2.25.4/1.2.1</t>
  </si>
  <si>
    <t>2.26.2.1</t>
  </si>
  <si>
    <t>2.26.4.2</t>
  </si>
  <si>
    <t>2.26.6.3</t>
  </si>
  <si>
    <t>2.26.2/1.2.1</t>
  </si>
  <si>
    <t>2.26.8.4</t>
  </si>
  <si>
    <t>2.26.2/1.4.2</t>
  </si>
  <si>
    <t>2.27.2.1</t>
  </si>
  <si>
    <t>2.27.4.2</t>
  </si>
  <si>
    <t>2.27.6.3</t>
  </si>
  <si>
    <t>2.28.2.1</t>
  </si>
  <si>
    <t>2.28.4.2</t>
  </si>
  <si>
    <t>2.28.6.3</t>
  </si>
  <si>
    <t>2.28.2/1.2.1</t>
  </si>
  <si>
    <t>2.29.2.1</t>
  </si>
  <si>
    <t>2.29.4.2</t>
  </si>
  <si>
    <t>2.29.6.3</t>
  </si>
  <si>
    <t>2.29.2/1.2.1</t>
  </si>
  <si>
    <t>2.30.2.1</t>
  </si>
  <si>
    <t>2.30.4.2</t>
  </si>
  <si>
    <t>2.31.2.1</t>
  </si>
  <si>
    <t>2.31.4.2</t>
  </si>
  <si>
    <t>2.32.2.1</t>
  </si>
  <si>
    <t>2.32.4.2</t>
  </si>
  <si>
    <t>2.33.2.1</t>
  </si>
  <si>
    <t>2.33.4.2</t>
  </si>
  <si>
    <t>2.34.2.1</t>
  </si>
  <si>
    <t>2.34.4.2</t>
  </si>
  <si>
    <t>2.35.2.1</t>
  </si>
  <si>
    <t>2.36.2.1</t>
  </si>
  <si>
    <t>3.1.2.1</t>
  </si>
  <si>
    <t>3.1.4.2</t>
  </si>
  <si>
    <t>3.1.6.3</t>
  </si>
  <si>
    <t>3.1.2/1.2.1</t>
  </si>
  <si>
    <t>3.1.8.4</t>
  </si>
  <si>
    <t>3.1.4/1.2.1</t>
  </si>
  <si>
    <t>3.1.2/1.4.2</t>
  </si>
  <si>
    <t>3.1.2/2.2.1</t>
  </si>
  <si>
    <t>3.1.2/1.6.3</t>
  </si>
  <si>
    <t>3.1.2/2.4.2</t>
  </si>
  <si>
    <t>3.1.4/1.4.2</t>
  </si>
  <si>
    <t>3.1.2/1.2/1.2.1</t>
  </si>
  <si>
    <t>3.1.4/1.6.3</t>
  </si>
  <si>
    <t>3.1.2/1.4/1.2.1</t>
  </si>
  <si>
    <t>3.1.2/1.2/1.4.2</t>
  </si>
  <si>
    <t>3.1.2/2.6.3</t>
  </si>
  <si>
    <t>3.1.6/1.2.1</t>
  </si>
  <si>
    <t>3.2.2.1</t>
  </si>
  <si>
    <t>3.2.4.2</t>
  </si>
  <si>
    <t>3.2.1/1.2.1</t>
  </si>
  <si>
    <t>3.2.6.3</t>
  </si>
  <si>
    <t>3.2.4/1.3.1</t>
  </si>
  <si>
    <t>3.2.2/1.3.1</t>
  </si>
  <si>
    <t>3.2.2/1.2/1.2.1</t>
  </si>
  <si>
    <t>3.2.1/1.4.2</t>
  </si>
  <si>
    <t>3.2.8.4</t>
  </si>
  <si>
    <t>3.2.10.5</t>
  </si>
  <si>
    <t>3.2.6/1.2.1</t>
  </si>
  <si>
    <t>3.2.2/1.2/1.4.2</t>
  </si>
  <si>
    <t>3.2.4/1.2/1.2.1</t>
  </si>
  <si>
    <t>3.2.2/1.5.2</t>
  </si>
  <si>
    <t>3.2.1/1.6.3</t>
  </si>
  <si>
    <t>3.2.1/1.8.4</t>
  </si>
  <si>
    <t>3.2.4/1.2/1.4.2</t>
  </si>
  <si>
    <t>3.2.2/1.2/1.6.3</t>
  </si>
  <si>
    <t>3.2.1/1.6/1.2.1</t>
  </si>
  <si>
    <t>3.2.2/1.2/1.4/1.2.1</t>
  </si>
  <si>
    <t>3.2.1/1.10.5</t>
  </si>
  <si>
    <t>3.2.2/1.7.3</t>
  </si>
  <si>
    <t>3.2.4/1.6.2</t>
  </si>
  <si>
    <t>3.2.6/1.4.2</t>
  </si>
  <si>
    <t>3.2.4/1.8.3</t>
  </si>
  <si>
    <t>3.3.2.1</t>
  </si>
  <si>
    <t>3.3.4.2</t>
  </si>
  <si>
    <t>3.3.6.3</t>
  </si>
  <si>
    <t>3.3.2/1.2.1</t>
  </si>
  <si>
    <t>3.3.8.4</t>
  </si>
  <si>
    <t>3.3.2/1.4.2</t>
  </si>
  <si>
    <t>3.3.10.5</t>
  </si>
  <si>
    <t>3.3.2/1.6.3</t>
  </si>
  <si>
    <t>3.3.2/1.4/1.2.1</t>
  </si>
  <si>
    <t>3.3.2/1.8.4</t>
  </si>
  <si>
    <t>3.3.6/1.3.1</t>
  </si>
  <si>
    <t>3.3.12.6</t>
  </si>
  <si>
    <t>3.4.2.1</t>
  </si>
  <si>
    <t>3.4.4.2</t>
  </si>
  <si>
    <t>3.4.6.3</t>
  </si>
  <si>
    <t>3.4.2/1.3.1</t>
  </si>
  <si>
    <t>3.4.1/1.2.1</t>
  </si>
  <si>
    <t>3.4.1/1.4.2</t>
  </si>
  <si>
    <t>3.4.1/1.2/1.2.1</t>
  </si>
  <si>
    <t>3.4.2/1.5.2</t>
  </si>
  <si>
    <t>3.4.1/1.6.3</t>
  </si>
  <si>
    <t>3.4.4/1.2.1</t>
  </si>
  <si>
    <t>3.4.8.4</t>
  </si>
  <si>
    <t>3.4.4/1.4.2</t>
  </si>
  <si>
    <t>3.4.4/1.2/1.2.1</t>
  </si>
  <si>
    <t>3.4.2/1.7.3</t>
  </si>
  <si>
    <t>3.4.1/1.8.4</t>
  </si>
  <si>
    <t>3.4.1/1.2/1.4.2</t>
  </si>
  <si>
    <t>3.4.2/1.2/1.2.1</t>
  </si>
  <si>
    <t>3.4.1/1.2/1.6.3</t>
  </si>
  <si>
    <t>3.4.1/1.6/1.2.1</t>
  </si>
  <si>
    <t>3.4.1/1.10.5</t>
  </si>
  <si>
    <t>3.4.2/1.2/1.4.2</t>
  </si>
  <si>
    <t>3.4.2/1.9.4</t>
  </si>
  <si>
    <t>3.4.4/1.2/1.4.2</t>
  </si>
  <si>
    <t>3.4.4/1.6.3</t>
  </si>
  <si>
    <t>3.4.6/1.3.1</t>
  </si>
  <si>
    <t>3.4.7/1.2.1</t>
  </si>
  <si>
    <t>3.4.2/1.2/1.6.3</t>
  </si>
  <si>
    <t>3.4.4/1.8.4</t>
  </si>
  <si>
    <t>3.4.6/1.5.2</t>
  </si>
  <si>
    <t>3.5.2.1</t>
  </si>
  <si>
    <t>3.5.4.2</t>
  </si>
  <si>
    <t>3.5.6.3</t>
  </si>
  <si>
    <t>3.5.2/1.2.1</t>
  </si>
  <si>
    <t>3.5.2/1.4.2</t>
  </si>
  <si>
    <t>3.5.8.4</t>
  </si>
  <si>
    <t>3.5.2/1.6.3</t>
  </si>
  <si>
    <t>3.5.4/1.3.1</t>
  </si>
  <si>
    <t>3.5.6/1.2.1</t>
  </si>
  <si>
    <t>3.5.10.5</t>
  </si>
  <si>
    <t>3.5.8/1.2.1</t>
  </si>
  <si>
    <t>3.5.4/1.5.2</t>
  </si>
  <si>
    <t>3.5.4/1.2/1.2.1</t>
  </si>
  <si>
    <t>3.5.2/1.8.4</t>
  </si>
  <si>
    <t>3.5.8/1.4.2</t>
  </si>
  <si>
    <t>3.5.4/1.2/1.4.2</t>
  </si>
  <si>
    <t>3.5.2/1.10.5</t>
  </si>
  <si>
    <t>3.5.4/1.7.3</t>
  </si>
  <si>
    <t>3.5.2/1.6/1.2.1</t>
  </si>
  <si>
    <t>3.5.4/1.2/1.6.3</t>
  </si>
  <si>
    <t>3.6.2.1</t>
  </si>
  <si>
    <t>3.6.4.2</t>
  </si>
  <si>
    <t>3.6.6.3</t>
  </si>
  <si>
    <t>3.6.2/1.2.1</t>
  </si>
  <si>
    <t>3.6.1/1.2.1</t>
  </si>
  <si>
    <t>3.6.1/1.4.2</t>
  </si>
  <si>
    <t>3.6.8.4</t>
  </si>
  <si>
    <t>3.6.4/1.2.1</t>
  </si>
  <si>
    <t>3.6.1/1.6.3</t>
  </si>
  <si>
    <t>3.6.2/1.4.2</t>
  </si>
  <si>
    <t>3.6.6/1.2.1</t>
  </si>
  <si>
    <t>3.6.6/1.4.2</t>
  </si>
  <si>
    <t>3.6.4/1.4.2</t>
  </si>
  <si>
    <t>3.6.4/1.2/1.2.1</t>
  </si>
  <si>
    <t>3.6.1/1.8.4</t>
  </si>
  <si>
    <t>3.6.2/1.6.3</t>
  </si>
  <si>
    <t>3.6.10.5</t>
  </si>
  <si>
    <t>3.6.8/1.3.1</t>
  </si>
  <si>
    <t>3.6.4/1.6.3</t>
  </si>
  <si>
    <t>3.6.4/1.2/1.4.2</t>
  </si>
  <si>
    <t>3.6.2/1.8.4</t>
  </si>
  <si>
    <t>3.6.1/1.10.5</t>
  </si>
  <si>
    <t>3.6.2/1.10.5</t>
  </si>
  <si>
    <t>3.6.4/1.8.4</t>
  </si>
  <si>
    <t>3.6.12.6</t>
  </si>
  <si>
    <t>3.7.2.1</t>
  </si>
  <si>
    <t>3.7.4.2</t>
  </si>
  <si>
    <t>3.7.6.3</t>
  </si>
  <si>
    <t>3.7.1/1.2.1</t>
  </si>
  <si>
    <t>3.7.8.4</t>
  </si>
  <si>
    <t>3.7.4/1.2.1</t>
  </si>
  <si>
    <t>3.7.1/1.4.2</t>
  </si>
  <si>
    <t>3.7.4/1.4.2</t>
  </si>
  <si>
    <t>3.7.1/1.6.3</t>
  </si>
  <si>
    <t>3.7.10.5</t>
  </si>
  <si>
    <t>3.7.4/1.6.3</t>
  </si>
  <si>
    <t>3.7.1/1.8.4</t>
  </si>
  <si>
    <t>3.7.1/1.10.5</t>
  </si>
  <si>
    <t>3.8.2.1</t>
  </si>
  <si>
    <t>3.8.4.2</t>
  </si>
  <si>
    <t>3.8.6.3</t>
  </si>
  <si>
    <t>3.8.8.4</t>
  </si>
  <si>
    <t>3.8.2/1.3.1</t>
  </si>
  <si>
    <t>3.8.2/1.2/1.2.1</t>
  </si>
  <si>
    <t>3.8.4/1.2.1</t>
  </si>
  <si>
    <t>3.8.10.5</t>
  </si>
  <si>
    <t>3.8.4/1.4.2</t>
  </si>
  <si>
    <t>3.8.2/1.5.2</t>
  </si>
  <si>
    <t>3.8.2/1.2/1.4.2</t>
  </si>
  <si>
    <t>3.8.8/1.2.1</t>
  </si>
  <si>
    <t>3.8.4/1.2/1.2.1</t>
  </si>
  <si>
    <t>3.8.2/1.2/1.6.3</t>
  </si>
  <si>
    <t>3.8.2/1.2/1.2/1.2.1</t>
  </si>
  <si>
    <t>3.8.2/1.2/1.2/1.4.2</t>
  </si>
  <si>
    <t>3.8.2/1.2/1.8.4</t>
  </si>
  <si>
    <t>3.8.4/1.6.3</t>
  </si>
  <si>
    <t>3.8.4/1.2/1.4.2</t>
  </si>
  <si>
    <t>3.8.12.6</t>
  </si>
  <si>
    <t>3.9.2.1</t>
  </si>
  <si>
    <t>3.9.4.2</t>
  </si>
  <si>
    <t>3.9.6.3</t>
  </si>
  <si>
    <t>3.9.2/1.2.1</t>
  </si>
  <si>
    <t>3.9.2/1.4.2</t>
  </si>
  <si>
    <t>3.9.8.4</t>
  </si>
  <si>
    <t>3.9.2/1.6.3</t>
  </si>
  <si>
    <t>3.9.10.5</t>
  </si>
  <si>
    <t>3.9.6/1.2.1</t>
  </si>
  <si>
    <t>3.9.6/1.4.2</t>
  </si>
  <si>
    <t>3.9.12.6</t>
  </si>
  <si>
    <t>3.9.2/1.8.4</t>
  </si>
  <si>
    <t>3.9.2/1.6/1.1.1</t>
  </si>
  <si>
    <t>3.9.6/1.6.3</t>
  </si>
  <si>
    <t>3.9.14.7</t>
  </si>
  <si>
    <t>3.10.2.1</t>
  </si>
  <si>
    <t>3.10.4.2</t>
  </si>
  <si>
    <t>3.10.6.3</t>
  </si>
  <si>
    <t>3.10.1/1.2.1</t>
  </si>
  <si>
    <t>3.10.8.4</t>
  </si>
  <si>
    <t>3.10.4/1.2.1</t>
  </si>
  <si>
    <t>3.10.2/1.2/1.2.1</t>
  </si>
  <si>
    <t>3.10.1/1.2/1.2.1</t>
  </si>
  <si>
    <t>3.10.2/1.3.1</t>
  </si>
  <si>
    <t>3.10.1/1.4.2</t>
  </si>
  <si>
    <t>3.10.10.5</t>
  </si>
  <si>
    <t>3.10.4/1.4.2</t>
  </si>
  <si>
    <t>3.10.2/1.5.2</t>
  </si>
  <si>
    <t>,64</t>
  </si>
  <si>
    <t>3.10.2/1.2/1.4.2</t>
  </si>
  <si>
    <t>3.10.1/1.2/1.4.2</t>
  </si>
  <si>
    <t>3.10.1/1.6.3</t>
  </si>
  <si>
    <t>3.10.1/1.8.4</t>
  </si>
  <si>
    <t>3.10.12.6</t>
  </si>
  <si>
    <t>3.10.6/1.3.1</t>
  </si>
  <si>
    <t>3.10.4/1.6.3</t>
  </si>
  <si>
    <t>3.10.4/1.2/1.2.1</t>
  </si>
  <si>
    <t>3.10.2/1.7.3</t>
  </si>
  <si>
    <t>3.10.2/1.2/1.6.3</t>
  </si>
  <si>
    <t>3.10.1/1.4/1.2.1</t>
  </si>
  <si>
    <t>3.10.1/1.2/1.6.3</t>
  </si>
  <si>
    <t>3.10.1/1.4/1.4.2</t>
  </si>
  <si>
    <t>3.10.1/1.10.5</t>
  </si>
  <si>
    <t>3.10.2/1.9.4</t>
  </si>
  <si>
    <t>3.10.4/1.2/1/4.2</t>
  </si>
  <si>
    <t>3.10.4/1.8.4</t>
  </si>
  <si>
    <t>3.11.2.1</t>
  </si>
  <si>
    <t>3.11.4.2</t>
  </si>
  <si>
    <t>3.11.6.3</t>
  </si>
  <si>
    <t>3.11.2/1.2.1</t>
  </si>
  <si>
    <t>3.11.4/1.2.1</t>
  </si>
  <si>
    <t>3.11.8.4</t>
  </si>
  <si>
    <t>3.11.6/1.2.1</t>
  </si>
  <si>
    <t>3.11.10.5</t>
  </si>
  <si>
    <t>3.11.4/1.4.2</t>
  </si>
  <si>
    <t>3.11.2/1.4.2</t>
  </si>
  <si>
    <t>3.11.2/1.2/1.2.1</t>
  </si>
  <si>
    <t>3.11.8/1.2.1</t>
  </si>
  <si>
    <t>3.11.4/1.2/1.2.1</t>
  </si>
  <si>
    <t>3.11.6/1.4.2</t>
  </si>
  <si>
    <t>3.11.4/1.6.3</t>
  </si>
  <si>
    <t>3.11.2/1.6.3</t>
  </si>
  <si>
    <t>3.11.2/1.2/1.4.2</t>
  </si>
  <si>
    <t>3.11.2/1.2/1.6.3</t>
  </si>
  <si>
    <t>3.11.2/1.8.4</t>
  </si>
  <si>
    <t>3.11.4/1.2/1.4.2</t>
  </si>
  <si>
    <t>3.11.6/1.6.3</t>
  </si>
  <si>
    <t>3.11.12.6</t>
  </si>
  <si>
    <t>3.12.2.1</t>
  </si>
  <si>
    <t>3.12.4.2</t>
  </si>
  <si>
    <t>3.12.1/1.2.1</t>
  </si>
  <si>
    <t>3.12.1/1.4.2</t>
  </si>
  <si>
    <t>3.12.2/1.3.1</t>
  </si>
  <si>
    <t>3.12.6.3</t>
  </si>
  <si>
    <t>3.12.2/1.5.2</t>
  </si>
  <si>
    <t>3.12.1/1.6.3</t>
  </si>
  <si>
    <t>3.12.2/1.2/1.2.1</t>
  </si>
  <si>
    <t>3.12.4/1.2.1</t>
  </si>
  <si>
    <t>3.12.8.4</t>
  </si>
  <si>
    <t>3.12.1/1.2/1.2.1</t>
  </si>
  <si>
    <t>3.12.1/1.2/1.4.2</t>
  </si>
  <si>
    <t>3.12.1/1.8.4</t>
  </si>
  <si>
    <t>3.12.2/1.2/1.4.2</t>
  </si>
  <si>
    <t>3.12.2/1.3/1.2.1</t>
  </si>
  <si>
    <t>3.12.2/1.7.3</t>
  </si>
  <si>
    <t>3.12.4/1.2/1.2.1</t>
  </si>
  <si>
    <t>3.12.4/1.6.3</t>
  </si>
  <si>
    <t>3.12.4/1.4.2</t>
  </si>
  <si>
    <t>3.12.6/1.3.1</t>
  </si>
  <si>
    <t>3.12.10.5</t>
  </si>
  <si>
    <t>3.12.1/1.2/1.6.3</t>
  </si>
  <si>
    <t>3.12.2/1.2/1.6.3</t>
  </si>
  <si>
    <t>3.12.2/1.9.4</t>
  </si>
  <si>
    <t>3.12.4/1.2/1.4.2</t>
  </si>
  <si>
    <t>3.12.4/1.8.4</t>
  </si>
  <si>
    <t>3.13.2.1</t>
  </si>
  <si>
    <t>3.13.4.2</t>
  </si>
  <si>
    <t>3.13.2/1.2.1</t>
  </si>
  <si>
    <t>3.13.6.3</t>
  </si>
  <si>
    <t>3.13.8.4</t>
  </si>
  <si>
    <t>3.13.2/1.4.2</t>
  </si>
  <si>
    <t>3.13.2/1.2/1.2.1</t>
  </si>
  <si>
    <t>3.13.4/1.2.1</t>
  </si>
  <si>
    <t>3.13.10.5</t>
  </si>
  <si>
    <t>3.13.2/1.6.3</t>
  </si>
  <si>
    <t>3.13.2/1.2/1.4.2</t>
  </si>
  <si>
    <t>3.13.12.6</t>
  </si>
  <si>
    <t>3.13.2/1.8.4</t>
  </si>
  <si>
    <t>3.13.4/1.4.2</t>
  </si>
  <si>
    <t>3.13.2/1.2/1.6.3</t>
  </si>
  <si>
    <t>3.14.2.1</t>
  </si>
  <si>
    <t>3.14.4.2</t>
  </si>
  <si>
    <t>3.14.6.3</t>
  </si>
  <si>
    <t>3.14.2/1.2.1</t>
  </si>
  <si>
    <t>3.14.8.4</t>
  </si>
  <si>
    <t>3.14.2/1.4.2</t>
  </si>
  <si>
    <t>3.14.10.5</t>
  </si>
  <si>
    <t>3.14.6/1.2.1</t>
  </si>
  <si>
    <t>3.14.4/1.3.1</t>
  </si>
  <si>
    <t>3.14.2/1.6.3</t>
  </si>
  <si>
    <t>3.14.2/1.2/1.2.1</t>
  </si>
  <si>
    <t>3.14.12.6</t>
  </si>
  <si>
    <t>3.14.2/1.2/1.4.2</t>
  </si>
  <si>
    <t>3.14.4/1.5.2</t>
  </si>
  <si>
    <t>3.14.2/1.8.4</t>
  </si>
  <si>
    <t>3.15.2.1</t>
  </si>
  <si>
    <t>3.15.4.2</t>
  </si>
  <si>
    <t>3.15.6.3</t>
  </si>
  <si>
    <t>3.15.1/1.2.1</t>
  </si>
  <si>
    <t>3.15.2/1.3.1</t>
  </si>
  <si>
    <t>3.15.2/1.2/1.2.1</t>
  </si>
  <si>
    <t>3.15.2/1.5.2</t>
  </si>
  <si>
    <t>3.15.4/1.2.1</t>
  </si>
  <si>
    <t>3.15.8.4</t>
  </si>
  <si>
    <t>3.15.1/1.4.2</t>
  </si>
  <si>
    <t>3.15.10.5</t>
  </si>
  <si>
    <t>3.15.6/1.2.1</t>
  </si>
  <si>
    <t>3.15.4/1.4.2</t>
  </si>
  <si>
    <t>3.15.2/1.7.3</t>
  </si>
  <si>
    <t>3.15.2/1.3/1.2.1</t>
  </si>
  <si>
    <t>3.15.2/1.2/1.4.2</t>
  </si>
  <si>
    <t>3.15.1/1.6.3</t>
  </si>
  <si>
    <t>3.15.12.6</t>
  </si>
  <si>
    <t>3.15.4/1.2/1.2.1</t>
  </si>
  <si>
    <t>3.15.2/1.3/1.4.2</t>
  </si>
  <si>
    <t>3.15.2/1.2/1.6.3</t>
  </si>
  <si>
    <t>3.15.6/1.4.2</t>
  </si>
  <si>
    <t>3.15.4/1.6.3</t>
  </si>
  <si>
    <t>3.15.2/1.9.4</t>
  </si>
  <si>
    <t>3.15.1/1.8.4</t>
  </si>
  <si>
    <t>3.16.2.1</t>
  </si>
  <si>
    <t>3.16.4.2</t>
  </si>
  <si>
    <t>3.16.1/1.3.1</t>
  </si>
  <si>
    <t>3.16.6.3</t>
  </si>
  <si>
    <t>3.16.2/1.3.1</t>
  </si>
  <si>
    <t>3.16.1/1.5.2</t>
  </si>
  <si>
    <t>3.16.2/1.2/1.2.1</t>
  </si>
  <si>
    <t>3.16.1/1.7.3</t>
  </si>
  <si>
    <t>3.16.2/1.2/1.4.2</t>
  </si>
  <si>
    <t>3.16.2/1.7.3</t>
  </si>
  <si>
    <t>3.16.2/1.5.2</t>
  </si>
  <si>
    <t>3.16.6/1.2.1</t>
  </si>
  <si>
    <t>3.16.8.4</t>
  </si>
  <si>
    <t>3.16.10.5</t>
  </si>
  <si>
    <t>3.16.1/1.9.4</t>
  </si>
  <si>
    <t>3.16.2/1.2/1.6.3</t>
  </si>
  <si>
    <t>3.16.4/1.2.1</t>
  </si>
  <si>
    <t>3.17.2.1</t>
  </si>
  <si>
    <t>3.17.4.2</t>
  </si>
  <si>
    <t>3.17.6.3</t>
  </si>
  <si>
    <t>3.17.2/1.2.1</t>
  </si>
  <si>
    <t>3.17.8.4</t>
  </si>
  <si>
    <t>3.17.4/1.2.1</t>
  </si>
  <si>
    <t>3.17.2/1.4.2</t>
  </si>
  <si>
    <t>3.17.2/1.2/1.2.1</t>
  </si>
  <si>
    <t>3.17.10.5</t>
  </si>
  <si>
    <t>3.17.2/1.2/1.4.2</t>
  </si>
  <si>
    <t>3.17.6/1.2.1</t>
  </si>
  <si>
    <t>3.17.2/1.6.3</t>
  </si>
  <si>
    <t>3.18.3.1</t>
  </si>
  <si>
    <t>3.18.2/1.2.1</t>
  </si>
  <si>
    <t>3.18.5.2</t>
  </si>
  <si>
    <t>3.18.2/1.4.2</t>
  </si>
  <si>
    <t>3.18.2/1.6.3</t>
  </si>
  <si>
    <t>3.18.5/1.2.1</t>
  </si>
  <si>
    <t>3.18.7.3</t>
  </si>
  <si>
    <t>3.18.9.4</t>
  </si>
  <si>
    <t>3.18.2/1.8.4</t>
  </si>
  <si>
    <t>3.18.2/1.4/1.2.1</t>
  </si>
  <si>
    <t>3.18.5/1.4.2</t>
  </si>
  <si>
    <t>3.19.3.1</t>
  </si>
  <si>
    <t>3.19.2/1.2.1</t>
  </si>
  <si>
    <t>3.19.6.2</t>
  </si>
  <si>
    <t>3.19.5/1.2.1</t>
  </si>
  <si>
    <t>3.19.4/1.2.1</t>
  </si>
  <si>
    <t>3.19.3/1.2.1</t>
  </si>
  <si>
    <t xml:space="preserve"> 3.19.8.3</t>
  </si>
  <si>
    <t>3.19.5/1.4.2</t>
  </si>
  <si>
    <t>3.19.4/1.4.2</t>
  </si>
  <si>
    <t>3.19.3/1.4.2</t>
  </si>
  <si>
    <t>3.19.3/1.2/1.2.1</t>
  </si>
  <si>
    <t>3.19.10.4</t>
  </si>
  <si>
    <t>3.19.5/1.2/1.2.1</t>
  </si>
  <si>
    <t>3.19.5/1.6.3</t>
  </si>
  <si>
    <t>3.19.3/1.2/1.4.2</t>
  </si>
  <si>
    <t>3.20.2.1</t>
  </si>
  <si>
    <t>3.20.2/1.2.1</t>
  </si>
  <si>
    <t>3.20.4.2</t>
  </si>
  <si>
    <t>3.20.6.3</t>
  </si>
  <si>
    <t>3.20.2/1.4.2</t>
  </si>
  <si>
    <t>3.20.8.4</t>
  </si>
  <si>
    <t>3.20.2/1.6.3</t>
  </si>
  <si>
    <t>3.21.2.1</t>
  </si>
  <si>
    <t>3.21.4.2</t>
  </si>
  <si>
    <t>3.21.6.3</t>
  </si>
  <si>
    <t>3.21.8.4</t>
  </si>
  <si>
    <t>3.21.10.5</t>
  </si>
  <si>
    <t>3.22.2.1</t>
  </si>
  <si>
    <t>3.22.4.2</t>
  </si>
  <si>
    <t>3.22.6.3</t>
  </si>
  <si>
    <t>3.22.8.4</t>
  </si>
  <si>
    <t>3.23.2.1</t>
  </si>
  <si>
    <t>3.23.4.2</t>
  </si>
  <si>
    <t>3.23.6.3</t>
  </si>
  <si>
    <t>3.23.8.4</t>
  </si>
  <si>
    <t>3.23.4/1.2.1</t>
  </si>
  <si>
    <t>3.24.2.1</t>
  </si>
  <si>
    <t>3.24.4.2</t>
  </si>
  <si>
    <t>3.24.6.3</t>
  </si>
  <si>
    <t>3.24.2/1.2.1</t>
  </si>
  <si>
    <t>3.24.8.4</t>
  </si>
  <si>
    <t>3.24.4/1.2.1</t>
  </si>
  <si>
    <t>3.24.2/1.4.2</t>
  </si>
  <si>
    <t>3.25.2.1</t>
  </si>
  <si>
    <t>3.25.4.2</t>
  </si>
  <si>
    <t>3.25.6.3</t>
  </si>
  <si>
    <t>3.25.2/1.2.1</t>
  </si>
  <si>
    <t>3.26.2.1</t>
  </si>
  <si>
    <t>3.26.4.2</t>
  </si>
  <si>
    <t>3.26.6.3</t>
  </si>
  <si>
    <t>3.26.2/1.2.1</t>
  </si>
  <si>
    <t>3.27.2.1</t>
  </si>
  <si>
    <t>3.27.4.2</t>
  </si>
  <si>
    <t>3.27.6.3</t>
  </si>
  <si>
    <t>3.28.2.1</t>
  </si>
  <si>
    <t>3.28.4.2</t>
  </si>
  <si>
    <t>3.28.2/1.2.1</t>
  </si>
  <si>
    <t>3.28.6.3</t>
  </si>
  <si>
    <t>3.28.2/1.4.2</t>
  </si>
  <si>
    <t>3.29.2.1</t>
  </si>
  <si>
    <t>3.29.4.2</t>
  </si>
  <si>
    <t>3.29.6.3</t>
  </si>
  <si>
    <t>3.29.2/1.2.1</t>
  </si>
  <si>
    <t>3.30.2.1</t>
  </si>
  <si>
    <t>3.30.4.2</t>
  </si>
  <si>
    <t>3.30.6.3</t>
  </si>
  <si>
    <t>3.31.2.1</t>
  </si>
  <si>
    <t>3.31.4.2</t>
  </si>
  <si>
    <t>3.31.2/1.2.1</t>
  </si>
  <si>
    <t>3.32.2.1</t>
  </si>
  <si>
    <t>3.32.4.2</t>
  </si>
  <si>
    <t>3.33.2.1</t>
  </si>
  <si>
    <t>3.33.4.2</t>
  </si>
  <si>
    <t>3.34.2.1</t>
  </si>
  <si>
    <t>3.34.4.2</t>
  </si>
  <si>
    <t>3.34.6.3</t>
  </si>
  <si>
    <t>3.34.2/1.2.1</t>
  </si>
  <si>
    <t>3.35.2.1</t>
  </si>
  <si>
    <t>3.35.4.2</t>
  </si>
  <si>
    <t>3.36.2.1</t>
  </si>
  <si>
    <t>3.36.4.2</t>
  </si>
  <si>
    <t>3.37.2.1</t>
  </si>
  <si>
    <t>3.37.4.2</t>
  </si>
  <si>
    <t>3.38.2.1</t>
  </si>
  <si>
    <t>3.38.4.2</t>
  </si>
  <si>
    <t>3.39.2.1</t>
  </si>
  <si>
    <t>3.39.4.2</t>
  </si>
  <si>
    <t>3.40.2.1</t>
  </si>
  <si>
    <t>3.40.4.2</t>
  </si>
  <si>
    <t>3.41.2.1</t>
  </si>
  <si>
    <t>3.42.2.1</t>
  </si>
  <si>
    <t>3.42.4.2</t>
  </si>
  <si>
    <t>3.43.2.1</t>
  </si>
  <si>
    <t>3.44.2.1</t>
  </si>
  <si>
    <t>3.45.2.1</t>
  </si>
  <si>
    <t>3.46.2.1</t>
  </si>
  <si>
    <t>Remark</t>
  </si>
  <si>
    <t>1.1.3/1.3.1</t>
  </si>
  <si>
    <t>1.1.6/1.2.1</t>
  </si>
  <si>
    <t>1.1.3/1.5.2</t>
  </si>
  <si>
    <t>1.1.3/1.2/1.2.1</t>
  </si>
  <si>
    <t>1.1.1/1.2/1.2.1</t>
  </si>
  <si>
    <t>1.1.12.6</t>
  </si>
  <si>
    <t>1.1.6/1.4.2</t>
  </si>
  <si>
    <t>1.1.4/1.6.3</t>
  </si>
  <si>
    <t>1.1.3/1.7.3</t>
  </si>
  <si>
    <t>1.1.3/1.2/1.4.2</t>
  </si>
  <si>
    <t>1.1.1/1.2/1.6.3</t>
  </si>
  <si>
    <t>1.1.1/1.2/1.4.2</t>
  </si>
  <si>
    <t>1.1.1/1.4/1.2.1</t>
  </si>
  <si>
    <t>1.1.1/1.4/1.4.2</t>
  </si>
  <si>
    <t>1.1.6/1.6.3</t>
  </si>
  <si>
    <t>1.1.4/1.8.4</t>
  </si>
  <si>
    <t>1.1.3/1.4/1.6.3</t>
  </si>
  <si>
    <t>1.2.7.3</t>
  </si>
  <si>
    <t>1.2.3/1.2.1</t>
  </si>
  <si>
    <t>1.2.2/1.2.1</t>
  </si>
  <si>
    <t>1.2.1/1.1/1.2.1</t>
  </si>
  <si>
    <t>1.2.3/1.4.2</t>
  </si>
  <si>
    <t>1.2.2/1.4.2</t>
  </si>
  <si>
    <t>1.2.1/1.1/1.4.2</t>
  </si>
  <si>
    <t>1.2.2/1.6.3</t>
  </si>
  <si>
    <t>1.2.1/1.1/1.6.3</t>
  </si>
  <si>
    <t>1.2.3/1.6.3</t>
  </si>
  <si>
    <t>1.2.11.5</t>
  </si>
  <si>
    <t>1.2.9.4</t>
  </si>
  <si>
    <t>1.3.4.2</t>
  </si>
  <si>
    <t>1.3.3/1.2.1</t>
  </si>
  <si>
    <t>1.3.6.3</t>
  </si>
  <si>
    <t>1.3.8.4</t>
  </si>
  <si>
    <t>1.3.10.5</t>
  </si>
  <si>
    <t>1.3.3/1.4.2</t>
  </si>
  <si>
    <t>1.3.3/1.6.3</t>
  </si>
  <si>
    <t>1.3.12.6</t>
  </si>
  <si>
    <t>1.4.2/1.2.1</t>
  </si>
  <si>
    <t>1.4.2/1.4.2</t>
  </si>
  <si>
    <t>1.4.2/1.6.3</t>
  </si>
  <si>
    <t>1.5.1/1.4.2</t>
  </si>
  <si>
    <t>1.5.1/1.6.3</t>
  </si>
  <si>
    <t>1.5.1/1.8.4</t>
  </si>
  <si>
    <t>1.7.3.1</t>
  </si>
  <si>
    <t>1.7.5.2</t>
  </si>
  <si>
    <t>1.7.7.3</t>
  </si>
  <si>
    <t>1.7.9.4</t>
  </si>
  <si>
    <t>1.7.2/1.6.3</t>
  </si>
  <si>
    <t>1.7.2/1.8.4</t>
  </si>
  <si>
    <t>1.8.2.1</t>
  </si>
  <si>
    <t>1.8.4.2</t>
  </si>
  <si>
    <t>1.8.6.3</t>
  </si>
  <si>
    <t>1.8.8.4</t>
  </si>
  <si>
    <t>1.8.3/1.2.1</t>
  </si>
  <si>
    <t>2.1.1/1.2.1</t>
  </si>
  <si>
    <t>2.1.1/1.4.2</t>
  </si>
  <si>
    <t>2.1.2/1.2.1</t>
  </si>
  <si>
    <t>2.1.3/1.2.1</t>
  </si>
  <si>
    <t>2.1.4/1.3.1</t>
  </si>
  <si>
    <t>2.1.3/1.4.2</t>
  </si>
  <si>
    <t>2.1.3/1.2/1.2.1</t>
  </si>
  <si>
    <t>2.1.2/1.4.2</t>
  </si>
  <si>
    <t>2.1.1/1.6.3</t>
  </si>
  <si>
    <t>2.1.4/1.2/1.2.1</t>
  </si>
  <si>
    <t>2.1.4/1.5.2</t>
  </si>
  <si>
    <t>2.1.3/1.6.3</t>
  </si>
  <si>
    <t>2.1.3/1.2/1.4.2</t>
  </si>
  <si>
    <t>2.1.2/1.6.3</t>
  </si>
  <si>
    <t>2.1.1/1.8.4</t>
  </si>
  <si>
    <t>2.1.12.6</t>
  </si>
  <si>
    <t>2.1.4/1.2/1.4.2</t>
  </si>
  <si>
    <t>2.1.3/1.8.4</t>
  </si>
  <si>
    <t>2.1.1/1.10.5</t>
  </si>
  <si>
    <t>2.1.14.7</t>
  </si>
  <si>
    <t>2.1.6/1.6.3</t>
  </si>
  <si>
    <t>2.1.4/1.2/1.6.3</t>
  </si>
  <si>
    <t>2.1.4/1.7.3</t>
  </si>
  <si>
    <t>2.1.3/1.2/1.6.3</t>
  </si>
  <si>
    <t>2.1.2/1.8.4</t>
  </si>
  <si>
    <t>2.2.4/1.2.1</t>
  </si>
  <si>
    <t>2.2.3/1.3.1</t>
  </si>
  <si>
    <t>2.2.10.5</t>
  </si>
  <si>
    <t>2.2.6/1.2.1</t>
  </si>
  <si>
    <t>2.2.4/1.4.2</t>
  </si>
  <si>
    <t>2.2.3/1.5.2</t>
  </si>
  <si>
    <t>2.2.3/1.2/1.2.1</t>
  </si>
  <si>
    <t>2.2.3/1.2/1.4.2</t>
  </si>
  <si>
    <t>2.2.12.6</t>
  </si>
  <si>
    <t>2.2.6/1.4.2</t>
  </si>
  <si>
    <t>2.2.3/1.7.3</t>
  </si>
  <si>
    <t>2.2.1/1.10.5</t>
  </si>
  <si>
    <t>2.2.8/1.2.1</t>
  </si>
  <si>
    <t>2.2.6/1.6.3</t>
  </si>
  <si>
    <t>2.3.3/1.2.1</t>
  </si>
  <si>
    <t>2.3.3/1.4.2</t>
  </si>
  <si>
    <t>2.3.3/1.6.3</t>
  </si>
  <si>
    <t>2.3.1/1.4/1.2.1</t>
  </si>
  <si>
    <t>2.3.12.6</t>
  </si>
  <si>
    <t>2.3.6/1.4.2</t>
  </si>
  <si>
    <t>2.3.3/1.8.4</t>
  </si>
  <si>
    <t>2.3/1/1.6/1.2.1</t>
  </si>
  <si>
    <t>2.4.1/1.2.1</t>
  </si>
  <si>
    <t>2.4.3/1.2.1</t>
  </si>
  <si>
    <t>2.4.1/1.4.2</t>
  </si>
  <si>
    <t>2.4.4/1.2.1</t>
  </si>
  <si>
    <t>2.4.3/1.4.2</t>
  </si>
  <si>
    <t>2.4.1/1.6.3</t>
  </si>
  <si>
    <t>2.4.4/1.4.2</t>
  </si>
  <si>
    <t>2.4.3/1.6.3</t>
  </si>
  <si>
    <t>2.4.1/1.8.4</t>
  </si>
  <si>
    <t>2.4.4/1.6.3</t>
  </si>
  <si>
    <t>2.4.3/1.8.4</t>
  </si>
  <si>
    <t>2.4.1/1.10.5</t>
  </si>
  <si>
    <t>2.4.1/1.4/1.2.1</t>
  </si>
  <si>
    <t>2.5.2/1.2.1</t>
  </si>
  <si>
    <t>2.5.3/1.2.1</t>
  </si>
  <si>
    <t>2.5.1/1.2.1</t>
  </si>
  <si>
    <t>Just created</t>
  </si>
  <si>
    <t>2.5.1/1.4.2</t>
  </si>
  <si>
    <t>2.5.3/1.4.2</t>
  </si>
  <si>
    <t>2.5.2/1.4.2</t>
  </si>
  <si>
    <t>2.5.1/1.6.3</t>
  </si>
  <si>
    <t>2.5.3/1.6.3</t>
  </si>
  <si>
    <t>2.5.2/1.6.3</t>
  </si>
  <si>
    <t>2.5.1/1.8.4</t>
  </si>
  <si>
    <t>2.6.3/1.2.1</t>
  </si>
  <si>
    <t>2.6.2/1.2.1</t>
  </si>
  <si>
    <t>2.6.3/1.4.2</t>
  </si>
  <si>
    <t>2.6.2/1.4.2</t>
  </si>
  <si>
    <t>2.6.2/1.6.3</t>
  </si>
  <si>
    <t>2.7.3/1.2.1</t>
  </si>
  <si>
    <t>2.7.4/1.2.1</t>
  </si>
  <si>
    <t>2.7.3/1.4.2</t>
  </si>
  <si>
    <t>2.9.7.3</t>
  </si>
  <si>
    <t>2.11.3/1.2.1</t>
  </si>
  <si>
    <t>3.1.3/1.2.1</t>
  </si>
  <si>
    <t>3.1.10.5</t>
  </si>
  <si>
    <t>3.1.3/1.4.2</t>
  </si>
  <si>
    <t>3.1.3/1.6.3</t>
  </si>
  <si>
    <t>3.1.5/1.2.1</t>
  </si>
  <si>
    <t>3.1.12.6</t>
  </si>
  <si>
    <t>3.1.6/1.4.2</t>
  </si>
  <si>
    <t>3.1.5/1.4.2</t>
  </si>
  <si>
    <t>3.1.5/1.6.3</t>
  </si>
  <si>
    <t>3.1.3/1.8.4</t>
  </si>
  <si>
    <t>3.1.2/1.8.4</t>
  </si>
  <si>
    <t>3.1.2/1.10.5</t>
  </si>
  <si>
    <t>3.1.3/1.10.5</t>
  </si>
  <si>
    <t>3.1.6/1.6.3</t>
  </si>
  <si>
    <t>3.1.2/2.8.4</t>
  </si>
  <si>
    <t>3.1.14.7</t>
  </si>
  <si>
    <t>3.2.2/1.2.1</t>
  </si>
  <si>
    <t>3.2.3/1.2.1</t>
  </si>
  <si>
    <t>3.2.3/1.4.2</t>
  </si>
  <si>
    <t>3.2.2/1.4.2</t>
  </si>
  <si>
    <t>3.2.3/1.6.3</t>
  </si>
  <si>
    <t>3.2.3/1.2/1.2.1</t>
  </si>
  <si>
    <t>3.2.2/1.6.3</t>
  </si>
  <si>
    <t>3.2.12.6</t>
  </si>
  <si>
    <t>3.2.3/1.8.4</t>
  </si>
  <si>
    <t>3.2.3/1.2/1.4.2</t>
  </si>
  <si>
    <t>3.2.2/1.8.4</t>
  </si>
  <si>
    <t>3.2.6/1.6.3</t>
  </si>
  <si>
    <t>3.3.5.2</t>
  </si>
  <si>
    <t>3.3.1/1.2.1</t>
  </si>
  <si>
    <t>3.3.7.3</t>
  </si>
  <si>
    <t>3.3.4/1.2.1</t>
  </si>
  <si>
    <t>3.3.1/1.4.2</t>
  </si>
  <si>
    <t>3.3.9.4</t>
  </si>
  <si>
    <t>3.3.5/1.2.1</t>
  </si>
  <si>
    <t>3.3.4/1.4.2</t>
  </si>
  <si>
    <t>3.3.1/1.6.3</t>
  </si>
  <si>
    <t>3.3.7/1.2.1</t>
  </si>
  <si>
    <t>3.3.5/1.4.2</t>
  </si>
  <si>
    <t>3.3.4/1.6.3</t>
  </si>
  <si>
    <t>3.3.4/1.2/1.2.1</t>
  </si>
  <si>
    <t>3.3.1/1.8.4</t>
  </si>
  <si>
    <t>3.3.7/1.4.2</t>
  </si>
  <si>
    <t>3.3.4/1.2/1.4.2</t>
  </si>
  <si>
    <t>3.3.1/1.10.5</t>
  </si>
  <si>
    <t>3.3.4/1.8.4</t>
  </si>
  <si>
    <t>3.3.5/1.6.3</t>
  </si>
  <si>
    <t>3.4.3/1.2.1</t>
  </si>
  <si>
    <t>3.4.3/1.4.2</t>
  </si>
  <si>
    <t>3.4.10.5</t>
  </si>
  <si>
    <t>3.4.6/1.2.1</t>
  </si>
  <si>
    <t>3.4.3/1.6.3</t>
  </si>
  <si>
    <t>3.4.6/1.4.2</t>
  </si>
  <si>
    <t>3.4.3/1.8.4</t>
  </si>
  <si>
    <t>3.5.5.2</t>
  </si>
  <si>
    <t>3.5.1/1.2.1</t>
  </si>
  <si>
    <t>3.5.7.3</t>
  </si>
  <si>
    <t>3.5.4/1.2.1</t>
  </si>
  <si>
    <t>3.5.3/1.2.1</t>
  </si>
  <si>
    <t>3.5.1/1.4.2</t>
  </si>
  <si>
    <t>3.5.9.4</t>
  </si>
  <si>
    <t>3.5.4/1.4.2</t>
  </si>
  <si>
    <t>3.5.3/1.4.2</t>
  </si>
  <si>
    <t>3.5.1/1.6.3</t>
  </si>
  <si>
    <t>3.5.1/1.8.4</t>
  </si>
  <si>
    <t>3.5.4/1.6.3</t>
  </si>
  <si>
    <t>3.5.3/1.6.3</t>
  </si>
  <si>
    <t>3.5.7/1.2.1</t>
  </si>
  <si>
    <t>3.5.11.5</t>
  </si>
  <si>
    <t>3.6.3/1.2.1</t>
  </si>
  <si>
    <t>3.6.3/1.4.2</t>
  </si>
  <si>
    <t>3.7.3/1.2.1</t>
  </si>
  <si>
    <t>3.7.3/1.4.2</t>
  </si>
  <si>
    <t>3.7.3/1.6.3</t>
  </si>
  <si>
    <t>3.8.3/1.2.1</t>
  </si>
  <si>
    <t>3.8.2/1.2.1</t>
  </si>
  <si>
    <t>3.8.6/1.2.1</t>
  </si>
  <si>
    <t>3.8.3/1.4.2</t>
  </si>
  <si>
    <t>3.9.4/1.2.1</t>
  </si>
  <si>
    <t>Internode L 4</t>
  </si>
  <si>
    <t>-</t>
  </si>
  <si>
    <t>1.1.14.7</t>
  </si>
  <si>
    <t>1.2.8.4</t>
  </si>
  <si>
    <t>1.2.10.5</t>
  </si>
  <si>
    <t>1.2.6/1.2.1</t>
  </si>
  <si>
    <t>1.2.6/1.4.2</t>
  </si>
  <si>
    <t>1.2.12.6</t>
  </si>
  <si>
    <t>1.2.3/1.8.4</t>
  </si>
  <si>
    <t>1.2.2/1.8.4</t>
  </si>
  <si>
    <t>1.2.3/1.10.5</t>
  </si>
  <si>
    <t>1.2.2/1.10.5</t>
  </si>
  <si>
    <t>1.3.2/1.2.1</t>
  </si>
  <si>
    <t>1.3.2/1.4.2</t>
  </si>
  <si>
    <t>1.3.6/1.2.1</t>
  </si>
  <si>
    <t>1.3.2/1.6.3</t>
  </si>
  <si>
    <t>1.3.2/1.8.4</t>
  </si>
  <si>
    <t>1.3.2/1.4/1.2.1</t>
  </si>
  <si>
    <t>1.3.8/1.2.1</t>
  </si>
  <si>
    <t>1.3.6/1.4.2</t>
  </si>
  <si>
    <t>1.3.14.7</t>
  </si>
  <si>
    <t>1.3.8/1.4.2</t>
  </si>
  <si>
    <t>1.3.3/1.10.5</t>
  </si>
  <si>
    <t>1.3.3/1.8.4</t>
  </si>
  <si>
    <t>1.4.3/1.2.1</t>
  </si>
  <si>
    <t>1.4.3/1.4.2</t>
  </si>
  <si>
    <t>1.4.1/1.1/1.2.1</t>
  </si>
  <si>
    <t>1.4.4/1.3.1</t>
  </si>
  <si>
    <t>1.4.3/1.6.3</t>
  </si>
  <si>
    <t>1.4.1/1.1/1.4.2</t>
  </si>
  <si>
    <t>1.4.4/1.5.2</t>
  </si>
  <si>
    <t>1.4.4/1.7.3</t>
  </si>
  <si>
    <t>1.4.3/1.8.4</t>
  </si>
  <si>
    <t>1.4.1/1.1/1.6.3</t>
  </si>
  <si>
    <t>1.5.5.2</t>
  </si>
  <si>
    <t>1.5.3/1.2.1</t>
  </si>
  <si>
    <t>1.5.3/1.4.2</t>
  </si>
  <si>
    <t>1.5.7.3</t>
  </si>
  <si>
    <t>1.5.9.4</t>
  </si>
  <si>
    <t>1.5.11.5</t>
  </si>
  <si>
    <t>1.5.4/1.8.4</t>
  </si>
  <si>
    <t>1.5.3/1.6.3</t>
  </si>
  <si>
    <t>1.6.1/1.2.1</t>
  </si>
  <si>
    <t>1.6.5.2</t>
  </si>
  <si>
    <t>1.6.3/1.2.1</t>
  </si>
  <si>
    <t>1.6.8.3</t>
  </si>
  <si>
    <t>1.6.3/1.4.2</t>
  </si>
  <si>
    <t>1.6.2/1.1/1.2.1</t>
  </si>
  <si>
    <t>1.6.1/1.4.2</t>
  </si>
  <si>
    <t>1.6.1/1.6.3</t>
  </si>
  <si>
    <t>1.6.10.4</t>
  </si>
  <si>
    <t>1.6.7/1.2.1</t>
  </si>
  <si>
    <t>1.6.7/1.4.2</t>
  </si>
  <si>
    <t>1.6.4/1.2/1.2.1</t>
  </si>
  <si>
    <t>1.6.3/1.6.3</t>
  </si>
  <si>
    <t>1.6.2/1.1/1.4.2</t>
  </si>
  <si>
    <t>1.6.1/1.4/1.2.1</t>
  </si>
  <si>
    <t>1.6.1/1.8.4</t>
  </si>
  <si>
    <t>1.7.1/1.2.1</t>
  </si>
  <si>
    <t>1.7.1/1.1/1.2.1</t>
  </si>
  <si>
    <t>1.7.1/1.4.2</t>
  </si>
  <si>
    <t>1.7.4/1.4.2</t>
  </si>
  <si>
    <t>1.7.4/1.2.1</t>
  </si>
  <si>
    <t>1.7.3/1.2.1</t>
  </si>
  <si>
    <t>1.7.1/1.8.4</t>
  </si>
  <si>
    <t>1.7.1/1.6.3</t>
  </si>
  <si>
    <t>1.7.1/1.1/1.4.2</t>
  </si>
  <si>
    <t>1.8.5.2</t>
  </si>
  <si>
    <t>1.8.1/1.2.1</t>
  </si>
  <si>
    <t>1.8.7.3</t>
  </si>
  <si>
    <t>1.8.3/1.4.2</t>
  </si>
  <si>
    <t>1.8.1/1.6.3</t>
  </si>
  <si>
    <t>1.8.1/1.4.2</t>
  </si>
  <si>
    <t>1.10.5.2</t>
  </si>
  <si>
    <t>2.1.1/1.12.6</t>
  </si>
  <si>
    <t>2.1.1/1.6/1.2.1</t>
  </si>
  <si>
    <t>2.1.8/1.6.3</t>
  </si>
  <si>
    <t>2.1.6/1.8.4</t>
  </si>
  <si>
    <t>2.1.4/1.8.4</t>
  </si>
  <si>
    <t>2.2.2/1.2.1</t>
  </si>
  <si>
    <t>2.2.2/1.4.2</t>
  </si>
  <si>
    <t>2.2.2/1.6.3</t>
  </si>
  <si>
    <t>2.2.4/1.6.3</t>
  </si>
  <si>
    <t>2.2.2/1.8.4</t>
  </si>
  <si>
    <t>2.2.1/1.12.6</t>
  </si>
  <si>
    <t>2.2.2/1.10.5</t>
  </si>
  <si>
    <t>2.2.4/1.8.4</t>
  </si>
  <si>
    <t>2.2.8/1.4.2</t>
  </si>
  <si>
    <t>2.2.14.7</t>
  </si>
  <si>
    <t>2.3.2/1.2.1</t>
  </si>
  <si>
    <t>2.3.2/1.4.2</t>
  </si>
  <si>
    <t>2.3.2/1.6.3</t>
  </si>
  <si>
    <t>2.3.2/1.8.4</t>
  </si>
  <si>
    <t>2.3.2/1.4/1.2.1</t>
  </si>
  <si>
    <t>2.3.14.7</t>
  </si>
  <si>
    <t>2.3.8/1.4.2</t>
  </si>
  <si>
    <t>2.3.6/1.6.3</t>
  </si>
  <si>
    <t>2.3.2/1.10.5</t>
  </si>
  <si>
    <t>2.3.2/1.4/1.4.2</t>
  </si>
  <si>
    <t>2.3.1/1.12.6</t>
  </si>
  <si>
    <t>2.4.2/1.2/1.2.1</t>
  </si>
  <si>
    <t>2.4.1/1.8.3</t>
  </si>
  <si>
    <t>2.4.1/1.10.4</t>
  </si>
  <si>
    <t>2.4.1/1.4/1.4.2</t>
  </si>
  <si>
    <t>2.4.1/1.12.5</t>
  </si>
  <si>
    <t>2.4.2/1.2/1.4.2</t>
  </si>
  <si>
    <t>2.5.5.2</t>
  </si>
  <si>
    <t>2.5.1/1.1/1.2.1</t>
  </si>
  <si>
    <t>2.5.7.3</t>
  </si>
  <si>
    <t>2.5.1/1.1/1.4.2</t>
  </si>
  <si>
    <t>2.5.9.4</t>
  </si>
  <si>
    <t>2.5.5/1.1/1.2.1</t>
  </si>
  <si>
    <t>2.5.11.5</t>
  </si>
  <si>
    <t>2.5.1/1.1/1.6.3</t>
  </si>
  <si>
    <t>2.5.1/1.4/1.2.1</t>
  </si>
  <si>
    <t>2.5.13.6</t>
  </si>
  <si>
    <t>2.5.5/1.1/1.4.2</t>
  </si>
  <si>
    <t>2.5.3/1.8.4</t>
  </si>
  <si>
    <t>2.5.1/1.4/1.4.2</t>
  </si>
  <si>
    <t>2.5.2/1.8.4</t>
  </si>
  <si>
    <t>2.5.1/1.10.5</t>
  </si>
  <si>
    <t>2.5.1/1.1/1.8.4</t>
  </si>
  <si>
    <t>2.6.1/1.1/1.2.1</t>
  </si>
  <si>
    <t>2.6.1/1.1/1.4.2</t>
  </si>
  <si>
    <t>2.6.3/1.6.3</t>
  </si>
  <si>
    <t>2.6.1/1.6/1.2.1</t>
  </si>
  <si>
    <t>2.6.1/1.1/1.6.3</t>
  </si>
  <si>
    <t xml:space="preserve"> </t>
  </si>
  <si>
    <t>2.7.5.2</t>
  </si>
  <si>
    <t>2.7.1/1.2.1</t>
  </si>
  <si>
    <t>2.7.7.3</t>
  </si>
  <si>
    <t>2.7.4/1.4.2</t>
  </si>
  <si>
    <t>2.7.1/1.4.2</t>
  </si>
  <si>
    <t>2.7.2/1.1/1.2.1</t>
  </si>
  <si>
    <t>2.7.1/1.6.3</t>
  </si>
  <si>
    <t>2.7.9.4</t>
  </si>
  <si>
    <t>2.7.4/1.6.3</t>
  </si>
  <si>
    <t>2.7.3/1.6.3</t>
  </si>
  <si>
    <t>2.7.2/1.2/1.2.1</t>
  </si>
  <si>
    <t>2.7.1/1.8.4</t>
  </si>
  <si>
    <t>2.8.5.2</t>
  </si>
  <si>
    <t>2.8.2/1.3.1</t>
  </si>
  <si>
    <t>2.8.1/1.42</t>
  </si>
  <si>
    <t>2.8.7.3</t>
  </si>
  <si>
    <t>2.9.5.2</t>
  </si>
  <si>
    <t>3.1.1/1.2.1</t>
  </si>
  <si>
    <t>3.1.1/1.4.2</t>
  </si>
  <si>
    <t>3.1.4/2.2.1</t>
  </si>
  <si>
    <t>3.1.1/1.6.3</t>
  </si>
  <si>
    <t>3.1.1/1.8.4</t>
  </si>
  <si>
    <t>3.1.1/1.10.5</t>
  </si>
  <si>
    <t>3.1.4/2.4.2</t>
  </si>
  <si>
    <t>3.1.4/1.8.4</t>
  </si>
  <si>
    <t>3.1.2/3.2.1</t>
  </si>
  <si>
    <t>3.1.2/3.4.2</t>
  </si>
  <si>
    <t>3.1.1/1.12.6</t>
  </si>
  <si>
    <t>3.1.4/2.6.3</t>
  </si>
  <si>
    <t>3.2.2/2.2.1</t>
  </si>
  <si>
    <t>3.2.2/2.4.2</t>
  </si>
  <si>
    <t>3.2.2/3.2.1</t>
  </si>
  <si>
    <t>3.2.14.7</t>
  </si>
  <si>
    <t>3.2.2/2.6.3</t>
  </si>
  <si>
    <t>3.2.2/3.4.2</t>
  </si>
  <si>
    <t>3.2.2/1.10.5</t>
  </si>
  <si>
    <t>3.3.2/1.2/1.2.1</t>
  </si>
  <si>
    <t>3.3.2/2.2.1</t>
  </si>
  <si>
    <t>3.3.6/1.5.2</t>
  </si>
  <si>
    <t>3.3.2/2.4.2</t>
  </si>
  <si>
    <t>3.3.2/2.6.3</t>
  </si>
  <si>
    <t>3.3.2/1.2/1.4.2</t>
  </si>
  <si>
    <t>3.3.1/1.6/1.2.1</t>
  </si>
  <si>
    <t>3.3.1/1.6/1.4.2</t>
  </si>
  <si>
    <t>3.3.2/1.2/1.6.3</t>
  </si>
  <si>
    <t>3.3.1/1.12.6</t>
  </si>
  <si>
    <t>3.3.2/1.9.4</t>
  </si>
  <si>
    <t>3.3.5/1.8.4</t>
  </si>
  <si>
    <t>3.3.6/1.7.3</t>
  </si>
  <si>
    <t>3.4.5.2</t>
  </si>
  <si>
    <t>3.4.2/1.2.1</t>
  </si>
  <si>
    <t>3.4.7.3</t>
  </si>
  <si>
    <t>3.4.2/1.4.2</t>
  </si>
  <si>
    <t>3.4.9.4</t>
  </si>
  <si>
    <t>3.4.11.5</t>
  </si>
  <si>
    <t>3.4.2/1.6.3</t>
  </si>
  <si>
    <t>3.4.1/1.4/1.2.1</t>
  </si>
  <si>
    <t>3.4.1/1.3/1.2.1</t>
  </si>
  <si>
    <t>3.4.1/1.3/1.4.2</t>
  </si>
  <si>
    <t>3.4.2/1.8.4</t>
  </si>
  <si>
    <t>3.4.3/1.10.5</t>
  </si>
  <si>
    <t>3.5.1/1.4/1.2.1</t>
  </si>
  <si>
    <t>3.5.1/1.4/1.4.2</t>
  </si>
  <si>
    <t>3.5.1/1.10.5</t>
  </si>
  <si>
    <t>3.6.2/1.1/1.2.1</t>
  </si>
  <si>
    <t>3.6.2/1.1/1.4.2</t>
  </si>
  <si>
    <t>3.7.5.2</t>
  </si>
  <si>
    <t>3.7.7.3</t>
  </si>
  <si>
    <t>3.7.2/1.3.1</t>
  </si>
  <si>
    <t>3.7.2/1.5.2</t>
  </si>
  <si>
    <t>3.7.2/1.1/1.2.1</t>
  </si>
  <si>
    <t>3.7.2/1.2/1.2.1</t>
  </si>
  <si>
    <t>3.7.2/1.7.3</t>
  </si>
  <si>
    <t>3.7.2/1.2/1.4.2</t>
  </si>
  <si>
    <t>3.7.2/1.1/1.4.2</t>
  </si>
  <si>
    <t>3.7.1/1.5.2</t>
  </si>
  <si>
    <t>3.7.6/1.2.1</t>
  </si>
  <si>
    <t>3.7.9.4</t>
  </si>
  <si>
    <t>3.8.5.2</t>
  </si>
  <si>
    <t>3.8.1/1.4.2</t>
  </si>
  <si>
    <t>3.8.1/1.2.1</t>
  </si>
  <si>
    <t>3.8.2/1.1/1.2.1</t>
  </si>
  <si>
    <t>3.8.1/1.6.3</t>
  </si>
  <si>
    <t>3.8.7.3</t>
  </si>
  <si>
    <t>3.9.5.2</t>
  </si>
  <si>
    <t>3.9.7.3</t>
  </si>
  <si>
    <t>3.10.5.2</t>
  </si>
  <si>
    <t>1.1.3/1.2.1</t>
  </si>
  <si>
    <t>1.1.3/1.4.2</t>
  </si>
  <si>
    <t>1.1.2/1.1/1.2.1</t>
  </si>
  <si>
    <t>1.1.2/1.1/1.4.2</t>
  </si>
  <si>
    <t>1.1.8/1.2.1</t>
  </si>
  <si>
    <t>1.1.3/1.6.3</t>
  </si>
  <si>
    <t>1.1.3/1.8.4</t>
  </si>
  <si>
    <t>1.1.2/1.1/1.6.3</t>
  </si>
  <si>
    <t>1.1.8/1.4.2</t>
  </si>
  <si>
    <t>1.1.6/1.2/1.2.1</t>
  </si>
  <si>
    <t>1.1.3/1.10.5</t>
  </si>
  <si>
    <t>1.1.2//1.4/1.4.2</t>
  </si>
  <si>
    <t>1.1.2/1.2/1.2/1.2.1</t>
  </si>
  <si>
    <t>1.1.2/1.1/1.8.4</t>
  </si>
  <si>
    <t>1.1.2/1.2/1.2/1.4.2</t>
  </si>
  <si>
    <t>1.1.2/1.1/1.10.5</t>
  </si>
  <si>
    <t>1.1.2/1.2/1.10.5</t>
  </si>
  <si>
    <t>1.1.2/1.2/1.8.4</t>
  </si>
  <si>
    <t>1.1.2/1.4/1.6.3</t>
  </si>
  <si>
    <t>1.1.2/1.12.6</t>
  </si>
  <si>
    <t>1.1.2/2.2/1.8.4</t>
  </si>
  <si>
    <t>1.1.2/2.2/1.6.3</t>
  </si>
  <si>
    <t>1.1.2/2.10.5</t>
  </si>
  <si>
    <t>1.1.3/1.12.6</t>
  </si>
  <si>
    <t>1.1.4/1.10.5</t>
  </si>
  <si>
    <t>1.1.6/1.8.4</t>
  </si>
  <si>
    <t>1.1.16.8</t>
  </si>
  <si>
    <t>1.1.8/1.6.3</t>
  </si>
  <si>
    <t>1.2.2/1.1/1.2.1</t>
  </si>
  <si>
    <t>1.2.2/1.1/1.4.2</t>
  </si>
  <si>
    <t>1.2.8/1.2.1</t>
  </si>
  <si>
    <t>1.2.2/1.1/1.6.3</t>
  </si>
  <si>
    <t>1.2.14.7</t>
  </si>
  <si>
    <t>1.2.10/1.2.1</t>
  </si>
  <si>
    <t>1.2.8/1.4.2</t>
  </si>
  <si>
    <t>1.2.4/1.2/1.4.2</t>
  </si>
  <si>
    <t>1.2.1/1.12.6</t>
  </si>
  <si>
    <t>1.2.2/1.11.5</t>
  </si>
  <si>
    <t>1.2.2/1.3/1.6.3</t>
  </si>
  <si>
    <t>1.2.2/1.2/1.8.4</t>
  </si>
  <si>
    <t>1.2.2/1.2/1.10.5</t>
  </si>
  <si>
    <t>1.2.2/1.1/1.8.4</t>
  </si>
  <si>
    <t>1.3.1/1.2/1.2.1</t>
  </si>
  <si>
    <t>1.3.1/1.2/1.6.3</t>
  </si>
  <si>
    <t>1.3.1/1.2/1.4.2</t>
  </si>
  <si>
    <t>1.4.1/1.1/1.3.1</t>
  </si>
  <si>
    <t>1.4.1/1.1/1.5.2</t>
  </si>
  <si>
    <t>1.4.2/1.8.4</t>
  </si>
  <si>
    <t>1.5.3.1</t>
  </si>
  <si>
    <t>1.5.2/1.2.1</t>
  </si>
  <si>
    <t>1.5.2/1.4.2</t>
  </si>
  <si>
    <t>1.5.1/1.1/1.2.1</t>
  </si>
  <si>
    <t>1.5.5/1.2.1</t>
  </si>
  <si>
    <t>1.5.2/1.6.3</t>
  </si>
  <si>
    <t>1.5.1/1.1/1.4.2</t>
  </si>
  <si>
    <t>1.5.5/1.4.2</t>
  </si>
  <si>
    <t>1.5.1/1.1/1.6.3</t>
  </si>
  <si>
    <t>1.6.1/1.3.1</t>
  </si>
  <si>
    <t>1.6.1/1.5.2</t>
  </si>
  <si>
    <t>1.6.1/1.7.3</t>
  </si>
  <si>
    <t>1.6.1/1.9.4</t>
  </si>
  <si>
    <t>1.6.12.6</t>
  </si>
  <si>
    <t>1.8.2/1.3.1</t>
  </si>
  <si>
    <t>1.10.1/1.3.1</t>
  </si>
  <si>
    <t>1.10.2/1.2.1</t>
  </si>
  <si>
    <t>1.12.2/1.2.1</t>
  </si>
  <si>
    <t>1.13.2.1</t>
  </si>
  <si>
    <t>1.13.4.2</t>
  </si>
  <si>
    <t>1.13.6.3</t>
  </si>
  <si>
    <t>1.14.2.1</t>
  </si>
  <si>
    <t>1.14.4.2</t>
  </si>
  <si>
    <t>1.15.3.1</t>
  </si>
  <si>
    <t>1.15.5.2</t>
  </si>
  <si>
    <t>2.1.2/3.2.1</t>
  </si>
  <si>
    <t>2.1.2/2.2/1.2.1</t>
  </si>
  <si>
    <t>2.1.2/3.4.2</t>
  </si>
  <si>
    <t>2.1.3/1.10.5</t>
  </si>
  <si>
    <t>2.1.2/1.10.5</t>
  </si>
  <si>
    <t>2.1.2/3.6.3</t>
  </si>
  <si>
    <t>2.1.2/3.2/1.2.1</t>
  </si>
  <si>
    <t>2.1.2/2.2/1.4.2</t>
  </si>
  <si>
    <t>2.1.2/3.2/1.4.2</t>
  </si>
  <si>
    <t>2.1.2/2.2/1.6.3</t>
  </si>
  <si>
    <t>2.1.12/1.1.1</t>
  </si>
  <si>
    <t>single internode</t>
  </si>
  <si>
    <t>2.1.2/1.12.6</t>
  </si>
  <si>
    <t>2.1.2/3.8.4</t>
  </si>
  <si>
    <t>2.1.3/1.12.6</t>
  </si>
  <si>
    <t>2.1.4/1.10.5</t>
  </si>
  <si>
    <t>2.2.2/1.7.3</t>
  </si>
  <si>
    <t>2.2.2/1.9.4</t>
  </si>
  <si>
    <t>2.2.2/1.5/1.2.1</t>
  </si>
  <si>
    <t>2.2.2/1.2/1.8.4</t>
  </si>
  <si>
    <t>2.2.4/2.1.2</t>
  </si>
  <si>
    <t>2.2.2/1.2/1.10.5</t>
  </si>
  <si>
    <t>2.2.2/1.5/1.4.2</t>
  </si>
  <si>
    <t>2.2.4/1.10.5</t>
  </si>
  <si>
    <t>2.2.2/1.11.5</t>
  </si>
  <si>
    <t>2.2.6/1.8.4</t>
  </si>
  <si>
    <t>2.2.13.6</t>
  </si>
  <si>
    <t>2.3.2/1.2/1.2.1</t>
  </si>
  <si>
    <t>2.3.2/1.2/1.4.2</t>
  </si>
  <si>
    <t>2.3.2/1.2/1.6.3</t>
  </si>
  <si>
    <t>2.3.1/1.8/1.2.1</t>
  </si>
  <si>
    <t>2.3.2/1.2/1.8.4</t>
  </si>
  <si>
    <t>2.3.10/1.2.1</t>
  </si>
  <si>
    <t>2.3.3/1.10.5</t>
  </si>
  <si>
    <t xml:space="preserve"> 2.4.3/1.6.3</t>
  </si>
  <si>
    <t>2.4.1/1.6/1.2.1</t>
  </si>
  <si>
    <t>2.4.1/1.12.6</t>
  </si>
  <si>
    <t>2.6.2/2.2.1</t>
  </si>
  <si>
    <t>2.6.1/1.2/1.2.1</t>
  </si>
  <si>
    <t>2.6.2/1.1/1.2.1</t>
  </si>
  <si>
    <t>2.6.1/1.2/1.4.2</t>
  </si>
  <si>
    <t>2.6.2/2.4.2</t>
  </si>
  <si>
    <t>2.6.2/1.8.4</t>
  </si>
  <si>
    <t>2.6.2/1.2/1.4.2</t>
  </si>
  <si>
    <t>2.6.2/1.1/1.4.2</t>
  </si>
  <si>
    <t>2.7.2/1.3.1</t>
  </si>
  <si>
    <t>2.7.5/1.2.1</t>
  </si>
  <si>
    <t>2.7.5/1.4.2</t>
  </si>
  <si>
    <t>2.7.2/1.2/1.4.2</t>
  </si>
  <si>
    <t>2.7.2/1.5.2</t>
  </si>
  <si>
    <t>2.8.1/1.2/1.2.1</t>
  </si>
  <si>
    <t>3.1.3.1</t>
  </si>
  <si>
    <t>3.1.5.2</t>
  </si>
  <si>
    <t>3.1.7.3</t>
  </si>
  <si>
    <t>3.1.9.4</t>
  </si>
  <si>
    <t>3.1.11.5</t>
  </si>
  <si>
    <t>3.1.7/1.2.1</t>
  </si>
  <si>
    <t>3.1.3/1.2/1.2.1</t>
  </si>
  <si>
    <t>3.1.3/1.1/1.2.1</t>
  </si>
  <si>
    <t>3.1.3/1.1/1.4.2</t>
  </si>
  <si>
    <t>3.1.3/2.2.1</t>
  </si>
  <si>
    <t>3.1.3/2.4.2</t>
  </si>
  <si>
    <t>3.1.13.6</t>
  </si>
  <si>
    <t>3.1.5/1.2/1.2.1</t>
  </si>
  <si>
    <t>3.1.7/1.4.2</t>
  </si>
  <si>
    <t>3.1.3/2.6.3</t>
  </si>
  <si>
    <t>3.1.3/2.2/1.2.1</t>
  </si>
  <si>
    <t>3.1.3/1.4/1.2.1</t>
  </si>
  <si>
    <t>3.1.3/1.2/1.4.2</t>
  </si>
  <si>
    <t>3.1.3/1.1/1.6.3</t>
  </si>
  <si>
    <t>3.1.11/1.2.1</t>
  </si>
  <si>
    <t>3.1.7/1.6.3</t>
  </si>
  <si>
    <t>3.1.5/1.8.4</t>
  </si>
  <si>
    <t>3.1.5/1.2/1.4.2</t>
  </si>
  <si>
    <t>3.1.3/2.8.4</t>
  </si>
  <si>
    <t>3.1.3/2.2/1.4.2</t>
  </si>
  <si>
    <t>3.1.3/1.4/1.4.2</t>
  </si>
  <si>
    <t>3.1.3/1.1/1.8.4</t>
  </si>
  <si>
    <t>3.1.3/1.2/1.6.3</t>
  </si>
  <si>
    <t>3.1.15.7</t>
  </si>
  <si>
    <t>3.1.3/2.10.5</t>
  </si>
  <si>
    <t>3.1.4/1.10.5</t>
  </si>
  <si>
    <t>3.1.5/1.10.5</t>
  </si>
  <si>
    <t>3.1.7/1.8.4</t>
  </si>
  <si>
    <t>3.1.3/1.12.6</t>
  </si>
  <si>
    <t>3.1.3/2.2/1.6.3</t>
  </si>
  <si>
    <t>3.1.3/1.4/1.6.3</t>
  </si>
  <si>
    <t>3.1.3/1.1/1.10.5</t>
  </si>
  <si>
    <t>3.1.3/1.2/1.8.4</t>
  </si>
  <si>
    <t>3.1.5/1.2/1.6.3</t>
  </si>
  <si>
    <t>3.2.4/1.2.1</t>
  </si>
  <si>
    <t>3.2.2/1.1/1.2.1</t>
  </si>
  <si>
    <t>3.2.1/1.1/1.2.1</t>
  </si>
  <si>
    <t>3.2.1/1.1/1.4.2</t>
  </si>
  <si>
    <t>3.2.4/1.4.2</t>
  </si>
  <si>
    <t>3.2.2/1.1/1.4.2</t>
  </si>
  <si>
    <t>3.2.1/1.1/1.6.3</t>
  </si>
  <si>
    <t>3.2.1/1.4/1.2.1</t>
  </si>
  <si>
    <t>3.2.8/1.2.1</t>
  </si>
  <si>
    <t>3.2.4/1.6.3</t>
  </si>
  <si>
    <t>3.2.1/1.1/1.8.4</t>
  </si>
  <si>
    <t>3.2.1/1.4/1.4.2</t>
  </si>
  <si>
    <t>3.2.2/1.1/1.6.3</t>
  </si>
  <si>
    <t>3.2.2/1.2/1.2/1.2.1</t>
  </si>
  <si>
    <t>3.2.1/1.4/1.6.3</t>
  </si>
  <si>
    <t>3.2.1/1.1/1.10.5</t>
  </si>
  <si>
    <t>3.2.1/1.12.6</t>
  </si>
  <si>
    <t>3.2.2/1.1/1.8.4</t>
  </si>
  <si>
    <t>3.2.2/1.2/1.8.4</t>
  </si>
  <si>
    <t>3.2.4/1.8.4</t>
  </si>
  <si>
    <t>3.2.8/1.4.2</t>
  </si>
  <si>
    <t>3.2.4/1.2/1.6.3</t>
  </si>
  <si>
    <t>3.3.3/1.2.1</t>
  </si>
  <si>
    <t>3.3.2/1.3.1</t>
  </si>
  <si>
    <t>3.3.1/1.1/1.2.1</t>
  </si>
  <si>
    <t>3.3.6/1.2.1</t>
  </si>
  <si>
    <t>3.3.3/1.4.2</t>
  </si>
  <si>
    <t>3.3.1/1.1/1.1/1.2.1</t>
  </si>
  <si>
    <t>3.3.1/1.4/1.2.1</t>
  </si>
  <si>
    <t>3.3.6/1.4.2</t>
  </si>
  <si>
    <t>3.3.3/1.6.3</t>
  </si>
  <si>
    <t>3.3.1/1.1/1.4.2</t>
  </si>
  <si>
    <t>3.3.1/1.1/1.6.3</t>
  </si>
  <si>
    <t>,09</t>
  </si>
  <si>
    <t>3.3.3/1.8.4</t>
  </si>
  <si>
    <t>3.3.6/1.6.3</t>
  </si>
  <si>
    <t>3.5.2/1.2/1.2.1</t>
  </si>
  <si>
    <t>3.5.1/1.2/1.2.1</t>
  </si>
  <si>
    <t>3.5.1/1.2/1.4.2</t>
  </si>
  <si>
    <t>3.5.2/1.2/1.4.2</t>
  </si>
  <si>
    <t>1.1.2/3.2.1</t>
  </si>
  <si>
    <t>1.1.2/3.4.2</t>
  </si>
  <si>
    <t>na - missing</t>
  </si>
  <si>
    <t>1.2.2/2.2.1</t>
  </si>
  <si>
    <t>2.1.4/2.2.1</t>
  </si>
  <si>
    <t>2.1.4/2.4.2</t>
  </si>
  <si>
    <t>na-missing</t>
  </si>
  <si>
    <t>2.2.2/2.2.1</t>
  </si>
  <si>
    <t>2.2.2/2.4.2</t>
  </si>
  <si>
    <t>2.3.2/2.2.1</t>
  </si>
  <si>
    <t>2.3.2/3.2.1</t>
  </si>
  <si>
    <t>3.1.2/3.6.3</t>
  </si>
  <si>
    <t>3.2.3/1.1./1.2.1</t>
  </si>
  <si>
    <t>3.2.3/1.1/1.4.2</t>
  </si>
  <si>
    <t>3.2.2/1.4/1.2.1</t>
  </si>
  <si>
    <t>na -- missing</t>
  </si>
  <si>
    <t>1.3.2/1.1/1.2.1</t>
  </si>
  <si>
    <t>1.3.2/2.2.1</t>
  </si>
  <si>
    <t>na--missing</t>
  </si>
  <si>
    <t>1.3.2/2.4.2</t>
  </si>
  <si>
    <t>1.3.2/2.6.3</t>
  </si>
  <si>
    <t>1.4.5.2</t>
  </si>
  <si>
    <t>1.4.7.3</t>
  </si>
  <si>
    <t>1.4.9.4</t>
  </si>
  <si>
    <t>2.1.2/1.4/1.2.1</t>
  </si>
  <si>
    <t>2.1.41/4/2</t>
  </si>
  <si>
    <t>2.3.5.2</t>
  </si>
  <si>
    <t>2.3.7.3</t>
  </si>
  <si>
    <t>2.3.9.4</t>
  </si>
  <si>
    <t>2.3.11.5</t>
  </si>
  <si>
    <t>2.4.2/2.2.1</t>
  </si>
  <si>
    <t>2.4.2/2.4.2</t>
  </si>
  <si>
    <t>2.4.2/2.6.3</t>
  </si>
  <si>
    <t>2.5.1/1.3.1</t>
  </si>
  <si>
    <t>2.5.1/1.2/1.2.1</t>
  </si>
  <si>
    <t>2.5.1/1.2/1.4.2</t>
  </si>
  <si>
    <t>2.5.1/1.2/1.6.3</t>
  </si>
  <si>
    <t>2.9.2/1.2.1</t>
  </si>
  <si>
    <t>2.20.2.1</t>
  </si>
  <si>
    <t>3.1.2/1.3.1</t>
  </si>
  <si>
    <t>3.1.2/1.5.2</t>
  </si>
  <si>
    <t>3.1.2/1.7.3</t>
  </si>
  <si>
    <t>3.1.2/4.2.1</t>
  </si>
  <si>
    <t>3.1.2/1.3/1.2.1</t>
  </si>
  <si>
    <t>3.1.2/1.9.4</t>
  </si>
  <si>
    <t>3.1.2/4.4.2</t>
  </si>
  <si>
    <t>3.1.2/4.6.3</t>
  </si>
  <si>
    <t>3.1.2/1.11.5</t>
  </si>
  <si>
    <t>3.2.1/1.3.1</t>
  </si>
  <si>
    <t>3.2.1/1.5.2</t>
  </si>
  <si>
    <t>3.2.1/1.2/1.2.1</t>
  </si>
  <si>
    <t>3.2.1/1.2/1.4.2</t>
  </si>
  <si>
    <t>3.2.1/1.7.3</t>
  </si>
  <si>
    <t>3.2.1/1.9.4</t>
  </si>
  <si>
    <t>3.2.1/1.2/1.6.3</t>
  </si>
  <si>
    <t>3.2.1/1.11.5</t>
  </si>
  <si>
    <t>3.2.1/1.2/1.8.4</t>
  </si>
  <si>
    <t>3.6.2/1.2/1.2.1</t>
  </si>
  <si>
    <t>3.12.2/1.2.1</t>
  </si>
  <si>
    <t>3.18.2.1</t>
  </si>
  <si>
    <t>3.19.2.1</t>
  </si>
  <si>
    <t>2.3.2/2.4.2</t>
  </si>
  <si>
    <t>2.3.4/1.2/1.2.1</t>
  </si>
  <si>
    <t>2.3.2/2.6.3</t>
  </si>
  <si>
    <t>3.1.8/1.2.1</t>
  </si>
  <si>
    <t>3.1.2/1.2/1.6.3</t>
  </si>
  <si>
    <t>3.1.2/1.2/1.4/1.2.1</t>
  </si>
  <si>
    <t>dp dried + shriveled</t>
  </si>
  <si>
    <t>3.2.6/1.2/1.2.1</t>
  </si>
  <si>
    <t>3.7.2/1.2.1</t>
  </si>
  <si>
    <t>3.12.3.1</t>
  </si>
  <si>
    <t>1.3.2/3.2.1</t>
  </si>
  <si>
    <t>1.3.4/2.2.1</t>
  </si>
  <si>
    <t>1.3.1/1.12.6</t>
  </si>
  <si>
    <t>1.3.2/3.4.2</t>
  </si>
  <si>
    <t>1.3.2/1.10.5</t>
  </si>
  <si>
    <t>1.3.4/2.4.2</t>
  </si>
  <si>
    <t>1.3.6/1.6.3</t>
  </si>
  <si>
    <t>1.3.2/2.2/1.2.1</t>
  </si>
  <si>
    <t>dried</t>
  </si>
  <si>
    <t>2.2.5/1.2.1</t>
  </si>
  <si>
    <t>2.2.2/1.1/1.2.1</t>
  </si>
  <si>
    <t>2.2.5/1.4.2</t>
  </si>
  <si>
    <t>2.2.2/3.2.1</t>
  </si>
  <si>
    <t>2.2.2/1.1/1.4.2</t>
  </si>
  <si>
    <t>2.2.2/2.2/1.2.1</t>
  </si>
  <si>
    <t>2.2.5/1.6.3</t>
  </si>
  <si>
    <t>2.2.2/3.4.2</t>
  </si>
  <si>
    <t>2.2.2/1.1/1.6.3</t>
  </si>
  <si>
    <t>2.2.2/2.6.3</t>
  </si>
  <si>
    <t>2.2.2/2.8.4</t>
  </si>
  <si>
    <t>2.2.2/2.2./1.4.2</t>
  </si>
  <si>
    <t>2.2.2/3.6.3</t>
  </si>
  <si>
    <t>2.2.2/3.8.4</t>
  </si>
  <si>
    <t>2.2.2/2.10.5</t>
  </si>
  <si>
    <t>2.2.2/1.1/1.8.4</t>
  </si>
  <si>
    <t>2.2.2/2.2/1.6.3</t>
  </si>
  <si>
    <t>2.2.5/1.8.4</t>
  </si>
  <si>
    <t>2.2.10/1.2.1</t>
  </si>
  <si>
    <t>2.3.3/1.2/1.2.1</t>
  </si>
  <si>
    <t>2.4.2/1.1/1.2.1</t>
  </si>
  <si>
    <t>2.4.1/1.2/1.2.1</t>
  </si>
  <si>
    <t>na- missing</t>
  </si>
  <si>
    <t>2.4.1/1.2/1.4.2</t>
  </si>
  <si>
    <t>2.4.2/1.1/1.4.2</t>
  </si>
  <si>
    <t>2.4.1/1.2/1.6.3</t>
  </si>
  <si>
    <t>2.4.2/1.1/1.6.3</t>
  </si>
  <si>
    <t>2.4.4/1.8.4</t>
  </si>
  <si>
    <t>2.4.4/1.4/1.2.1</t>
  </si>
  <si>
    <t>2.4.3/1.10.5</t>
  </si>
  <si>
    <t>2.4.2/1.6/1.2.1</t>
  </si>
  <si>
    <t>2.4.2/1.2/1.6.3</t>
  </si>
  <si>
    <t>2.4.2/1.1/1.8.4</t>
  </si>
  <si>
    <t>2.4.1/1.2/1.8.4</t>
  </si>
  <si>
    <t>2.5.6/1.4.2</t>
  </si>
  <si>
    <t>2.5.4/1.8.4</t>
  </si>
  <si>
    <t>2.5.1/1.2/1.2/1.2.1</t>
  </si>
  <si>
    <t>2.5.2/2.2.1</t>
  </si>
  <si>
    <t>2.5.2/1.10.5</t>
  </si>
  <si>
    <t>2.5.2/1.4/1.2.1</t>
  </si>
  <si>
    <t>2.5.2/1.2/1.2.1</t>
  </si>
  <si>
    <t>2.8.3/1.2.1</t>
  </si>
  <si>
    <t>3.1.8/1.4.2</t>
  </si>
  <si>
    <t>3.1.2/1.4/1.4.2</t>
  </si>
  <si>
    <t>3.1.8./1.6.3</t>
  </si>
  <si>
    <t>3.1.6/1.8.4</t>
  </si>
  <si>
    <t>3.1.2/1.12.6</t>
  </si>
  <si>
    <t>3.1.2/1.2/1.8.4</t>
  </si>
  <si>
    <t>3.1.2/2.10.5</t>
  </si>
  <si>
    <t>3.1.2/3.8.4</t>
  </si>
  <si>
    <t>3.2.1.4.7</t>
  </si>
  <si>
    <t>3.2.2/2.2/1.2.1</t>
  </si>
  <si>
    <t>3.2.6/1.8.4</t>
  </si>
  <si>
    <t>3.2.3/1.10.5</t>
  </si>
  <si>
    <t>3.2.2/1.12.6</t>
  </si>
  <si>
    <t>3.2.2/2.8.4</t>
  </si>
  <si>
    <t>3.2.2/2.2/1.4.2</t>
  </si>
  <si>
    <t>3.2.1/1.8/1.2.1</t>
  </si>
  <si>
    <t>*dried material has two daughter and a runner</t>
  </si>
  <si>
    <t>1.1.3.1</t>
  </si>
  <si>
    <t>1.1.5.2</t>
  </si>
  <si>
    <t>1.1.7.3</t>
  </si>
  <si>
    <t>1.1.9.4</t>
  </si>
  <si>
    <t>1.1.2/1.4.1</t>
  </si>
  <si>
    <t>1.1.11.5</t>
  </si>
  <si>
    <t>1.1.3/2.2.1</t>
  </si>
  <si>
    <t>1.1.2/1.6.2</t>
  </si>
  <si>
    <t>1.1.3/2.4.2</t>
  </si>
  <si>
    <t>1.1.2/1.8.3</t>
  </si>
  <si>
    <t>1.1.13.6</t>
  </si>
  <si>
    <t>1.1.15.7</t>
  </si>
  <si>
    <t>1.1.2/1.10.4</t>
  </si>
  <si>
    <t>1.1.2/1.12.5</t>
  </si>
  <si>
    <t>1.1.17.8</t>
  </si>
  <si>
    <t>1.1.4/1.12.6</t>
  </si>
  <si>
    <t>1.2.3/1.1/1.2.1</t>
  </si>
  <si>
    <t>1.2.2/2.4.2</t>
  </si>
  <si>
    <t>1.2.1/1.3/1.2.1</t>
  </si>
  <si>
    <t>1.2.3/1.1/1.4.2</t>
  </si>
  <si>
    <t>1.2.2/2.6.3</t>
  </si>
  <si>
    <t>1.2.6/1.6.3</t>
  </si>
  <si>
    <t>1.2.3/1.1/1.6.3</t>
  </si>
  <si>
    <t>1.2.2/2.8.4</t>
  </si>
  <si>
    <t>1.2.1/1.3/1.4.2</t>
  </si>
  <si>
    <t>1.2.3/1.1/1.8.4</t>
  </si>
  <si>
    <t>1.2.2/2.10.5</t>
  </si>
  <si>
    <t>1.2.6/1.8.4</t>
  </si>
  <si>
    <t>1.2.1/1.2/1.10.5</t>
  </si>
  <si>
    <t>1.2.2/1.12.6</t>
  </si>
  <si>
    <t>1.2.1/1.3/1.6.3</t>
  </si>
  <si>
    <t>1.2.1/1.14.7</t>
  </si>
  <si>
    <t>1.3.1/1.3/1.2.1</t>
  </si>
  <si>
    <t>1.3.1/1.3/1.4.2</t>
  </si>
  <si>
    <t>1.3.1/1.6/1.2.1</t>
  </si>
  <si>
    <t>1.3.1/1.3/1.6.3</t>
  </si>
  <si>
    <t>1.3.1/1.3/1.8.4</t>
  </si>
  <si>
    <t>1.3.6/1.2/1.2.1</t>
  </si>
  <si>
    <t>1.3.1/1.6/1.4.2</t>
  </si>
  <si>
    <t>1.4.6/1.4.2</t>
  </si>
  <si>
    <t>1.4.6/1.2/1.2.1</t>
  </si>
  <si>
    <t>1.4.6/1.6.3</t>
  </si>
  <si>
    <t>1.4.8/1.4.2</t>
  </si>
  <si>
    <t>1.5.6/1.2.1</t>
  </si>
  <si>
    <t>1.5.6/1.4.2</t>
  </si>
  <si>
    <t>1.5.12.6</t>
  </si>
  <si>
    <t>1.5.1/1.10.5</t>
  </si>
  <si>
    <t>2.1.1/1.2/1.2.1</t>
  </si>
  <si>
    <t>2.1.1/1.2/1.4.2</t>
  </si>
  <si>
    <t>2.1.1/1.4/1.2.1</t>
  </si>
  <si>
    <t>2.1.2/1.6/1.2.1</t>
  </si>
  <si>
    <t>2.1.1/1.4/1.4.2</t>
  </si>
  <si>
    <t>2.1.1/1.2/1.6.3</t>
  </si>
  <si>
    <t>2.1.10/1.2.1</t>
  </si>
  <si>
    <t>2.2.1/1.2/1.2.1</t>
  </si>
  <si>
    <t>2.2.3/1.8.4</t>
  </si>
  <si>
    <t>2.2.1/1.2/1.4.2</t>
  </si>
  <si>
    <t>2.2.3/1.10.5</t>
  </si>
  <si>
    <t>2.2.1/1.2/1.6.3</t>
  </si>
  <si>
    <t>2.2.1/1.8/1.2.1</t>
  </si>
  <si>
    <t>2.2.1/1.2/1.8.4</t>
  </si>
  <si>
    <t>2.3.1/1.3/1.2.1</t>
  </si>
  <si>
    <t>2.3.1/1.3/1.4.2</t>
  </si>
  <si>
    <t>2.3.1/1.3/1.6.3</t>
  </si>
  <si>
    <t>2.3.1/1.3/1.8.4</t>
  </si>
  <si>
    <t>2.4.5/1.2.1</t>
  </si>
  <si>
    <t>2.4.5/1.4.2</t>
  </si>
  <si>
    <t>2.4.1/1.4/1.6.3</t>
  </si>
  <si>
    <t>2.4.1/1.8/1.2.1</t>
  </si>
  <si>
    <t>2.4.2/1.4/1.2.1</t>
  </si>
  <si>
    <t>2.4.5/1.6.3</t>
  </si>
  <si>
    <t>2.5.1/1.6/1.2.1</t>
  </si>
  <si>
    <t>2.6.5/1.2.1</t>
  </si>
  <si>
    <t>2.6.3/1.8.4</t>
  </si>
  <si>
    <t>2.6.5/1.4.2</t>
  </si>
  <si>
    <t>3.1.6,3</t>
  </si>
  <si>
    <t>3.1.2/1.1/1.2.1</t>
  </si>
  <si>
    <t>3.1.2/1.1/1.4.2</t>
  </si>
  <si>
    <t>3.1.2/1.1/1.6.3</t>
  </si>
  <si>
    <t>3.1.2/1.6/1.2.1</t>
  </si>
  <si>
    <t>3.2.3/1.6/1.2.1</t>
  </si>
  <si>
    <t>3.2.2/1.6/1.2.1</t>
  </si>
  <si>
    <t>3.3.1/1.3/1.2.1</t>
  </si>
  <si>
    <t>3.3.1/1.3/1.4.2</t>
  </si>
  <si>
    <t>3.3.8/1.2.1</t>
  </si>
  <si>
    <t>3.3.1/1.3/1.6.3</t>
  </si>
  <si>
    <t>3.4.1/1.1/1.2.1</t>
  </si>
  <si>
    <t>3.4.1/1.1/1.4.2</t>
  </si>
  <si>
    <t>3.4.1/1.1/1.6.3</t>
  </si>
  <si>
    <t>3.4.12.6</t>
  </si>
  <si>
    <t>3.4.8/1.2.1</t>
  </si>
  <si>
    <t>3.4.1/1.5/1.2.1</t>
  </si>
  <si>
    <t>3.4.1/1.4/1.4.2</t>
  </si>
  <si>
    <t>3.4.1/1.1/1.8.4</t>
  </si>
  <si>
    <t>3.4.14.7</t>
  </si>
  <si>
    <t>3.4.1/1.1/1.10.5</t>
  </si>
  <si>
    <t>3.4.1/1.5/1.4.2</t>
  </si>
  <si>
    <t>3.4.6/1.6.3</t>
  </si>
  <si>
    <t>3.4.1/1.12.6</t>
  </si>
  <si>
    <t>3.4.8/1.4.2</t>
  </si>
  <si>
    <t>3.5.5/1.2.1</t>
  </si>
  <si>
    <t>3.5.5/1.4.2</t>
  </si>
  <si>
    <t>3.5.6/1.4.2</t>
  </si>
  <si>
    <t>3.5.5/1.6.3</t>
  </si>
  <si>
    <t>3.5.3/1.8.4</t>
  </si>
  <si>
    <t>3.6.3/1.6.3</t>
  </si>
  <si>
    <t>3.6.2/1.2/1.4.2</t>
  </si>
  <si>
    <t>3.7.2/1.4.2</t>
  </si>
  <si>
    <t>3.7.2/1.6.3</t>
  </si>
  <si>
    <t>3.8.2/1.4.2</t>
  </si>
  <si>
    <t>3.10,6,3</t>
  </si>
  <si>
    <t>1.1.1/1.12.6</t>
  </si>
  <si>
    <t>1.1.1/1.2/1.8.4</t>
  </si>
  <si>
    <t>dried up</t>
  </si>
  <si>
    <t>2.1.1/1.6/1.4.2</t>
  </si>
  <si>
    <t>2.1.1/1.8/1.2.1</t>
  </si>
  <si>
    <t>2.2.1/1.6/1.2.1</t>
  </si>
  <si>
    <t>2.2.1/1.6/1.4.2</t>
  </si>
  <si>
    <t>2.3.1.1</t>
  </si>
  <si>
    <t>2.3.3.2</t>
  </si>
  <si>
    <t>2.3.5.3</t>
  </si>
  <si>
    <t>2.3.7.4</t>
  </si>
  <si>
    <t>dry</t>
  </si>
  <si>
    <t>2.3.9.5</t>
  </si>
  <si>
    <t>2.3.5/1.2.1</t>
  </si>
  <si>
    <t>2.3.1/2.2.1</t>
  </si>
  <si>
    <t>2.3.11.6</t>
  </si>
  <si>
    <t>2.3.9/1.2.1</t>
  </si>
  <si>
    <t>2.3.5/1.4.2</t>
  </si>
  <si>
    <t xml:space="preserve">ended up with an extra dp :| </t>
  </si>
  <si>
    <t>3.1.8/1.6.3</t>
  </si>
  <si>
    <t>3.2.6/1.3.1</t>
  </si>
  <si>
    <t>3.2.6/1.5.2</t>
  </si>
  <si>
    <t>3.2.6/2.2.1</t>
  </si>
  <si>
    <t>3.2.6/1.7.3</t>
  </si>
  <si>
    <t>1.6.4.8</t>
  </si>
  <si>
    <t>1.11.1.1</t>
  </si>
  <si>
    <t>1.11.3.2</t>
  </si>
  <si>
    <t>1.11.5.3</t>
  </si>
  <si>
    <t>2.1.1/1.1.1</t>
  </si>
  <si>
    <t>2.3.2/1.1/1.2.1</t>
  </si>
  <si>
    <t>2.3.2/1.1/1.4.2</t>
  </si>
  <si>
    <t>2.4.3.1</t>
  </si>
  <si>
    <t>2.4.5.2</t>
  </si>
  <si>
    <t>2.4.7.3</t>
  </si>
  <si>
    <t>Total Count</t>
  </si>
  <si>
    <t>x2 of these</t>
  </si>
  <si>
    <t>N/A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</si>
</sst>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color rgb="FF000000"/>
      <name val="Arial"/>
      <scheme val="minor"/>
    </font>
    <font>
      <b/>
      <color theme="1"/>
      <name val="Arial"/>
      <scheme val="minor"/>
    </font>
    <font>
      <color rgb="FF000000"/>
      <name val="Arial"/>
    </font>
    <font>
      <color theme="1"/>
      <name val="Arial"/>
      <scheme val="minor"/>
    </font>
    <font>
      <b/>
      <color theme="1"/>
      <name val="Arial"/>
    </font>
    <font>
      <color rgb="FF000000"/>
      <name val="Aptos Narrow"/>
    </font>
    <font>
      <sz val="11.0"/>
      <color rgb="FF000000"/>
      <name val="Arial"/>
    </font>
    <font>
      <strike/>
      <color theme="1"/>
      <name val="Arial"/>
      <scheme val="minor"/>
    </font>
  </fonts>
  <fills count="12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F4CCCC"/>
        <bgColor rgb="FFF4CCCC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FCE5CD"/>
        <bgColor rgb="FFFCE5CD"/>
      </patternFill>
    </fill>
    <fill>
      <patternFill patternType="solid">
        <fgColor rgb="FFEFEFEF"/>
        <bgColor rgb="FFEFEFEF"/>
      </patternFill>
    </fill>
    <fill>
      <patternFill patternType="solid">
        <fgColor rgb="FF9FC5E8"/>
        <bgColor rgb="FF9FC5E8"/>
      </patternFill>
    </fill>
    <fill>
      <patternFill patternType="solid">
        <fgColor theme="0"/>
        <bgColor theme="0"/>
      </patternFill>
    </fill>
    <fill>
      <patternFill patternType="solid">
        <fgColor rgb="FFFF00FF"/>
        <bgColor rgb="FFFF00FF"/>
      </patternFill>
    </fill>
  </fills>
  <borders count="1">
    <border/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3" numFmtId="0" xfId="0" applyAlignment="1" applyFont="1">
      <alignment vertical="bottom"/>
    </xf>
    <xf borderId="0" fillId="0" fontId="4" numFmtId="0" xfId="0" applyAlignment="1" applyFont="1">
      <alignment readingOrder="0"/>
    </xf>
    <xf borderId="0" fillId="0" fontId="4" numFmtId="0" xfId="0" applyFont="1"/>
    <xf borderId="0" fillId="2" fontId="3" numFmtId="0" xfId="0" applyAlignment="1" applyFill="1" applyFont="1">
      <alignment vertical="bottom"/>
    </xf>
    <xf borderId="0" fillId="3" fontId="3" numFmtId="0" xfId="0" applyAlignment="1" applyFill="1" applyFont="1">
      <alignment vertical="bottom"/>
    </xf>
    <xf borderId="0" fillId="0" fontId="3" numFmtId="0" xfId="0" applyAlignment="1" applyFont="1">
      <alignment readingOrder="0" vertical="bottom"/>
    </xf>
    <xf borderId="0" fillId="4" fontId="3" numFmtId="0" xfId="0" applyAlignment="1" applyFill="1" applyFont="1">
      <alignment vertical="bottom"/>
    </xf>
    <xf borderId="0" fillId="4" fontId="3" numFmtId="0" xfId="0" applyAlignment="1" applyFont="1">
      <alignment readingOrder="0" vertical="bottom"/>
    </xf>
    <xf borderId="0" fillId="4" fontId="4" numFmtId="0" xfId="0" applyAlignment="1" applyFont="1">
      <alignment readingOrder="0"/>
    </xf>
    <xf borderId="0" fillId="4" fontId="4" numFmtId="0" xfId="0" applyFont="1"/>
    <xf borderId="0" fillId="5" fontId="4" numFmtId="0" xfId="0" applyAlignment="1" applyFill="1" applyFont="1">
      <alignment readingOrder="0"/>
    </xf>
    <xf borderId="0" fillId="2" fontId="4" numFmtId="0" xfId="0" applyAlignment="1" applyFont="1">
      <alignment readingOrder="0"/>
    </xf>
    <xf borderId="0" fillId="2" fontId="4" numFmtId="0" xfId="0" applyFont="1"/>
    <xf borderId="0" fillId="5" fontId="3" numFmtId="0" xfId="0" applyAlignment="1" applyFont="1">
      <alignment vertical="bottom"/>
    </xf>
    <xf borderId="0" fillId="6" fontId="4" numFmtId="0" xfId="0" applyFill="1" applyFont="1"/>
    <xf borderId="0" fillId="7" fontId="3" numFmtId="0" xfId="0" applyAlignment="1" applyFill="1" applyFont="1">
      <alignment vertical="bottom"/>
    </xf>
    <xf borderId="0" fillId="0" fontId="5" numFmtId="0" xfId="0" applyAlignment="1" applyFont="1">
      <alignment vertical="bottom"/>
    </xf>
    <xf borderId="0" fillId="6" fontId="3" numFmtId="0" xfId="0" applyAlignment="1" applyFont="1">
      <alignment vertical="bottom"/>
    </xf>
    <xf borderId="0" fillId="8" fontId="4" numFmtId="0" xfId="0" applyAlignment="1" applyFill="1" applyFont="1">
      <alignment readingOrder="0"/>
    </xf>
    <xf borderId="0" fillId="8" fontId="4" numFmtId="0" xfId="0" applyFont="1"/>
    <xf borderId="0" fillId="0" fontId="6" numFmtId="0" xfId="0" applyAlignment="1" applyFont="1">
      <alignment vertical="bottom"/>
    </xf>
    <xf borderId="0" fillId="9" fontId="4" numFmtId="0" xfId="0" applyAlignment="1" applyFill="1" applyFont="1">
      <alignment readingOrder="0"/>
    </xf>
    <xf borderId="0" fillId="10" fontId="4" numFmtId="0" xfId="0" applyAlignment="1" applyFill="1" applyFont="1">
      <alignment readingOrder="0"/>
    </xf>
    <xf borderId="0" fillId="6" fontId="7" numFmtId="0" xfId="0" applyAlignment="1" applyFont="1">
      <alignment vertical="bottom"/>
    </xf>
    <xf borderId="0" fillId="6" fontId="8" numFmtId="0" xfId="0" applyAlignment="1" applyFont="1">
      <alignment readingOrder="0"/>
    </xf>
    <xf borderId="0" fillId="6" fontId="4" numFmtId="0" xfId="0" applyAlignment="1" applyFont="1">
      <alignment readingOrder="0"/>
    </xf>
    <xf borderId="0" fillId="11" fontId="8" numFmtId="0" xfId="0" applyAlignment="1" applyFill="1" applyFont="1">
      <alignment readingOrder="0"/>
    </xf>
    <xf borderId="0" fillId="11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8</v>
      </c>
      <c r="B2" s="5">
        <v>39.0</v>
      </c>
      <c r="C2" s="5">
        <v>29.8</v>
      </c>
      <c r="D2" s="5">
        <v>22.0</v>
      </c>
      <c r="F2" s="5">
        <v>17.83</v>
      </c>
      <c r="G2" s="5">
        <v>2.0</v>
      </c>
      <c r="H2" s="5">
        <v>3.02</v>
      </c>
    </row>
    <row r="3">
      <c r="A3" s="4" t="s">
        <v>9</v>
      </c>
      <c r="B3" s="5">
        <v>38.0</v>
      </c>
      <c r="C3" s="5">
        <v>20.1</v>
      </c>
      <c r="D3" s="5">
        <v>18.8</v>
      </c>
      <c r="F3" s="5">
        <v>13.48</v>
      </c>
      <c r="H3" s="5">
        <v>3.13</v>
      </c>
      <c r="K3" s="2" t="s">
        <v>10</v>
      </c>
    </row>
    <row r="4">
      <c r="A4" s="4" t="s">
        <v>11</v>
      </c>
      <c r="B4" s="5">
        <v>35.0</v>
      </c>
      <c r="C4" s="5">
        <v>22.6</v>
      </c>
      <c r="D4" s="5">
        <v>20.0</v>
      </c>
      <c r="F4" s="5">
        <v>14.06</v>
      </c>
      <c r="H4" s="5">
        <v>2.81</v>
      </c>
      <c r="K4" s="6">
        <f>counta(H2:H1297)</f>
        <v>405</v>
      </c>
    </row>
    <row r="5">
      <c r="A5" s="4" t="s">
        <v>12</v>
      </c>
      <c r="B5" s="5">
        <v>37.0</v>
      </c>
      <c r="C5" s="5">
        <v>27.4</v>
      </c>
      <c r="D5" s="5">
        <v>13.3</v>
      </c>
      <c r="F5" s="5">
        <v>13.36</v>
      </c>
      <c r="H5" s="5">
        <v>1.7</v>
      </c>
    </row>
    <row r="6">
      <c r="A6" s="4" t="s">
        <v>13</v>
      </c>
      <c r="B6" s="5">
        <v>33.0</v>
      </c>
      <c r="C6" s="5">
        <v>26.1</v>
      </c>
      <c r="D6" s="5">
        <v>31.8</v>
      </c>
      <c r="F6" s="5">
        <v>11.3</v>
      </c>
      <c r="H6" s="5">
        <v>1.4</v>
      </c>
      <c r="K6" s="2" t="s">
        <v>14</v>
      </c>
    </row>
    <row r="7">
      <c r="A7" s="4" t="s">
        <v>15</v>
      </c>
      <c r="B7" s="5">
        <v>36.0</v>
      </c>
      <c r="C7" s="5">
        <v>23.8</v>
      </c>
      <c r="D7" s="5">
        <v>14.8</v>
      </c>
      <c r="F7" s="5">
        <v>17.27</v>
      </c>
      <c r="H7" s="5">
        <v>2.81</v>
      </c>
      <c r="K7" s="6">
        <f>counta(H2:H344)</f>
        <v>151</v>
      </c>
    </row>
    <row r="8">
      <c r="A8" s="4" t="s">
        <v>16</v>
      </c>
      <c r="B8" s="5">
        <v>6.0</v>
      </c>
      <c r="C8" s="5">
        <v>29.8</v>
      </c>
      <c r="D8" s="5">
        <v>28.2</v>
      </c>
      <c r="F8" s="5">
        <v>9.04</v>
      </c>
      <c r="H8" s="5">
        <v>1.04</v>
      </c>
      <c r="K8" s="6">
        <f>sum(H2:H344)/K7</f>
        <v>0.7329139073</v>
      </c>
    </row>
    <row r="9">
      <c r="A9" s="4" t="s">
        <v>17</v>
      </c>
      <c r="B9" s="5">
        <v>32.0</v>
      </c>
      <c r="C9" s="5">
        <v>24.2</v>
      </c>
      <c r="D9" s="5">
        <v>19.9</v>
      </c>
      <c r="F9" s="5">
        <v>10.61</v>
      </c>
      <c r="H9" s="5">
        <v>1.29</v>
      </c>
    </row>
    <row r="10">
      <c r="A10" s="4" t="s">
        <v>18</v>
      </c>
      <c r="B10" s="5">
        <v>21.0</v>
      </c>
      <c r="C10" s="5">
        <v>34.5</v>
      </c>
      <c r="D10" s="5">
        <v>34.0</v>
      </c>
      <c r="F10" s="5">
        <v>9.12</v>
      </c>
      <c r="H10" s="5">
        <v>0.7</v>
      </c>
    </row>
    <row r="11">
      <c r="A11" s="4" t="s">
        <v>19</v>
      </c>
      <c r="B11" s="5">
        <v>30.0</v>
      </c>
      <c r="C11" s="5">
        <v>18.3</v>
      </c>
      <c r="D11" s="5">
        <v>27.1</v>
      </c>
      <c r="F11" s="5">
        <v>8.88</v>
      </c>
      <c r="H11" s="5">
        <v>0.92</v>
      </c>
    </row>
    <row r="12">
      <c r="A12" s="4" t="s">
        <v>20</v>
      </c>
      <c r="B12" s="5">
        <v>5.0</v>
      </c>
      <c r="C12" s="5">
        <v>19.7</v>
      </c>
      <c r="D12" s="5">
        <v>14.7</v>
      </c>
      <c r="F12" s="5">
        <v>10.4</v>
      </c>
      <c r="H12" s="5">
        <v>1.17</v>
      </c>
    </row>
    <row r="13">
      <c r="A13" s="4" t="s">
        <v>21</v>
      </c>
      <c r="B13" s="5">
        <v>3.0</v>
      </c>
      <c r="C13" s="5">
        <v>23.9</v>
      </c>
      <c r="D13" s="5">
        <v>23.4</v>
      </c>
      <c r="F13" s="5">
        <v>8.01</v>
      </c>
      <c r="H13" s="5">
        <v>0.61</v>
      </c>
    </row>
    <row r="14">
      <c r="A14" s="4" t="s">
        <v>22</v>
      </c>
      <c r="B14" s="5">
        <v>23.0</v>
      </c>
      <c r="C14" s="5">
        <v>28.3</v>
      </c>
      <c r="D14" s="5">
        <v>27.7</v>
      </c>
      <c r="F14" s="5">
        <v>9.05</v>
      </c>
      <c r="H14" s="5">
        <v>0.47</v>
      </c>
    </row>
    <row r="15">
      <c r="A15" s="4" t="s">
        <v>23</v>
      </c>
      <c r="B15" s="5">
        <v>24.0</v>
      </c>
      <c r="C15" s="5">
        <v>19.9</v>
      </c>
      <c r="D15" s="5">
        <v>16.9</v>
      </c>
      <c r="F15" s="5">
        <v>8.44</v>
      </c>
      <c r="H15" s="5">
        <v>0.81</v>
      </c>
    </row>
    <row r="16">
      <c r="A16" s="4" t="s">
        <v>24</v>
      </c>
      <c r="B16" s="5">
        <v>9.0</v>
      </c>
      <c r="C16" s="5">
        <v>20.2</v>
      </c>
      <c r="D16" s="5">
        <v>21.5</v>
      </c>
      <c r="F16" s="5">
        <v>10.32</v>
      </c>
      <c r="H16" s="5">
        <v>1.1</v>
      </c>
    </row>
    <row r="17">
      <c r="A17" s="4" t="s">
        <v>25</v>
      </c>
      <c r="B17" s="5">
        <v>27.0</v>
      </c>
      <c r="C17" s="5">
        <v>27.0</v>
      </c>
      <c r="D17" s="5">
        <v>28.2</v>
      </c>
      <c r="F17" s="5">
        <v>9.07</v>
      </c>
      <c r="H17" s="5">
        <v>0.71</v>
      </c>
    </row>
    <row r="18">
      <c r="A18" s="4" t="s">
        <v>26</v>
      </c>
      <c r="B18" s="5">
        <v>20.0</v>
      </c>
      <c r="C18" s="5">
        <v>21.5</v>
      </c>
      <c r="D18" s="5">
        <v>17.7</v>
      </c>
      <c r="F18" s="5">
        <v>10.08</v>
      </c>
      <c r="H18" s="5">
        <v>0.93</v>
      </c>
    </row>
    <row r="19">
      <c r="A19" s="4" t="s">
        <v>27</v>
      </c>
      <c r="B19" s="5">
        <v>17.0</v>
      </c>
      <c r="C19" s="5">
        <v>24.7</v>
      </c>
      <c r="D19" s="5">
        <v>23.8</v>
      </c>
      <c r="F19" s="5">
        <v>7.59</v>
      </c>
      <c r="H19" s="5">
        <v>0.46</v>
      </c>
    </row>
    <row r="20">
      <c r="A20" s="4" t="s">
        <v>28</v>
      </c>
      <c r="B20" s="5">
        <v>29.0</v>
      </c>
      <c r="C20" s="5">
        <v>21.5</v>
      </c>
      <c r="D20" s="5">
        <v>21.9</v>
      </c>
      <c r="F20" s="5">
        <v>8.57</v>
      </c>
      <c r="H20" s="5">
        <v>0.81</v>
      </c>
    </row>
    <row r="21">
      <c r="A21" s="7" t="s">
        <v>29</v>
      </c>
      <c r="B21" s="5">
        <v>31.0</v>
      </c>
      <c r="C21" s="5">
        <v>21.0</v>
      </c>
      <c r="D21" s="5">
        <v>13.5</v>
      </c>
      <c r="E21" s="5">
        <v>9.4</v>
      </c>
      <c r="F21" s="5">
        <v>8.13</v>
      </c>
      <c r="H21" s="5">
        <v>0.83</v>
      </c>
    </row>
    <row r="22">
      <c r="A22" s="8" t="s">
        <v>30</v>
      </c>
    </row>
    <row r="23">
      <c r="A23" s="4" t="s">
        <v>31</v>
      </c>
      <c r="B23" s="5">
        <v>13.0</v>
      </c>
      <c r="C23" s="5">
        <v>26.6</v>
      </c>
      <c r="D23" s="5">
        <v>15.0</v>
      </c>
      <c r="E23" s="5">
        <v>3.7</v>
      </c>
      <c r="F23" s="5">
        <v>8.45</v>
      </c>
      <c r="H23" s="5">
        <v>0.68</v>
      </c>
    </row>
    <row r="24">
      <c r="A24" s="4" t="s">
        <v>32</v>
      </c>
      <c r="B24" s="5">
        <v>2.0</v>
      </c>
      <c r="C24" s="5">
        <v>16.0</v>
      </c>
      <c r="D24" s="5">
        <v>9.5</v>
      </c>
      <c r="F24" s="5">
        <v>6.44</v>
      </c>
      <c r="H24" s="5">
        <v>0.44</v>
      </c>
    </row>
    <row r="25">
      <c r="A25" s="4" t="s">
        <v>33</v>
      </c>
      <c r="B25" s="5">
        <v>22.0</v>
      </c>
      <c r="C25" s="5">
        <v>14.9</v>
      </c>
      <c r="D25" s="5">
        <v>6.7</v>
      </c>
      <c r="F25" s="5">
        <v>5.9</v>
      </c>
      <c r="H25" s="5">
        <v>0.27</v>
      </c>
    </row>
    <row r="26">
      <c r="A26" s="4" t="s">
        <v>34</v>
      </c>
      <c r="B26" s="5">
        <v>8.0</v>
      </c>
      <c r="C26" s="5">
        <v>21.1</v>
      </c>
      <c r="D26" s="5">
        <v>14.2</v>
      </c>
      <c r="F26" s="5">
        <v>7.02</v>
      </c>
      <c r="H26" s="5">
        <v>0.46</v>
      </c>
    </row>
    <row r="27">
      <c r="A27" s="4" t="s">
        <v>35</v>
      </c>
      <c r="B27" s="5">
        <v>7.0</v>
      </c>
      <c r="C27" s="5">
        <v>19.9</v>
      </c>
      <c r="D27" s="5">
        <v>12.7</v>
      </c>
      <c r="F27" s="5">
        <v>7.76</v>
      </c>
      <c r="H27" s="5">
        <v>0.57</v>
      </c>
    </row>
    <row r="28">
      <c r="A28" s="4" t="s">
        <v>36</v>
      </c>
      <c r="B28" s="5">
        <v>15.0</v>
      </c>
      <c r="C28" s="5">
        <v>25.2</v>
      </c>
      <c r="D28" s="5">
        <v>20.7</v>
      </c>
      <c r="F28" s="5">
        <v>8.17</v>
      </c>
      <c r="H28" s="5">
        <v>0.56</v>
      </c>
    </row>
    <row r="29">
      <c r="A29" s="4" t="s">
        <v>37</v>
      </c>
      <c r="B29" s="5">
        <v>14.0</v>
      </c>
      <c r="C29" s="5">
        <v>12.9</v>
      </c>
      <c r="D29" s="5">
        <v>12.1</v>
      </c>
      <c r="F29" s="5">
        <v>7.24</v>
      </c>
      <c r="H29" s="5">
        <v>0.5</v>
      </c>
    </row>
    <row r="30">
      <c r="A30" s="4" t="s">
        <v>38</v>
      </c>
      <c r="B30" s="5">
        <v>26.0</v>
      </c>
      <c r="C30" s="5">
        <v>20.0</v>
      </c>
      <c r="D30" s="5">
        <v>14.2</v>
      </c>
      <c r="F30" s="5">
        <v>8.72</v>
      </c>
      <c r="H30" s="5">
        <v>0.73</v>
      </c>
    </row>
    <row r="31">
      <c r="A31" s="4" t="s">
        <v>39</v>
      </c>
      <c r="B31" s="5">
        <v>19.0</v>
      </c>
      <c r="C31" s="5">
        <v>22.3</v>
      </c>
      <c r="D31" s="5">
        <v>15.9</v>
      </c>
      <c r="F31" s="5">
        <v>9.33</v>
      </c>
      <c r="H31" s="5">
        <v>0.81</v>
      </c>
    </row>
    <row r="32">
      <c r="A32" s="4" t="s">
        <v>40</v>
      </c>
      <c r="B32" s="5">
        <v>16.0</v>
      </c>
      <c r="C32" s="5">
        <v>14.4</v>
      </c>
      <c r="D32" s="5">
        <v>16.0</v>
      </c>
      <c r="F32" s="5">
        <v>7.02</v>
      </c>
      <c r="H32" s="5">
        <v>0.43</v>
      </c>
    </row>
    <row r="33">
      <c r="A33" s="7" t="s">
        <v>41</v>
      </c>
      <c r="B33" s="5">
        <v>28.0</v>
      </c>
      <c r="C33" s="5">
        <v>20.6</v>
      </c>
      <c r="D33" s="5">
        <v>16.4</v>
      </c>
      <c r="F33" s="5">
        <v>10.31</v>
      </c>
      <c r="H33" s="5">
        <v>0.9</v>
      </c>
    </row>
    <row r="34">
      <c r="A34" s="7" t="s">
        <v>42</v>
      </c>
      <c r="B34" s="5">
        <v>12.0</v>
      </c>
      <c r="C34" s="5">
        <v>23.6</v>
      </c>
      <c r="D34" s="5">
        <v>16.2</v>
      </c>
      <c r="F34" s="5">
        <v>7.19</v>
      </c>
      <c r="H34" s="5">
        <v>0.22</v>
      </c>
    </row>
    <row r="35">
      <c r="A35" s="4" t="s">
        <v>43</v>
      </c>
      <c r="B35" s="5">
        <v>4.0</v>
      </c>
      <c r="C35" s="5">
        <v>17.1</v>
      </c>
      <c r="D35" s="5">
        <v>13.3</v>
      </c>
      <c r="F35" s="5">
        <v>6.33</v>
      </c>
      <c r="H35" s="5">
        <v>0.32</v>
      </c>
    </row>
    <row r="36">
      <c r="A36" s="4" t="s">
        <v>44</v>
      </c>
      <c r="B36" s="5">
        <v>11.0</v>
      </c>
      <c r="C36" s="5">
        <v>13.9</v>
      </c>
      <c r="D36" s="5">
        <v>19.0</v>
      </c>
      <c r="F36" s="5">
        <v>5.97</v>
      </c>
      <c r="H36" s="5">
        <v>0.35</v>
      </c>
    </row>
    <row r="37">
      <c r="A37" s="4" t="s">
        <v>45</v>
      </c>
      <c r="B37" s="5">
        <v>25.0</v>
      </c>
      <c r="C37" s="5">
        <v>16.5</v>
      </c>
      <c r="D37" s="5">
        <v>12.2</v>
      </c>
      <c r="F37" s="5">
        <v>6.74</v>
      </c>
      <c r="H37" s="5">
        <v>0.54</v>
      </c>
    </row>
    <row r="38">
      <c r="A38" s="7" t="s">
        <v>46</v>
      </c>
      <c r="B38" s="5">
        <v>34.0</v>
      </c>
      <c r="C38" s="5">
        <v>17.4</v>
      </c>
      <c r="D38" s="5">
        <v>10.8</v>
      </c>
      <c r="F38" s="5">
        <v>7.86</v>
      </c>
      <c r="H38" s="5">
        <v>0.69</v>
      </c>
    </row>
    <row r="39">
      <c r="A39" s="4" t="s">
        <v>47</v>
      </c>
      <c r="B39" s="5">
        <v>18.0</v>
      </c>
      <c r="C39" s="5">
        <v>13.8</v>
      </c>
      <c r="D39" s="5">
        <v>8.8</v>
      </c>
      <c r="F39" s="5">
        <v>5.94</v>
      </c>
      <c r="H39" s="5">
        <v>0.39</v>
      </c>
    </row>
    <row r="40">
      <c r="A40" s="4" t="s">
        <v>48</v>
      </c>
      <c r="B40" s="5">
        <v>10.0</v>
      </c>
      <c r="C40" s="5">
        <v>10.6</v>
      </c>
      <c r="D40" s="5">
        <v>7.5</v>
      </c>
      <c r="F40" s="5">
        <v>2.22</v>
      </c>
      <c r="H40" s="5">
        <v>0.03</v>
      </c>
    </row>
    <row r="41">
      <c r="A41" s="4" t="s">
        <v>49</v>
      </c>
      <c r="B41" s="5">
        <v>1.0</v>
      </c>
      <c r="C41" s="5">
        <v>8.5</v>
      </c>
      <c r="D41" s="5">
        <v>8.0</v>
      </c>
      <c r="F41" s="5">
        <v>3.73</v>
      </c>
      <c r="H41" s="5">
        <v>0.11</v>
      </c>
    </row>
    <row r="42">
      <c r="A42" s="4"/>
    </row>
    <row r="43">
      <c r="A43" s="4" t="s">
        <v>50</v>
      </c>
      <c r="B43" s="5">
        <v>73.0</v>
      </c>
      <c r="C43" s="5">
        <v>26.1</v>
      </c>
      <c r="D43" s="5">
        <v>21.9</v>
      </c>
      <c r="F43" s="5">
        <v>16.92</v>
      </c>
      <c r="H43" s="5">
        <v>4.31</v>
      </c>
    </row>
    <row r="44">
      <c r="A44" s="4" t="s">
        <v>51</v>
      </c>
      <c r="B44" s="5">
        <v>82.0</v>
      </c>
      <c r="C44" s="5">
        <v>17.2</v>
      </c>
      <c r="D44" s="5">
        <v>20.5</v>
      </c>
      <c r="F44" s="5">
        <v>14.29</v>
      </c>
      <c r="H44" s="5">
        <v>2.64</v>
      </c>
    </row>
    <row r="45">
      <c r="A45" s="4" t="s">
        <v>52</v>
      </c>
      <c r="B45" s="5">
        <v>81.0</v>
      </c>
      <c r="C45" s="5">
        <v>20.7</v>
      </c>
      <c r="D45" s="5">
        <v>14.7</v>
      </c>
      <c r="F45" s="5">
        <v>13.39</v>
      </c>
      <c r="H45" s="5">
        <v>1.53</v>
      </c>
    </row>
    <row r="46">
      <c r="A46" s="4" t="s">
        <v>53</v>
      </c>
      <c r="B46" s="5">
        <v>75.0</v>
      </c>
      <c r="C46" s="5">
        <v>28.2</v>
      </c>
      <c r="D46" s="5">
        <v>24.6</v>
      </c>
      <c r="F46" s="5">
        <v>15.34</v>
      </c>
      <c r="H46" s="5">
        <v>3.28</v>
      </c>
    </row>
    <row r="47">
      <c r="A47" s="4" t="s">
        <v>54</v>
      </c>
      <c r="B47" s="5">
        <v>50.0</v>
      </c>
      <c r="C47" s="5">
        <v>30.7</v>
      </c>
      <c r="D47" s="5">
        <v>38.4</v>
      </c>
      <c r="E47" s="5">
        <v>6.8</v>
      </c>
      <c r="F47" s="5">
        <v>11.83</v>
      </c>
      <c r="H47" s="5">
        <v>1.47</v>
      </c>
    </row>
    <row r="48">
      <c r="A48" s="4" t="s">
        <v>55</v>
      </c>
      <c r="B48" s="5">
        <v>74.0</v>
      </c>
      <c r="C48" s="5">
        <v>25.1</v>
      </c>
      <c r="D48" s="5">
        <v>25.2</v>
      </c>
      <c r="F48" s="5">
        <v>12.78</v>
      </c>
      <c r="H48" s="5">
        <v>1.38</v>
      </c>
    </row>
    <row r="49">
      <c r="A49" s="4" t="s">
        <v>56</v>
      </c>
      <c r="B49" s="5">
        <v>58.0</v>
      </c>
      <c r="C49" s="5">
        <v>35.2</v>
      </c>
      <c r="D49" s="5">
        <v>37.0</v>
      </c>
      <c r="F49" s="5">
        <v>11.08</v>
      </c>
      <c r="H49" s="5">
        <v>0.88</v>
      </c>
    </row>
    <row r="50">
      <c r="A50" s="4" t="s">
        <v>57</v>
      </c>
      <c r="B50" s="5">
        <v>54.0</v>
      </c>
      <c r="C50" s="5">
        <v>25.1</v>
      </c>
      <c r="D50" s="5">
        <v>19.6</v>
      </c>
      <c r="F50" s="5">
        <v>10.73</v>
      </c>
      <c r="H50" s="5">
        <v>0.86</v>
      </c>
    </row>
    <row r="51">
      <c r="A51" s="4" t="s">
        <v>58</v>
      </c>
      <c r="B51" s="5">
        <v>46.0</v>
      </c>
      <c r="C51" s="5">
        <v>30.9</v>
      </c>
      <c r="D51" s="5">
        <v>28.1</v>
      </c>
      <c r="F51" s="5">
        <v>9.31</v>
      </c>
      <c r="H51" s="5">
        <v>0.77</v>
      </c>
    </row>
    <row r="52">
      <c r="A52" s="4" t="s">
        <v>59</v>
      </c>
      <c r="B52" s="5">
        <v>42.0</v>
      </c>
      <c r="C52" s="5">
        <v>26.3</v>
      </c>
      <c r="D52" s="5">
        <v>20.1</v>
      </c>
      <c r="F52" s="5">
        <v>9.32</v>
      </c>
      <c r="H52" s="5">
        <v>0.88</v>
      </c>
    </row>
    <row r="53">
      <c r="A53" s="4" t="s">
        <v>60</v>
      </c>
      <c r="B53" s="5">
        <v>66.0</v>
      </c>
      <c r="C53" s="5">
        <v>26.3</v>
      </c>
      <c r="D53" s="5">
        <v>20.5</v>
      </c>
      <c r="F53" s="5">
        <v>11.84</v>
      </c>
      <c r="H53" s="5">
        <v>1.1</v>
      </c>
    </row>
    <row r="54">
      <c r="A54" s="4" t="s">
        <v>61</v>
      </c>
      <c r="B54" s="5">
        <v>67.0</v>
      </c>
      <c r="C54" s="5">
        <v>24.9</v>
      </c>
      <c r="D54" s="5">
        <v>19.5</v>
      </c>
      <c r="F54" s="5">
        <v>10.88</v>
      </c>
      <c r="H54" s="5">
        <v>1.27</v>
      </c>
    </row>
    <row r="55">
      <c r="A55" s="4" t="s">
        <v>62</v>
      </c>
      <c r="B55" s="5">
        <v>63.0</v>
      </c>
      <c r="C55" s="5">
        <v>28.7</v>
      </c>
      <c r="D55" s="5">
        <v>29.4</v>
      </c>
      <c r="F55" s="5">
        <v>10.56</v>
      </c>
      <c r="H55" s="5">
        <v>0.53</v>
      </c>
    </row>
    <row r="56">
      <c r="A56" s="4" t="s">
        <v>63</v>
      </c>
      <c r="B56" s="5">
        <v>77.0</v>
      </c>
      <c r="C56" s="5">
        <v>29.9</v>
      </c>
      <c r="D56" s="5">
        <v>39.9</v>
      </c>
      <c r="F56" s="5">
        <v>7.98</v>
      </c>
      <c r="H56" s="5">
        <v>0.61</v>
      </c>
    </row>
    <row r="57">
      <c r="A57" s="4" t="s">
        <v>64</v>
      </c>
      <c r="B57" s="5">
        <v>76.0</v>
      </c>
      <c r="C57" s="5">
        <v>23.0</v>
      </c>
      <c r="D57" s="5">
        <v>19.3</v>
      </c>
      <c r="F57" s="5">
        <v>8.14</v>
      </c>
      <c r="H57" s="5">
        <v>0.64</v>
      </c>
    </row>
    <row r="58">
      <c r="A58" s="4" t="s">
        <v>65</v>
      </c>
      <c r="B58" s="5">
        <v>80.0</v>
      </c>
      <c r="C58" s="5">
        <v>19.2</v>
      </c>
      <c r="D58" s="5">
        <v>15.9</v>
      </c>
      <c r="F58" s="5">
        <v>6.77</v>
      </c>
      <c r="H58" s="5">
        <v>0.6</v>
      </c>
    </row>
    <row r="59">
      <c r="A59" s="4" t="s">
        <v>66</v>
      </c>
      <c r="B59" s="5">
        <v>68.0</v>
      </c>
      <c r="C59" s="5">
        <v>21.2</v>
      </c>
      <c r="D59" s="5">
        <v>25.4</v>
      </c>
      <c r="F59" s="5">
        <v>7.87</v>
      </c>
      <c r="H59" s="5">
        <v>0.47</v>
      </c>
    </row>
    <row r="60">
      <c r="A60" s="4" t="s">
        <v>67</v>
      </c>
      <c r="B60" s="5">
        <v>64.0</v>
      </c>
      <c r="C60" s="5">
        <v>17.5</v>
      </c>
      <c r="D60" s="5">
        <v>16.0</v>
      </c>
      <c r="F60" s="5">
        <v>7.86</v>
      </c>
      <c r="H60" s="5">
        <v>0.52</v>
      </c>
    </row>
    <row r="61">
      <c r="A61" s="4" t="s">
        <v>68</v>
      </c>
      <c r="B61" s="5">
        <v>71.0</v>
      </c>
      <c r="C61" s="5">
        <v>23.9</v>
      </c>
      <c r="D61" s="5">
        <v>21.1</v>
      </c>
      <c r="F61" s="5">
        <v>7.75</v>
      </c>
      <c r="H61" s="5">
        <v>0.42</v>
      </c>
    </row>
    <row r="62">
      <c r="A62" s="4" t="s">
        <v>69</v>
      </c>
      <c r="B62" s="5">
        <v>47.0</v>
      </c>
      <c r="C62" s="5">
        <v>17.1</v>
      </c>
      <c r="D62" s="5">
        <v>18.4</v>
      </c>
      <c r="F62" s="5">
        <v>9.2</v>
      </c>
      <c r="H62" s="5">
        <v>0.58</v>
      </c>
    </row>
    <row r="63">
      <c r="A63" s="4" t="s">
        <v>70</v>
      </c>
      <c r="B63" s="5">
        <v>70.0</v>
      </c>
      <c r="C63" s="5">
        <v>17.8</v>
      </c>
      <c r="D63" s="5">
        <v>20.2</v>
      </c>
      <c r="F63" s="5">
        <v>6.65</v>
      </c>
      <c r="H63" s="5">
        <v>0.34</v>
      </c>
    </row>
    <row r="64">
      <c r="A64" s="4" t="s">
        <v>71</v>
      </c>
      <c r="B64" s="5">
        <v>40.0</v>
      </c>
      <c r="C64" s="5">
        <v>22.0</v>
      </c>
      <c r="D64" s="5">
        <v>16.4</v>
      </c>
      <c r="F64" s="5">
        <v>9.45</v>
      </c>
      <c r="H64" s="5">
        <v>1.0</v>
      </c>
    </row>
    <row r="65">
      <c r="A65" s="4" t="s">
        <v>72</v>
      </c>
      <c r="B65" s="5">
        <v>41.0</v>
      </c>
      <c r="C65" s="5">
        <v>19.2</v>
      </c>
      <c r="D65" s="5">
        <v>17.8</v>
      </c>
      <c r="F65" s="5">
        <v>6.19</v>
      </c>
      <c r="H65" s="5">
        <v>0.36</v>
      </c>
    </row>
    <row r="66">
      <c r="A66" s="4" t="s">
        <v>73</v>
      </c>
      <c r="B66" s="5">
        <v>53.0</v>
      </c>
      <c r="C66" s="5">
        <v>21.0</v>
      </c>
      <c r="D66" s="5">
        <v>15.9</v>
      </c>
      <c r="F66" s="5">
        <v>8.4</v>
      </c>
      <c r="H66" s="5">
        <v>0.67</v>
      </c>
    </row>
    <row r="67">
      <c r="A67" s="4" t="s">
        <v>74</v>
      </c>
      <c r="B67" s="5">
        <v>55.0</v>
      </c>
      <c r="C67" s="5">
        <v>26.8</v>
      </c>
      <c r="D67" s="5">
        <v>23.1</v>
      </c>
      <c r="F67" s="5">
        <v>9.85</v>
      </c>
      <c r="H67" s="5">
        <v>0.76</v>
      </c>
    </row>
    <row r="68">
      <c r="A68" s="4" t="s">
        <v>75</v>
      </c>
      <c r="B68" s="5">
        <v>57.0</v>
      </c>
      <c r="C68" s="5">
        <v>36.1</v>
      </c>
      <c r="D68" s="5">
        <v>15.9</v>
      </c>
      <c r="E68" s="5">
        <v>10.6</v>
      </c>
      <c r="F68" s="5">
        <v>9.33</v>
      </c>
      <c r="H68" s="5">
        <v>0.88</v>
      </c>
    </row>
    <row r="69">
      <c r="A69" s="4" t="s">
        <v>76</v>
      </c>
      <c r="B69" s="5">
        <v>60.0</v>
      </c>
      <c r="C69" s="5">
        <v>13.2</v>
      </c>
      <c r="D69" s="5">
        <v>11.8</v>
      </c>
      <c r="F69" s="5">
        <v>7.45</v>
      </c>
      <c r="H69" s="5">
        <v>0.41</v>
      </c>
    </row>
    <row r="70">
      <c r="A70" s="4" t="s">
        <v>77</v>
      </c>
      <c r="B70" s="5">
        <v>78.0</v>
      </c>
      <c r="C70" s="5">
        <v>29.0</v>
      </c>
      <c r="D70" s="5">
        <v>11.5</v>
      </c>
      <c r="E70" s="5">
        <v>10.2</v>
      </c>
      <c r="F70" s="5">
        <v>6.28</v>
      </c>
      <c r="H70" s="5">
        <v>0.37</v>
      </c>
    </row>
    <row r="71">
      <c r="A71" s="4" t="s">
        <v>78</v>
      </c>
      <c r="B71" s="5">
        <v>52.0</v>
      </c>
      <c r="C71" s="5">
        <v>12.0</v>
      </c>
      <c r="D71" s="5">
        <v>10.9</v>
      </c>
      <c r="F71" s="5">
        <v>6.87</v>
      </c>
      <c r="H71" s="5">
        <v>0.2</v>
      </c>
    </row>
    <row r="72">
      <c r="A72" s="4" t="s">
        <v>79</v>
      </c>
      <c r="B72" s="5">
        <v>51.0</v>
      </c>
      <c r="C72" s="5">
        <v>21.2</v>
      </c>
      <c r="D72" s="5">
        <v>14.5</v>
      </c>
      <c r="F72" s="5">
        <v>6.69</v>
      </c>
      <c r="H72" s="5">
        <v>0.35</v>
      </c>
    </row>
    <row r="73">
      <c r="A73" s="4" t="s">
        <v>80</v>
      </c>
      <c r="B73" s="5">
        <v>48.0</v>
      </c>
      <c r="C73" s="5">
        <v>12.6</v>
      </c>
      <c r="D73" s="5">
        <v>11.7</v>
      </c>
      <c r="F73" s="5">
        <v>6.24</v>
      </c>
      <c r="H73" s="5">
        <v>0.32</v>
      </c>
    </row>
    <row r="74">
      <c r="A74" s="4" t="s">
        <v>81</v>
      </c>
      <c r="B74" s="5">
        <v>43.0</v>
      </c>
      <c r="C74" s="5">
        <v>16.7</v>
      </c>
      <c r="D74" s="5">
        <v>13.1</v>
      </c>
      <c r="F74" s="5">
        <v>6.05</v>
      </c>
      <c r="H74" s="5">
        <v>0.26</v>
      </c>
    </row>
    <row r="75">
      <c r="A75" s="4" t="s">
        <v>82</v>
      </c>
      <c r="B75" s="5">
        <v>45.0</v>
      </c>
      <c r="C75" s="5">
        <v>17.5</v>
      </c>
      <c r="D75" s="5">
        <v>14.6</v>
      </c>
      <c r="F75" s="5">
        <v>6.1</v>
      </c>
      <c r="H75" s="5">
        <v>0.33</v>
      </c>
    </row>
    <row r="76">
      <c r="A76" s="4" t="s">
        <v>83</v>
      </c>
      <c r="B76" s="5">
        <v>72.0</v>
      </c>
      <c r="C76" s="5">
        <v>10.9</v>
      </c>
      <c r="D76" s="5">
        <v>12.0</v>
      </c>
      <c r="F76" s="5">
        <v>6.28</v>
      </c>
      <c r="H76" s="5">
        <v>0.27</v>
      </c>
    </row>
    <row r="77">
      <c r="A77" s="4" t="s">
        <v>84</v>
      </c>
      <c r="B77" s="5">
        <v>69.0</v>
      </c>
      <c r="C77" s="5">
        <v>13.0</v>
      </c>
      <c r="D77" s="5">
        <v>12.8</v>
      </c>
      <c r="F77" s="5">
        <v>7.92</v>
      </c>
      <c r="H77" s="5">
        <v>0.44</v>
      </c>
    </row>
    <row r="78">
      <c r="A78" s="4" t="s">
        <v>85</v>
      </c>
      <c r="B78" s="5">
        <v>62.0</v>
      </c>
      <c r="C78" s="5">
        <v>14.9</v>
      </c>
      <c r="D78" s="5">
        <v>12.1</v>
      </c>
      <c r="F78" s="5">
        <v>6.85</v>
      </c>
      <c r="H78" s="5">
        <v>0.3</v>
      </c>
    </row>
    <row r="79">
      <c r="A79" s="4" t="s">
        <v>86</v>
      </c>
      <c r="B79" s="5">
        <v>61.0</v>
      </c>
      <c r="C79" s="5">
        <v>19.1</v>
      </c>
      <c r="D79" s="5">
        <v>16.8</v>
      </c>
      <c r="F79" s="5">
        <v>7.05</v>
      </c>
      <c r="H79" s="5">
        <v>0.41</v>
      </c>
    </row>
    <row r="80">
      <c r="A80" s="4" t="s">
        <v>87</v>
      </c>
      <c r="B80" s="5">
        <v>65.0</v>
      </c>
      <c r="C80" s="5">
        <v>11.8</v>
      </c>
      <c r="D80" s="5">
        <v>10.6</v>
      </c>
      <c r="F80" s="5">
        <v>6.12</v>
      </c>
      <c r="H80" s="5">
        <v>0.29</v>
      </c>
    </row>
    <row r="81">
      <c r="A81" s="4" t="s">
        <v>88</v>
      </c>
      <c r="B81" s="5">
        <v>59.0</v>
      </c>
      <c r="C81" s="5">
        <v>11.7</v>
      </c>
      <c r="D81" s="5">
        <v>12.7</v>
      </c>
      <c r="F81" s="5">
        <v>5.84</v>
      </c>
      <c r="H81" s="5">
        <v>0.21</v>
      </c>
    </row>
    <row r="82">
      <c r="A82" s="4" t="s">
        <v>89</v>
      </c>
      <c r="B82" s="5">
        <v>79.0</v>
      </c>
      <c r="C82" s="5">
        <v>11.1</v>
      </c>
      <c r="D82" s="5">
        <v>9.8</v>
      </c>
      <c r="F82" s="5">
        <v>4.56</v>
      </c>
      <c r="H82" s="5">
        <v>0.14</v>
      </c>
    </row>
    <row r="83">
      <c r="A83" s="4" t="s">
        <v>90</v>
      </c>
      <c r="B83" s="5">
        <v>49.0</v>
      </c>
      <c r="C83" s="5">
        <v>8.8</v>
      </c>
      <c r="D83" s="5">
        <v>10.8</v>
      </c>
      <c r="F83" s="5">
        <v>3.54</v>
      </c>
      <c r="H83" s="5">
        <v>0.08</v>
      </c>
    </row>
    <row r="84">
      <c r="A84" s="4" t="s">
        <v>91</v>
      </c>
      <c r="B84" s="5">
        <v>44.0</v>
      </c>
      <c r="C84" s="5">
        <v>10.0</v>
      </c>
      <c r="D84" s="5">
        <v>10.7</v>
      </c>
      <c r="F84" s="5">
        <v>3.8</v>
      </c>
      <c r="H84" s="5">
        <v>0.08</v>
      </c>
    </row>
    <row r="85">
      <c r="A85" s="4" t="s">
        <v>92</v>
      </c>
      <c r="B85" s="5">
        <v>56.0</v>
      </c>
      <c r="C85" s="5">
        <v>8.8</v>
      </c>
      <c r="D85" s="5">
        <v>7.1</v>
      </c>
      <c r="F85" s="5">
        <v>2.43</v>
      </c>
      <c r="H85" s="5">
        <v>0.02</v>
      </c>
    </row>
    <row r="86">
      <c r="A86" s="4"/>
    </row>
    <row r="87">
      <c r="A87" s="4" t="s">
        <v>93</v>
      </c>
      <c r="B87" s="5">
        <v>214.0</v>
      </c>
      <c r="C87" s="5">
        <v>26.0</v>
      </c>
      <c r="D87" s="5">
        <v>18.6</v>
      </c>
      <c r="F87" s="5">
        <v>9.8</v>
      </c>
    </row>
    <row r="88">
      <c r="A88" s="4" t="s">
        <v>94</v>
      </c>
      <c r="B88" s="5">
        <v>216.0</v>
      </c>
      <c r="C88" s="5">
        <v>24.8</v>
      </c>
      <c r="D88" s="5">
        <v>22.1</v>
      </c>
      <c r="E88" s="5">
        <v>16.0</v>
      </c>
      <c r="F88" s="5">
        <v>11.59</v>
      </c>
    </row>
    <row r="89">
      <c r="A89" s="4" t="s">
        <v>95</v>
      </c>
      <c r="B89" s="5">
        <v>310.0</v>
      </c>
      <c r="C89" s="5">
        <v>29.5</v>
      </c>
      <c r="D89" s="5">
        <v>23.5</v>
      </c>
      <c r="F89" s="5">
        <v>10.4</v>
      </c>
      <c r="H89" s="5">
        <v>0.76</v>
      </c>
    </row>
    <row r="90">
      <c r="A90" s="4" t="s">
        <v>96</v>
      </c>
      <c r="B90" s="5">
        <v>312.0</v>
      </c>
      <c r="C90" s="5">
        <v>32.5</v>
      </c>
      <c r="D90" s="5">
        <v>39.2</v>
      </c>
      <c r="E90" s="5">
        <v>12.5</v>
      </c>
      <c r="F90" s="5">
        <v>9.13</v>
      </c>
      <c r="H90" s="5">
        <v>0.92</v>
      </c>
    </row>
    <row r="91">
      <c r="A91" s="4" t="s">
        <v>97</v>
      </c>
      <c r="B91" s="5">
        <v>311.0</v>
      </c>
      <c r="C91" s="5">
        <v>36.1</v>
      </c>
      <c r="D91" s="5">
        <v>24.1</v>
      </c>
      <c r="F91" s="5">
        <v>9.67</v>
      </c>
      <c r="H91" s="5">
        <v>0.9</v>
      </c>
    </row>
    <row r="92">
      <c r="A92" s="4" t="s">
        <v>98</v>
      </c>
      <c r="B92" s="5">
        <v>304.0</v>
      </c>
      <c r="C92" s="5">
        <v>27.1</v>
      </c>
      <c r="D92" s="5">
        <v>20.6</v>
      </c>
      <c r="F92" s="5">
        <v>9.06</v>
      </c>
      <c r="H92" s="5">
        <v>0.33</v>
      </c>
    </row>
    <row r="93">
      <c r="A93" s="7" t="s">
        <v>99</v>
      </c>
      <c r="B93" s="5">
        <v>315.0</v>
      </c>
      <c r="C93" s="5">
        <v>30.5</v>
      </c>
      <c r="D93" s="5">
        <v>29.8</v>
      </c>
      <c r="F93" s="5">
        <v>11.19</v>
      </c>
      <c r="H93" s="5">
        <v>0.99</v>
      </c>
    </row>
    <row r="94">
      <c r="A94" s="4" t="s">
        <v>100</v>
      </c>
      <c r="B94" s="5">
        <v>94.0</v>
      </c>
      <c r="C94" s="5">
        <v>36.1</v>
      </c>
      <c r="D94" s="5">
        <v>34.8</v>
      </c>
      <c r="F94" s="5">
        <v>10.54</v>
      </c>
      <c r="H94" s="5">
        <v>0.59</v>
      </c>
    </row>
    <row r="95">
      <c r="A95" s="4" t="s">
        <v>101</v>
      </c>
      <c r="B95" s="5">
        <v>89.0</v>
      </c>
      <c r="C95" s="5">
        <v>25.7</v>
      </c>
      <c r="D95" s="5">
        <v>23.1</v>
      </c>
      <c r="F95" s="5">
        <v>10.23</v>
      </c>
      <c r="H95" s="5">
        <v>0.92</v>
      </c>
    </row>
    <row r="96">
      <c r="A96" s="4" t="s">
        <v>102</v>
      </c>
      <c r="B96" s="5">
        <v>301.0</v>
      </c>
      <c r="C96" s="5">
        <v>28.2</v>
      </c>
      <c r="D96" s="5">
        <v>22.3</v>
      </c>
      <c r="F96" s="5">
        <v>9.42</v>
      </c>
      <c r="H96" s="5">
        <v>0.53</v>
      </c>
    </row>
    <row r="97">
      <c r="A97" s="4" t="s">
        <v>103</v>
      </c>
      <c r="B97" s="5">
        <v>98.0</v>
      </c>
      <c r="C97" s="5">
        <v>23.3</v>
      </c>
      <c r="D97" s="5">
        <v>18.2</v>
      </c>
      <c r="F97" s="5">
        <v>10.86</v>
      </c>
      <c r="H97" s="5">
        <v>0.59</v>
      </c>
    </row>
    <row r="98">
      <c r="A98" s="4" t="s">
        <v>104</v>
      </c>
      <c r="B98" s="5">
        <v>100.0</v>
      </c>
      <c r="C98" s="5">
        <v>30.6</v>
      </c>
      <c r="D98" s="5">
        <v>27.6</v>
      </c>
      <c r="F98" s="5">
        <v>9.8</v>
      </c>
      <c r="H98" s="5">
        <v>0.82</v>
      </c>
    </row>
    <row r="99">
      <c r="A99" s="4" t="s">
        <v>105</v>
      </c>
      <c r="B99" s="5">
        <v>84.0</v>
      </c>
      <c r="C99" s="5">
        <v>25.2</v>
      </c>
      <c r="D99" s="5">
        <v>23.6</v>
      </c>
      <c r="F99" s="5">
        <v>10.24</v>
      </c>
      <c r="H99" s="5">
        <v>0.63</v>
      </c>
    </row>
    <row r="100">
      <c r="A100" s="4" t="s">
        <v>106</v>
      </c>
      <c r="B100" s="5">
        <v>90.0</v>
      </c>
      <c r="C100" s="5">
        <v>22.0</v>
      </c>
      <c r="D100" s="5">
        <v>27.1</v>
      </c>
      <c r="F100" s="5">
        <v>9.13</v>
      </c>
      <c r="H100" s="5">
        <v>0.48</v>
      </c>
    </row>
    <row r="101">
      <c r="A101" s="4" t="s">
        <v>107</v>
      </c>
      <c r="B101" s="5">
        <v>317.0</v>
      </c>
      <c r="C101" s="5">
        <v>26.1</v>
      </c>
      <c r="D101" s="5">
        <v>28.6</v>
      </c>
      <c r="F101" s="5">
        <v>7.43</v>
      </c>
      <c r="H101" s="5">
        <v>0.51</v>
      </c>
    </row>
    <row r="102">
      <c r="A102" s="4" t="s">
        <v>108</v>
      </c>
      <c r="B102" s="5">
        <v>307.0</v>
      </c>
      <c r="C102" s="5">
        <v>18.6</v>
      </c>
      <c r="D102" s="5">
        <v>21.2</v>
      </c>
      <c r="F102" s="5">
        <v>7.69</v>
      </c>
      <c r="H102" s="5">
        <v>0.57</v>
      </c>
    </row>
    <row r="103">
      <c r="A103" s="4" t="s">
        <v>109</v>
      </c>
      <c r="B103" s="5">
        <v>92.0</v>
      </c>
      <c r="C103" s="5">
        <v>19.2</v>
      </c>
      <c r="D103" s="5">
        <v>22.7</v>
      </c>
      <c r="F103" s="5">
        <v>8.62</v>
      </c>
      <c r="H103" s="5">
        <v>0.58</v>
      </c>
    </row>
    <row r="104">
      <c r="A104" s="4" t="s">
        <v>110</v>
      </c>
      <c r="B104" s="5">
        <v>91.0</v>
      </c>
      <c r="C104" s="5">
        <v>30.2</v>
      </c>
      <c r="D104" s="5">
        <v>21.8</v>
      </c>
      <c r="F104" s="5">
        <v>8.34</v>
      </c>
      <c r="H104" s="5">
        <v>0.56</v>
      </c>
    </row>
    <row r="105">
      <c r="A105" s="4" t="s">
        <v>111</v>
      </c>
      <c r="B105" s="5">
        <v>96.0</v>
      </c>
      <c r="C105" s="5">
        <v>20.8</v>
      </c>
      <c r="D105" s="5">
        <v>16.2</v>
      </c>
      <c r="F105" s="5">
        <v>7.9</v>
      </c>
      <c r="H105" s="5">
        <v>0.63</v>
      </c>
    </row>
    <row r="106">
      <c r="A106" s="4" t="s">
        <v>112</v>
      </c>
      <c r="B106" s="5">
        <v>306.0</v>
      </c>
      <c r="C106" s="5">
        <v>20.1</v>
      </c>
      <c r="D106" s="5">
        <v>15.6</v>
      </c>
      <c r="F106" s="5">
        <v>8.05</v>
      </c>
      <c r="H106" s="5">
        <v>0.6</v>
      </c>
    </row>
    <row r="107">
      <c r="A107" s="4" t="s">
        <v>113</v>
      </c>
      <c r="B107" s="5">
        <v>99.0</v>
      </c>
      <c r="C107" s="5">
        <v>17.2</v>
      </c>
      <c r="D107" s="5">
        <v>20.7</v>
      </c>
      <c r="F107" s="5">
        <v>7.1</v>
      </c>
      <c r="H107" s="5">
        <v>0.53</v>
      </c>
    </row>
    <row r="108">
      <c r="A108" s="4" t="s">
        <v>114</v>
      </c>
      <c r="B108" s="5">
        <v>85.0</v>
      </c>
      <c r="C108" s="5">
        <v>20.3</v>
      </c>
      <c r="D108" s="5">
        <v>19.9</v>
      </c>
      <c r="F108" s="5">
        <v>8.47</v>
      </c>
      <c r="H108" s="5">
        <v>0.61</v>
      </c>
    </row>
    <row r="109">
      <c r="A109" s="4" t="s">
        <v>115</v>
      </c>
      <c r="B109" s="5">
        <v>303.0</v>
      </c>
      <c r="C109" s="5">
        <v>24.5</v>
      </c>
      <c r="D109" s="5">
        <v>24.2</v>
      </c>
      <c r="F109" s="5">
        <v>8.11</v>
      </c>
      <c r="H109" s="5">
        <v>0.45</v>
      </c>
    </row>
    <row r="110">
      <c r="A110" s="4" t="s">
        <v>116</v>
      </c>
      <c r="B110" s="5">
        <v>88.0</v>
      </c>
      <c r="C110" s="5">
        <v>16.0</v>
      </c>
      <c r="D110" s="5">
        <v>17.9</v>
      </c>
      <c r="F110" s="5">
        <v>6.56</v>
      </c>
      <c r="H110" s="5">
        <v>0.48</v>
      </c>
    </row>
    <row r="111">
      <c r="A111" s="4" t="s">
        <v>117</v>
      </c>
      <c r="B111" s="5">
        <v>97.0</v>
      </c>
      <c r="C111" s="5">
        <v>15.1</v>
      </c>
      <c r="D111" s="5">
        <v>13.3</v>
      </c>
      <c r="F111" s="5">
        <v>6.44</v>
      </c>
      <c r="H111" s="5">
        <v>0.39</v>
      </c>
    </row>
    <row r="112">
      <c r="A112" s="4" t="s">
        <v>118</v>
      </c>
      <c r="B112" s="5">
        <v>87.0</v>
      </c>
      <c r="C112" s="5">
        <v>12.8</v>
      </c>
      <c r="D112" s="5">
        <v>12.1</v>
      </c>
      <c r="F112" s="5">
        <v>7.46</v>
      </c>
      <c r="H112" s="5">
        <v>0.4</v>
      </c>
    </row>
    <row r="113">
      <c r="A113" s="4" t="s">
        <v>119</v>
      </c>
      <c r="B113" s="5">
        <v>83.0</v>
      </c>
      <c r="C113" s="5">
        <v>14.6</v>
      </c>
      <c r="D113" s="5">
        <v>11.1</v>
      </c>
      <c r="F113" s="5">
        <v>7.89</v>
      </c>
      <c r="H113" s="5">
        <v>0.42</v>
      </c>
    </row>
    <row r="114">
      <c r="A114" s="4" t="s">
        <v>120</v>
      </c>
      <c r="B114" s="5">
        <v>305.0</v>
      </c>
      <c r="C114" s="5">
        <v>13.7</v>
      </c>
      <c r="D114" s="5">
        <v>11.9</v>
      </c>
      <c r="F114" s="5">
        <v>6.84</v>
      </c>
      <c r="H114" s="5">
        <v>0.28</v>
      </c>
    </row>
    <row r="115">
      <c r="A115" s="4" t="s">
        <v>121</v>
      </c>
      <c r="B115" s="5">
        <v>93.0</v>
      </c>
      <c r="C115" s="5">
        <v>17.5</v>
      </c>
      <c r="D115" s="5">
        <v>11.0</v>
      </c>
      <c r="F115" s="5">
        <v>6.63</v>
      </c>
      <c r="H115" s="5">
        <v>0.5</v>
      </c>
    </row>
    <row r="116">
      <c r="A116" s="4" t="s">
        <v>122</v>
      </c>
      <c r="B116" s="5">
        <v>308.0</v>
      </c>
      <c r="C116" s="5">
        <v>15.8</v>
      </c>
      <c r="D116" s="5">
        <v>13.0</v>
      </c>
      <c r="F116" s="5">
        <v>6.57</v>
      </c>
      <c r="H116" s="5">
        <v>0.45</v>
      </c>
    </row>
    <row r="117">
      <c r="A117" s="4" t="s">
        <v>123</v>
      </c>
      <c r="B117" s="5">
        <v>302.0</v>
      </c>
      <c r="C117" s="5">
        <v>26.1</v>
      </c>
      <c r="D117" s="5">
        <v>10.0</v>
      </c>
      <c r="E117" s="5">
        <v>10.1</v>
      </c>
      <c r="F117" s="5">
        <v>8.01</v>
      </c>
      <c r="H117" s="5">
        <v>0.58</v>
      </c>
    </row>
    <row r="118">
      <c r="A118" s="4" t="s">
        <v>124</v>
      </c>
      <c r="B118" s="5">
        <v>313.0</v>
      </c>
      <c r="C118" s="5">
        <v>16.1</v>
      </c>
      <c r="D118" s="5">
        <v>13.2</v>
      </c>
      <c r="F118" s="5">
        <v>6.2</v>
      </c>
      <c r="H118" s="5">
        <v>0.37</v>
      </c>
    </row>
    <row r="119">
      <c r="A119" s="4" t="s">
        <v>125</v>
      </c>
      <c r="B119" s="5">
        <v>95.0</v>
      </c>
      <c r="C119" s="5">
        <v>19.6</v>
      </c>
      <c r="D119" s="5">
        <v>15.4</v>
      </c>
      <c r="F119" s="5">
        <v>5.14</v>
      </c>
      <c r="H119" s="5">
        <v>0.23</v>
      </c>
    </row>
    <row r="120">
      <c r="A120" s="4" t="s">
        <v>126</v>
      </c>
      <c r="B120" s="5">
        <v>86.0</v>
      </c>
      <c r="C120" s="5">
        <v>12.2</v>
      </c>
      <c r="D120" s="5">
        <v>10.4</v>
      </c>
      <c r="F120" s="5">
        <v>6.41</v>
      </c>
      <c r="H120" s="5">
        <v>0.21</v>
      </c>
    </row>
    <row r="121">
      <c r="A121" s="4" t="s">
        <v>127</v>
      </c>
      <c r="B121" s="5">
        <v>309.0</v>
      </c>
      <c r="C121" s="5">
        <v>7.9</v>
      </c>
      <c r="D121" s="5">
        <v>7.2</v>
      </c>
      <c r="F121" s="5">
        <v>3.09</v>
      </c>
      <c r="H121" s="5">
        <v>0.05</v>
      </c>
    </row>
    <row r="122">
      <c r="A122" s="4"/>
    </row>
    <row r="123">
      <c r="A123" s="4" t="s">
        <v>128</v>
      </c>
    </row>
    <row r="124">
      <c r="A124" s="4" t="s">
        <v>129</v>
      </c>
    </row>
    <row r="125">
      <c r="A125" s="4" t="s">
        <v>130</v>
      </c>
    </row>
    <row r="126">
      <c r="A126" s="4" t="s">
        <v>131</v>
      </c>
    </row>
    <row r="127">
      <c r="A127" s="4" t="s">
        <v>132</v>
      </c>
    </row>
    <row r="128">
      <c r="A128" s="4" t="s">
        <v>133</v>
      </c>
    </row>
    <row r="129">
      <c r="A129" s="4" t="s">
        <v>134</v>
      </c>
    </row>
    <row r="130">
      <c r="A130" s="4" t="s">
        <v>135</v>
      </c>
    </row>
    <row r="131">
      <c r="A131" s="4" t="s">
        <v>136</v>
      </c>
    </row>
    <row r="132">
      <c r="A132" s="4" t="s">
        <v>137</v>
      </c>
    </row>
    <row r="133">
      <c r="A133" s="4" t="s">
        <v>138</v>
      </c>
    </row>
    <row r="134">
      <c r="A134" s="4" t="s">
        <v>139</v>
      </c>
    </row>
    <row r="135">
      <c r="A135" s="4" t="s">
        <v>140</v>
      </c>
    </row>
    <row r="136">
      <c r="A136" s="4" t="s">
        <v>141</v>
      </c>
    </row>
    <row r="137">
      <c r="A137" s="4" t="s">
        <v>142</v>
      </c>
    </row>
    <row r="138">
      <c r="A138" s="4" t="s">
        <v>143</v>
      </c>
    </row>
    <row r="139">
      <c r="A139" s="4" t="s">
        <v>144</v>
      </c>
    </row>
    <row r="140">
      <c r="A140" s="4" t="s">
        <v>145</v>
      </c>
    </row>
    <row r="141">
      <c r="A141" s="4" t="s">
        <v>146</v>
      </c>
    </row>
    <row r="142">
      <c r="A142" s="4" t="s">
        <v>147</v>
      </c>
    </row>
    <row r="143">
      <c r="A143" s="4" t="s">
        <v>148</v>
      </c>
    </row>
    <row r="144">
      <c r="A144" s="4" t="s">
        <v>149</v>
      </c>
    </row>
    <row r="145">
      <c r="A145" s="4" t="s">
        <v>150</v>
      </c>
    </row>
    <row r="146">
      <c r="A146" s="4" t="s">
        <v>151</v>
      </c>
    </row>
    <row r="147">
      <c r="A147" s="4" t="s">
        <v>152</v>
      </c>
    </row>
    <row r="148">
      <c r="A148" s="4" t="s">
        <v>153</v>
      </c>
    </row>
    <row r="149">
      <c r="A149" s="4" t="s">
        <v>154</v>
      </c>
    </row>
    <row r="150">
      <c r="A150" s="4" t="s">
        <v>155</v>
      </c>
    </row>
    <row r="151">
      <c r="A151" s="4" t="s">
        <v>156</v>
      </c>
    </row>
    <row r="152">
      <c r="A152" s="4" t="s">
        <v>157</v>
      </c>
    </row>
    <row r="153">
      <c r="A153" s="4" t="s">
        <v>158</v>
      </c>
    </row>
    <row r="154">
      <c r="A154" s="4" t="s">
        <v>159</v>
      </c>
    </row>
    <row r="155">
      <c r="A155" s="4" t="s">
        <v>160</v>
      </c>
    </row>
    <row r="156">
      <c r="A156" s="4" t="s">
        <v>161</v>
      </c>
    </row>
    <row r="157">
      <c r="A157" s="4"/>
    </row>
    <row r="158">
      <c r="A158" s="4" t="s">
        <v>162</v>
      </c>
    </row>
    <row r="159">
      <c r="A159" s="4" t="s">
        <v>163</v>
      </c>
    </row>
    <row r="160">
      <c r="A160" s="4" t="s">
        <v>164</v>
      </c>
    </row>
    <row r="161">
      <c r="A161" s="4" t="s">
        <v>165</v>
      </c>
    </row>
    <row r="162">
      <c r="A162" s="4" t="s">
        <v>166</v>
      </c>
    </row>
    <row r="163">
      <c r="A163" s="4" t="s">
        <v>167</v>
      </c>
    </row>
    <row r="164">
      <c r="A164" s="4" t="s">
        <v>168</v>
      </c>
    </row>
    <row r="165">
      <c r="A165" s="4" t="s">
        <v>169</v>
      </c>
    </row>
    <row r="166">
      <c r="A166" s="4" t="s">
        <v>170</v>
      </c>
    </row>
    <row r="167">
      <c r="A167" s="4" t="s">
        <v>171</v>
      </c>
    </row>
    <row r="168">
      <c r="A168" s="4" t="s">
        <v>172</v>
      </c>
    </row>
    <row r="169">
      <c r="A169" s="4" t="s">
        <v>173</v>
      </c>
    </row>
    <row r="170">
      <c r="A170" s="4" t="s">
        <v>174</v>
      </c>
    </row>
    <row r="171">
      <c r="A171" s="4" t="s">
        <v>175</v>
      </c>
    </row>
    <row r="172">
      <c r="A172" s="4" t="s">
        <v>176</v>
      </c>
    </row>
    <row r="173">
      <c r="A173" s="4" t="s">
        <v>177</v>
      </c>
    </row>
    <row r="174">
      <c r="A174" s="4" t="s">
        <v>178</v>
      </c>
    </row>
    <row r="175">
      <c r="A175" s="4" t="s">
        <v>179</v>
      </c>
    </row>
    <row r="176">
      <c r="A176" s="4" t="s">
        <v>180</v>
      </c>
    </row>
    <row r="177">
      <c r="A177" s="4" t="s">
        <v>181</v>
      </c>
    </row>
    <row r="178">
      <c r="A178" s="4" t="s">
        <v>182</v>
      </c>
    </row>
    <row r="179">
      <c r="A179" s="4"/>
    </row>
    <row r="180">
      <c r="A180" s="4" t="s">
        <v>183</v>
      </c>
    </row>
    <row r="181">
      <c r="A181" s="4" t="s">
        <v>184</v>
      </c>
    </row>
    <row r="182">
      <c r="A182" s="4" t="s">
        <v>185</v>
      </c>
    </row>
    <row r="183">
      <c r="A183" s="4" t="s">
        <v>186</v>
      </c>
    </row>
    <row r="184">
      <c r="A184" s="4" t="s">
        <v>187</v>
      </c>
    </row>
    <row r="185">
      <c r="A185" s="4" t="s">
        <v>188</v>
      </c>
    </row>
    <row r="186">
      <c r="A186" s="4" t="s">
        <v>189</v>
      </c>
    </row>
    <row r="187">
      <c r="A187" s="4" t="s">
        <v>190</v>
      </c>
    </row>
    <row r="188">
      <c r="A188" s="4" t="s">
        <v>191</v>
      </c>
    </row>
    <row r="189">
      <c r="A189" s="4" t="s">
        <v>192</v>
      </c>
    </row>
    <row r="190">
      <c r="A190" s="4" t="s">
        <v>193</v>
      </c>
    </row>
    <row r="191">
      <c r="A191" s="4" t="s">
        <v>194</v>
      </c>
    </row>
    <row r="192">
      <c r="A192" s="4" t="s">
        <v>195</v>
      </c>
    </row>
    <row r="193">
      <c r="A193" s="4" t="s">
        <v>196</v>
      </c>
    </row>
    <row r="194">
      <c r="A194" s="4" t="s">
        <v>197</v>
      </c>
    </row>
    <row r="195">
      <c r="A195" s="4" t="s">
        <v>198</v>
      </c>
    </row>
    <row r="196">
      <c r="A196" s="4"/>
    </row>
    <row r="197">
      <c r="A197" s="4" t="s">
        <v>199</v>
      </c>
    </row>
    <row r="198">
      <c r="A198" s="4" t="s">
        <v>200</v>
      </c>
    </row>
    <row r="199">
      <c r="A199" s="4" t="s">
        <v>201</v>
      </c>
    </row>
    <row r="200">
      <c r="A200" s="4" t="s">
        <v>202</v>
      </c>
    </row>
    <row r="201">
      <c r="A201" s="4" t="s">
        <v>203</v>
      </c>
    </row>
    <row r="202">
      <c r="A202" s="4" t="s">
        <v>204</v>
      </c>
    </row>
    <row r="203">
      <c r="A203" s="4" t="s">
        <v>205</v>
      </c>
    </row>
    <row r="204">
      <c r="A204" s="4" t="s">
        <v>206</v>
      </c>
    </row>
    <row r="205">
      <c r="A205" s="4" t="s">
        <v>207</v>
      </c>
    </row>
    <row r="206">
      <c r="A206" s="4" t="s">
        <v>208</v>
      </c>
    </row>
    <row r="207">
      <c r="A207" s="4" t="s">
        <v>209</v>
      </c>
    </row>
    <row r="208">
      <c r="A208" s="4" t="s">
        <v>210</v>
      </c>
    </row>
    <row r="209">
      <c r="A209" s="4" t="s">
        <v>211</v>
      </c>
    </row>
    <row r="210">
      <c r="A210" s="4" t="s">
        <v>212</v>
      </c>
    </row>
    <row r="211">
      <c r="A211" s="4"/>
    </row>
    <row r="212">
      <c r="A212" s="4" t="s">
        <v>213</v>
      </c>
    </row>
    <row r="213">
      <c r="A213" s="4" t="s">
        <v>214</v>
      </c>
    </row>
    <row r="214">
      <c r="A214" s="4" t="s">
        <v>215</v>
      </c>
    </row>
    <row r="215">
      <c r="A215" s="4" t="s">
        <v>216</v>
      </c>
    </row>
    <row r="216">
      <c r="A216" s="4" t="s">
        <v>217</v>
      </c>
    </row>
    <row r="217">
      <c r="A217" s="4" t="s">
        <v>218</v>
      </c>
    </row>
    <row r="218">
      <c r="A218" s="4" t="s">
        <v>219</v>
      </c>
    </row>
    <row r="219">
      <c r="A219" s="4" t="s">
        <v>220</v>
      </c>
    </row>
    <row r="220">
      <c r="A220" s="4" t="s">
        <v>221</v>
      </c>
    </row>
    <row r="221">
      <c r="A221" s="4" t="s">
        <v>222</v>
      </c>
    </row>
    <row r="222">
      <c r="A222" s="4" t="s">
        <v>223</v>
      </c>
    </row>
    <row r="223">
      <c r="A223" s="4" t="s">
        <v>224</v>
      </c>
    </row>
    <row r="224">
      <c r="A224" s="4" t="s">
        <v>225</v>
      </c>
    </row>
    <row r="225">
      <c r="A225" s="4" t="s">
        <v>226</v>
      </c>
    </row>
    <row r="226">
      <c r="A226" s="4" t="s">
        <v>227</v>
      </c>
    </row>
    <row r="227">
      <c r="A227" s="4" t="s">
        <v>228</v>
      </c>
    </row>
    <row r="228">
      <c r="A228" s="4" t="s">
        <v>229</v>
      </c>
    </row>
    <row r="229">
      <c r="A229" s="4" t="s">
        <v>230</v>
      </c>
    </row>
    <row r="230">
      <c r="A230" s="4" t="s">
        <v>231</v>
      </c>
    </row>
    <row r="231">
      <c r="A231" s="4" t="s">
        <v>232</v>
      </c>
    </row>
    <row r="232">
      <c r="A232" s="4" t="s">
        <v>233</v>
      </c>
    </row>
    <row r="233">
      <c r="A233" s="4" t="s">
        <v>234</v>
      </c>
    </row>
    <row r="234">
      <c r="A234" s="4" t="s">
        <v>235</v>
      </c>
    </row>
    <row r="235">
      <c r="A235" s="4" t="s">
        <v>236</v>
      </c>
    </row>
    <row r="236">
      <c r="A236" s="4"/>
    </row>
    <row r="237">
      <c r="A237" s="4" t="s">
        <v>237</v>
      </c>
      <c r="B237" s="5">
        <v>320.0</v>
      </c>
      <c r="C237" s="5">
        <v>35.8</v>
      </c>
      <c r="D237" s="5">
        <v>25.8</v>
      </c>
      <c r="F237" s="5">
        <v>14.37</v>
      </c>
      <c r="H237" s="5">
        <v>1.98</v>
      </c>
    </row>
    <row r="238">
      <c r="A238" s="4" t="s">
        <v>238</v>
      </c>
      <c r="B238" s="5">
        <v>329.0</v>
      </c>
      <c r="C238" s="5">
        <v>29.1</v>
      </c>
      <c r="D238" s="5">
        <v>27.4</v>
      </c>
      <c r="F238" s="5">
        <v>14.11</v>
      </c>
      <c r="H238" s="5">
        <v>1.74</v>
      </c>
    </row>
    <row r="239">
      <c r="A239" s="4" t="s">
        <v>239</v>
      </c>
      <c r="B239" s="5">
        <v>330.0</v>
      </c>
      <c r="C239" s="5">
        <v>30.0</v>
      </c>
      <c r="D239" s="5">
        <v>22.1</v>
      </c>
      <c r="F239" s="5">
        <v>11.85</v>
      </c>
      <c r="H239" s="5">
        <v>0.76</v>
      </c>
    </row>
    <row r="240">
      <c r="A240" s="4" t="s">
        <v>240</v>
      </c>
      <c r="B240" s="5">
        <v>319.0</v>
      </c>
      <c r="C240" s="5">
        <v>24.6</v>
      </c>
      <c r="D240" s="5">
        <v>21.9</v>
      </c>
      <c r="F240" s="5">
        <v>6.29</v>
      </c>
      <c r="H240" s="5">
        <v>0.22</v>
      </c>
    </row>
    <row r="241">
      <c r="A241" s="4" t="s">
        <v>241</v>
      </c>
      <c r="B241" s="5">
        <v>328.0</v>
      </c>
      <c r="C241" s="5">
        <v>25.1</v>
      </c>
      <c r="D241" s="5">
        <v>25.4</v>
      </c>
      <c r="F241" s="5">
        <v>8.69</v>
      </c>
      <c r="H241" s="5">
        <v>0.58</v>
      </c>
    </row>
    <row r="242">
      <c r="A242" s="4" t="s">
        <v>242</v>
      </c>
      <c r="B242" s="5">
        <v>321.0</v>
      </c>
      <c r="C242" s="5">
        <v>36.2</v>
      </c>
      <c r="D242" s="5">
        <v>32.4</v>
      </c>
      <c r="F242" s="5">
        <v>8.07</v>
      </c>
      <c r="H242" s="5">
        <v>0.23</v>
      </c>
    </row>
    <row r="243">
      <c r="A243" s="4" t="s">
        <v>243</v>
      </c>
      <c r="B243" s="5">
        <v>326.0</v>
      </c>
      <c r="C243" s="5">
        <v>22.1</v>
      </c>
      <c r="D243" s="5">
        <v>18.7</v>
      </c>
      <c r="F243" s="5">
        <v>8.4</v>
      </c>
      <c r="H243" s="5">
        <v>0.7</v>
      </c>
    </row>
    <row r="244">
      <c r="A244" s="4" t="s">
        <v>244</v>
      </c>
      <c r="B244" s="5">
        <v>318.0</v>
      </c>
      <c r="C244" s="5">
        <v>17.9</v>
      </c>
      <c r="D244" s="5">
        <v>14.4</v>
      </c>
      <c r="F244" s="5">
        <v>6.08</v>
      </c>
      <c r="H244" s="5">
        <v>0.39</v>
      </c>
    </row>
    <row r="245">
      <c r="A245" s="4" t="s">
        <v>245</v>
      </c>
      <c r="B245" s="5">
        <v>323.0</v>
      </c>
      <c r="C245" s="5">
        <v>16.4</v>
      </c>
      <c r="D245" s="5">
        <v>16.2</v>
      </c>
      <c r="F245" s="5">
        <v>6.58</v>
      </c>
      <c r="H245" s="5">
        <v>0.32</v>
      </c>
    </row>
    <row r="246">
      <c r="A246" s="4" t="s">
        <v>246</v>
      </c>
      <c r="B246" s="5">
        <v>325.0</v>
      </c>
      <c r="C246" s="5">
        <v>26.5</v>
      </c>
      <c r="D246" s="5">
        <v>9.1</v>
      </c>
      <c r="E246" s="5">
        <v>10.8</v>
      </c>
      <c r="F246" s="5">
        <v>9.89</v>
      </c>
      <c r="H246" s="5">
        <v>0.89</v>
      </c>
    </row>
    <row r="247">
      <c r="A247" s="4" t="s">
        <v>247</v>
      </c>
      <c r="B247" s="5">
        <v>322.0</v>
      </c>
      <c r="C247" s="5">
        <v>16.3</v>
      </c>
      <c r="D247" s="5">
        <v>16.6</v>
      </c>
      <c r="F247" s="5">
        <v>6.48</v>
      </c>
      <c r="H247" s="5">
        <v>0.34</v>
      </c>
    </row>
    <row r="248">
      <c r="A248" s="4" t="s">
        <v>248</v>
      </c>
      <c r="B248" s="5">
        <v>327.0</v>
      </c>
      <c r="C248" s="5">
        <v>12.5</v>
      </c>
      <c r="D248" s="5">
        <v>10.7</v>
      </c>
      <c r="F248" s="5">
        <v>3.9</v>
      </c>
      <c r="H248" s="5">
        <v>0.05</v>
      </c>
    </row>
    <row r="249">
      <c r="A249" s="4" t="s">
        <v>249</v>
      </c>
      <c r="B249" s="5">
        <v>324.0</v>
      </c>
      <c r="C249" s="5">
        <v>14.0</v>
      </c>
      <c r="D249" s="5">
        <v>12.8</v>
      </c>
      <c r="F249" s="5">
        <v>5.44</v>
      </c>
      <c r="H249" s="5">
        <v>0.13</v>
      </c>
    </row>
    <row r="250">
      <c r="A250" s="4"/>
    </row>
    <row r="251">
      <c r="A251" s="4" t="s">
        <v>250</v>
      </c>
      <c r="B251" s="5">
        <v>335.0</v>
      </c>
      <c r="C251" s="5">
        <v>32.0</v>
      </c>
      <c r="D251" s="5">
        <v>28.2</v>
      </c>
      <c r="F251" s="5">
        <v>12.99</v>
      </c>
      <c r="H251" s="5">
        <v>1.26</v>
      </c>
    </row>
    <row r="252">
      <c r="A252" s="4" t="s">
        <v>251</v>
      </c>
      <c r="B252" s="5">
        <v>338.0</v>
      </c>
      <c r="C252" s="5">
        <v>29.1</v>
      </c>
      <c r="D252" s="5">
        <v>26.7</v>
      </c>
      <c r="F252" s="5">
        <v>12.55</v>
      </c>
      <c r="H252" s="5">
        <v>1.79</v>
      </c>
    </row>
    <row r="253">
      <c r="A253" s="4" t="s">
        <v>252</v>
      </c>
      <c r="B253" s="5">
        <v>341.0</v>
      </c>
      <c r="C253" s="5">
        <v>27.4</v>
      </c>
      <c r="D253" s="5">
        <v>22.0</v>
      </c>
      <c r="F253" s="5">
        <v>11.69</v>
      </c>
      <c r="H253" s="5">
        <v>1.1</v>
      </c>
    </row>
    <row r="254">
      <c r="A254" s="4" t="s">
        <v>253</v>
      </c>
      <c r="B254" s="5">
        <v>333.0</v>
      </c>
      <c r="C254" s="5">
        <v>34.6</v>
      </c>
      <c r="D254" s="5">
        <v>24.8</v>
      </c>
      <c r="F254" s="5">
        <v>11.75</v>
      </c>
      <c r="H254" s="5">
        <v>0.96</v>
      </c>
    </row>
    <row r="255">
      <c r="A255" s="4" t="s">
        <v>254</v>
      </c>
      <c r="B255" s="5">
        <v>337.0</v>
      </c>
      <c r="C255" s="5">
        <v>26.4</v>
      </c>
      <c r="D255" s="5">
        <v>25.0</v>
      </c>
      <c r="F255" s="5">
        <v>9.54</v>
      </c>
      <c r="H255" s="5">
        <v>0.52</v>
      </c>
    </row>
    <row r="256">
      <c r="A256" s="4" t="s">
        <v>255</v>
      </c>
      <c r="B256" s="5">
        <v>342.0</v>
      </c>
      <c r="C256" s="5">
        <v>22.5</v>
      </c>
      <c r="D256" s="5">
        <v>20.0</v>
      </c>
      <c r="F256" s="5">
        <v>10.03</v>
      </c>
      <c r="H256" s="5">
        <v>0.9</v>
      </c>
    </row>
    <row r="257">
      <c r="A257" s="4" t="s">
        <v>256</v>
      </c>
      <c r="B257" s="5">
        <v>340.0</v>
      </c>
      <c r="C257" s="5">
        <v>29.0</v>
      </c>
      <c r="D257" s="5">
        <v>26.9</v>
      </c>
      <c r="F257" s="5">
        <v>8.23</v>
      </c>
      <c r="H257" s="5">
        <v>0.48</v>
      </c>
    </row>
    <row r="258">
      <c r="A258" s="4" t="s">
        <v>257</v>
      </c>
      <c r="B258" s="5">
        <v>339.0</v>
      </c>
      <c r="C258" s="5">
        <v>23.3</v>
      </c>
      <c r="D258" s="5">
        <v>19.7</v>
      </c>
      <c r="F258" s="5">
        <v>8.1</v>
      </c>
      <c r="H258" s="5">
        <v>0.64</v>
      </c>
    </row>
    <row r="259">
      <c r="A259" s="4" t="s">
        <v>258</v>
      </c>
      <c r="B259" s="5">
        <v>332.0</v>
      </c>
      <c r="C259" s="5">
        <v>23.8</v>
      </c>
      <c r="D259" s="5">
        <v>16.5</v>
      </c>
      <c r="F259" s="5">
        <v>7.62</v>
      </c>
      <c r="H259" s="5">
        <v>0.43</v>
      </c>
    </row>
    <row r="260">
      <c r="A260" s="4" t="s">
        <v>259</v>
      </c>
      <c r="B260" s="5">
        <v>331.0</v>
      </c>
      <c r="C260" s="5">
        <v>14.1</v>
      </c>
      <c r="D260" s="5">
        <v>14.7</v>
      </c>
      <c r="F260" s="5">
        <v>6.47</v>
      </c>
      <c r="H260" s="5">
        <v>0.36</v>
      </c>
    </row>
    <row r="261">
      <c r="A261" s="4" t="s">
        <v>260</v>
      </c>
      <c r="B261" s="5">
        <v>343.0</v>
      </c>
      <c r="C261" s="5">
        <v>13.5</v>
      </c>
      <c r="D261" s="5">
        <v>13.3</v>
      </c>
      <c r="F261" s="5">
        <v>6.12</v>
      </c>
      <c r="H261" s="5">
        <v>0.33</v>
      </c>
    </row>
    <row r="262">
      <c r="A262" s="4" t="s">
        <v>261</v>
      </c>
      <c r="B262" s="5">
        <v>334.0</v>
      </c>
      <c r="C262" s="5">
        <v>8.4</v>
      </c>
      <c r="D262" s="5">
        <v>8.9</v>
      </c>
      <c r="F262" s="5">
        <v>3.21</v>
      </c>
      <c r="H262" s="5">
        <v>0.05</v>
      </c>
    </row>
    <row r="263">
      <c r="A263" s="4" t="s">
        <v>262</v>
      </c>
      <c r="B263" s="5">
        <v>336.0</v>
      </c>
      <c r="C263" s="5">
        <v>10.1</v>
      </c>
      <c r="D263" s="5">
        <v>8.8</v>
      </c>
      <c r="F263" s="5">
        <v>3.76</v>
      </c>
      <c r="H263" s="5">
        <v>0.1</v>
      </c>
    </row>
    <row r="264">
      <c r="A264" s="4"/>
    </row>
    <row r="265">
      <c r="A265" s="4" t="s">
        <v>263</v>
      </c>
      <c r="B265" s="5">
        <v>345.0</v>
      </c>
      <c r="C265" s="5">
        <v>37.9</v>
      </c>
      <c r="D265" s="5">
        <v>33.6</v>
      </c>
      <c r="F265" s="5">
        <v>12.09</v>
      </c>
      <c r="H265" s="5">
        <v>1.43</v>
      </c>
    </row>
    <row r="266">
      <c r="A266" s="4" t="s">
        <v>264</v>
      </c>
      <c r="B266" s="5">
        <v>344.0</v>
      </c>
      <c r="C266" s="5">
        <v>32.9</v>
      </c>
      <c r="D266" s="5">
        <v>23.6</v>
      </c>
      <c r="F266" s="5">
        <v>11.74</v>
      </c>
      <c r="H266" s="5">
        <v>1.3</v>
      </c>
    </row>
    <row r="267">
      <c r="A267" s="4" t="s">
        <v>265</v>
      </c>
      <c r="B267" s="5">
        <v>346.0</v>
      </c>
      <c r="C267" s="5">
        <v>24.3</v>
      </c>
      <c r="D267" s="5">
        <v>25.6</v>
      </c>
      <c r="F267" s="5">
        <v>9.37</v>
      </c>
      <c r="H267" s="5">
        <v>0.98</v>
      </c>
    </row>
    <row r="268">
      <c r="A268" s="4" t="s">
        <v>266</v>
      </c>
      <c r="B268" s="5">
        <v>351.0</v>
      </c>
      <c r="C268" s="5">
        <v>34.0</v>
      </c>
      <c r="D268" s="5">
        <v>32.5</v>
      </c>
      <c r="F268" s="5">
        <v>8.98</v>
      </c>
      <c r="H268" s="5">
        <v>0.62</v>
      </c>
    </row>
    <row r="269">
      <c r="A269" s="4" t="s">
        <v>267</v>
      </c>
      <c r="B269" s="5">
        <v>353.0</v>
      </c>
      <c r="C269" s="5">
        <v>32.1</v>
      </c>
      <c r="D269" s="5">
        <v>14.7</v>
      </c>
      <c r="F269" s="5">
        <v>8.4</v>
      </c>
      <c r="H269" s="5">
        <v>0.38</v>
      </c>
    </row>
    <row r="270">
      <c r="A270" s="4" t="s">
        <v>268</v>
      </c>
      <c r="B270" s="5">
        <v>347.0</v>
      </c>
      <c r="C270" s="5">
        <v>18.9</v>
      </c>
      <c r="D270" s="5">
        <v>15.2</v>
      </c>
      <c r="F270" s="5">
        <v>8.52</v>
      </c>
      <c r="H270" s="5">
        <v>0.65</v>
      </c>
    </row>
    <row r="271">
      <c r="A271" s="4" t="s">
        <v>269</v>
      </c>
      <c r="B271" s="5">
        <v>349.0</v>
      </c>
      <c r="C271" s="5">
        <v>12.8</v>
      </c>
      <c r="D271" s="5">
        <v>17.2</v>
      </c>
      <c r="F271" s="5">
        <v>7.74</v>
      </c>
      <c r="H271" s="5">
        <v>0.42</v>
      </c>
    </row>
    <row r="272">
      <c r="A272" s="4" t="s">
        <v>270</v>
      </c>
      <c r="B272" s="5">
        <v>352.0</v>
      </c>
      <c r="C272" s="5">
        <v>18.6</v>
      </c>
      <c r="D272" s="5">
        <v>17.8</v>
      </c>
      <c r="F272" s="5">
        <v>8.95</v>
      </c>
      <c r="H272" s="5">
        <v>0.51</v>
      </c>
    </row>
    <row r="273">
      <c r="A273" s="4" t="s">
        <v>271</v>
      </c>
      <c r="B273" s="5">
        <v>350.0</v>
      </c>
      <c r="C273" s="5">
        <v>16.5</v>
      </c>
      <c r="D273" s="5">
        <v>13.9</v>
      </c>
      <c r="F273" s="5">
        <v>5.51</v>
      </c>
      <c r="H273" s="5">
        <v>0.16</v>
      </c>
    </row>
    <row r="274">
      <c r="A274" s="4" t="s">
        <v>272</v>
      </c>
      <c r="B274" s="5">
        <v>348.0</v>
      </c>
      <c r="C274" s="5">
        <v>19.0</v>
      </c>
      <c r="D274" s="5">
        <v>16.3</v>
      </c>
      <c r="F274" s="5">
        <v>5.52</v>
      </c>
      <c r="H274" s="5">
        <v>0.16</v>
      </c>
    </row>
    <row r="275">
      <c r="A275" s="4"/>
    </row>
    <row r="276">
      <c r="A276" s="4" t="s">
        <v>273</v>
      </c>
    </row>
    <row r="277">
      <c r="A277" s="4" t="s">
        <v>274</v>
      </c>
    </row>
    <row r="278">
      <c r="A278" s="4" t="s">
        <v>275</v>
      </c>
    </row>
    <row r="279">
      <c r="A279" s="4" t="s">
        <v>276</v>
      </c>
    </row>
    <row r="280">
      <c r="A280" s="4" t="s">
        <v>277</v>
      </c>
    </row>
    <row r="281">
      <c r="A281" s="4" t="s">
        <v>278</v>
      </c>
    </row>
    <row r="282">
      <c r="A282" s="4" t="s">
        <v>279</v>
      </c>
    </row>
    <row r="283">
      <c r="A283" s="4" t="s">
        <v>280</v>
      </c>
    </row>
    <row r="284">
      <c r="A284" s="4" t="s">
        <v>281</v>
      </c>
    </row>
    <row r="285">
      <c r="A285" s="4" t="s">
        <v>282</v>
      </c>
    </row>
    <row r="286">
      <c r="A286" s="4"/>
    </row>
    <row r="287">
      <c r="A287" s="4" t="s">
        <v>283</v>
      </c>
    </row>
    <row r="288">
      <c r="A288" s="4" t="s">
        <v>284</v>
      </c>
    </row>
    <row r="289">
      <c r="A289" s="4" t="s">
        <v>285</v>
      </c>
    </row>
    <row r="290">
      <c r="A290" s="4" t="s">
        <v>286</v>
      </c>
    </row>
    <row r="291">
      <c r="A291" s="4" t="s">
        <v>287</v>
      </c>
    </row>
    <row r="292">
      <c r="A292" s="4" t="s">
        <v>288</v>
      </c>
    </row>
    <row r="293">
      <c r="A293" s="4" t="s">
        <v>289</v>
      </c>
    </row>
    <row r="294">
      <c r="A294" s="4" t="s">
        <v>290</v>
      </c>
    </row>
    <row r="295">
      <c r="A295" s="4"/>
    </row>
    <row r="296">
      <c r="A296" s="4" t="s">
        <v>291</v>
      </c>
    </row>
    <row r="297">
      <c r="A297" s="4" t="s">
        <v>292</v>
      </c>
    </row>
    <row r="298">
      <c r="A298" s="4" t="s">
        <v>293</v>
      </c>
    </row>
    <row r="299">
      <c r="A299" s="4" t="s">
        <v>294</v>
      </c>
    </row>
    <row r="300">
      <c r="A300" s="4" t="s">
        <v>295</v>
      </c>
    </row>
    <row r="301">
      <c r="A301" s="4" t="s">
        <v>296</v>
      </c>
    </row>
    <row r="302">
      <c r="A302" s="4" t="s">
        <v>297</v>
      </c>
    </row>
    <row r="303">
      <c r="A303" s="4" t="s">
        <v>298</v>
      </c>
    </row>
    <row r="304">
      <c r="A304" s="4" t="s">
        <v>299</v>
      </c>
    </row>
    <row r="305">
      <c r="A305" s="4"/>
    </row>
    <row r="306">
      <c r="A306" s="4" t="s">
        <v>300</v>
      </c>
    </row>
    <row r="307">
      <c r="A307" s="4" t="s">
        <v>301</v>
      </c>
    </row>
    <row r="308">
      <c r="A308" s="4" t="s">
        <v>302</v>
      </c>
    </row>
    <row r="309">
      <c r="A309" s="4" t="s">
        <v>303</v>
      </c>
    </row>
    <row r="310">
      <c r="A310" s="4"/>
    </row>
    <row r="311">
      <c r="A311" s="4" t="s">
        <v>304</v>
      </c>
    </row>
    <row r="312">
      <c r="A312" s="4" t="s">
        <v>305</v>
      </c>
    </row>
    <row r="313">
      <c r="A313" s="4" t="s">
        <v>306</v>
      </c>
    </row>
    <row r="314">
      <c r="A314" s="4" t="s">
        <v>307</v>
      </c>
    </row>
    <row r="315">
      <c r="A315" s="4" t="s">
        <v>308</v>
      </c>
    </row>
    <row r="316">
      <c r="A316" s="4" t="s">
        <v>309</v>
      </c>
    </row>
    <row r="317">
      <c r="A317" s="4"/>
    </row>
    <row r="318">
      <c r="A318" s="4" t="s">
        <v>310</v>
      </c>
    </row>
    <row r="319">
      <c r="A319" s="4" t="s">
        <v>311</v>
      </c>
    </row>
    <row r="320">
      <c r="A320" s="4" t="s">
        <v>312</v>
      </c>
    </row>
    <row r="321">
      <c r="A321" s="4"/>
    </row>
    <row r="322">
      <c r="A322" s="4" t="s">
        <v>313</v>
      </c>
    </row>
    <row r="323">
      <c r="A323" s="4" t="s">
        <v>314</v>
      </c>
    </row>
    <row r="324">
      <c r="A324" s="4"/>
    </row>
    <row r="325">
      <c r="A325" s="4" t="s">
        <v>315</v>
      </c>
    </row>
    <row r="326">
      <c r="A326" s="4" t="s">
        <v>316</v>
      </c>
    </row>
    <row r="327">
      <c r="A327" s="4" t="s">
        <v>317</v>
      </c>
    </row>
    <row r="328">
      <c r="A328" s="4"/>
    </row>
    <row r="329">
      <c r="A329" s="4" t="s">
        <v>318</v>
      </c>
    </row>
    <row r="330">
      <c r="A330" s="4" t="s">
        <v>319</v>
      </c>
    </row>
    <row r="331">
      <c r="A331" s="4" t="s">
        <v>320</v>
      </c>
    </row>
    <row r="332">
      <c r="A332" s="4"/>
    </row>
    <row r="333">
      <c r="A333" s="4" t="s">
        <v>321</v>
      </c>
    </row>
    <row r="334">
      <c r="A334" s="4" t="s">
        <v>322</v>
      </c>
    </row>
    <row r="335">
      <c r="A335" s="4"/>
    </row>
    <row r="336">
      <c r="A336" s="4" t="s">
        <v>323</v>
      </c>
    </row>
    <row r="337">
      <c r="A337" s="4" t="s">
        <v>324</v>
      </c>
    </row>
    <row r="338">
      <c r="A338" s="4"/>
    </row>
    <row r="339">
      <c r="A339" s="4" t="s">
        <v>325</v>
      </c>
    </row>
    <row r="340">
      <c r="A340" s="4" t="s">
        <v>326</v>
      </c>
    </row>
    <row r="341">
      <c r="A341" s="4"/>
    </row>
    <row r="342">
      <c r="A342" s="4" t="s">
        <v>327</v>
      </c>
    </row>
    <row r="343">
      <c r="A343" s="4"/>
    </row>
    <row r="344">
      <c r="A344" s="4" t="s">
        <v>328</v>
      </c>
    </row>
    <row r="345">
      <c r="A345" s="4"/>
      <c r="K345" s="2" t="s">
        <v>14</v>
      </c>
    </row>
    <row r="346">
      <c r="A346" s="4" t="s">
        <v>329</v>
      </c>
      <c r="B346" s="5">
        <v>379.0</v>
      </c>
      <c r="C346" s="5">
        <v>27.1</v>
      </c>
      <c r="D346" s="5">
        <v>21.7</v>
      </c>
      <c r="F346" s="5">
        <v>13.28</v>
      </c>
      <c r="G346" s="5">
        <v>3.0</v>
      </c>
      <c r="H346" s="5">
        <v>3.27</v>
      </c>
      <c r="K346" s="6">
        <f>counta(H346:H804)</f>
        <v>133</v>
      </c>
    </row>
    <row r="347">
      <c r="A347" s="4" t="s">
        <v>330</v>
      </c>
      <c r="B347" s="5">
        <v>375.0</v>
      </c>
      <c r="C347" s="5">
        <v>21.8</v>
      </c>
      <c r="D347" s="5">
        <v>22.1</v>
      </c>
      <c r="F347" s="5">
        <v>15.04</v>
      </c>
      <c r="H347" s="5">
        <v>2.3</v>
      </c>
      <c r="K347" s="6">
        <f>sum(H346:H804)/K346</f>
        <v>0.6976691729</v>
      </c>
    </row>
    <row r="348">
      <c r="A348" s="4" t="s">
        <v>331</v>
      </c>
      <c r="B348" s="5">
        <v>378.0</v>
      </c>
      <c r="C348" s="5">
        <v>20.7</v>
      </c>
      <c r="D348" s="5">
        <v>19.8</v>
      </c>
      <c r="F348" s="5">
        <v>12.91</v>
      </c>
      <c r="H348" s="5">
        <v>1.46</v>
      </c>
    </row>
    <row r="349">
      <c r="A349" s="4" t="s">
        <v>332</v>
      </c>
      <c r="B349" s="5">
        <v>377.0</v>
      </c>
      <c r="C349" s="5">
        <v>23.2</v>
      </c>
      <c r="D349" s="5">
        <v>29.1</v>
      </c>
      <c r="F349" s="5">
        <v>11.26</v>
      </c>
      <c r="H349" s="5">
        <v>1.39</v>
      </c>
    </row>
    <row r="350">
      <c r="A350" s="4" t="s">
        <v>333</v>
      </c>
      <c r="B350" s="5">
        <v>360.0</v>
      </c>
      <c r="C350" s="5">
        <v>29.3</v>
      </c>
      <c r="D350" s="5">
        <v>28.6</v>
      </c>
      <c r="F350" s="5">
        <v>14.37</v>
      </c>
      <c r="H350" s="5">
        <v>1.02</v>
      </c>
    </row>
    <row r="351">
      <c r="A351" s="4" t="s">
        <v>334</v>
      </c>
      <c r="B351" s="5">
        <v>374.0</v>
      </c>
      <c r="C351" s="5">
        <v>25.9</v>
      </c>
      <c r="D351" s="5">
        <v>33.7</v>
      </c>
      <c r="E351" s="5">
        <v>4.4</v>
      </c>
      <c r="F351" s="5">
        <v>13.57</v>
      </c>
      <c r="H351" s="5">
        <v>1.42</v>
      </c>
    </row>
    <row r="352">
      <c r="A352" s="4" t="s">
        <v>335</v>
      </c>
      <c r="B352" s="5">
        <v>364.0</v>
      </c>
      <c r="C352" s="5">
        <v>20.6</v>
      </c>
      <c r="D352" s="5">
        <v>18.2</v>
      </c>
      <c r="F352" s="5">
        <v>10.65</v>
      </c>
      <c r="H352" s="5">
        <v>1.06</v>
      </c>
    </row>
    <row r="353">
      <c r="A353" s="4" t="s">
        <v>336</v>
      </c>
      <c r="B353" s="5">
        <v>358.0</v>
      </c>
      <c r="C353" s="5">
        <v>32.0</v>
      </c>
      <c r="D353" s="5">
        <v>31.2</v>
      </c>
      <c r="F353" s="5">
        <v>11.78</v>
      </c>
      <c r="H353" s="5">
        <v>1.0</v>
      </c>
    </row>
    <row r="354">
      <c r="A354" s="4" t="s">
        <v>337</v>
      </c>
      <c r="B354" s="5">
        <v>361.0</v>
      </c>
      <c r="C354" s="5">
        <v>26.1</v>
      </c>
      <c r="D354" s="5">
        <v>25.2</v>
      </c>
      <c r="F354" s="5">
        <v>12.06</v>
      </c>
      <c r="H354" s="5">
        <v>0.92</v>
      </c>
    </row>
    <row r="355">
      <c r="A355" s="4" t="s">
        <v>338</v>
      </c>
      <c r="B355" s="5">
        <v>370.0</v>
      </c>
      <c r="C355" s="5">
        <v>20.7</v>
      </c>
      <c r="D355" s="5">
        <v>17.4</v>
      </c>
      <c r="F355" s="5">
        <v>10.75</v>
      </c>
      <c r="H355" s="5">
        <v>1.36</v>
      </c>
    </row>
    <row r="356">
      <c r="A356" s="4" t="s">
        <v>339</v>
      </c>
      <c r="B356" s="5">
        <v>362.0</v>
      </c>
      <c r="C356" s="5">
        <v>26.1</v>
      </c>
      <c r="D356" s="5">
        <v>24.5</v>
      </c>
      <c r="F356" s="5">
        <v>10.42</v>
      </c>
      <c r="H356" s="5">
        <v>0.82</v>
      </c>
    </row>
    <row r="357">
      <c r="A357" s="4" t="s">
        <v>340</v>
      </c>
      <c r="B357" s="5">
        <v>363.0</v>
      </c>
      <c r="C357" s="5">
        <v>21.2</v>
      </c>
      <c r="D357" s="5">
        <v>21.8</v>
      </c>
      <c r="F357" s="5">
        <v>9.57</v>
      </c>
      <c r="H357" s="5">
        <v>1.02</v>
      </c>
    </row>
    <row r="358">
      <c r="A358" s="4" t="s">
        <v>341</v>
      </c>
      <c r="B358" s="5">
        <v>365.0</v>
      </c>
      <c r="C358" s="5">
        <v>23.2</v>
      </c>
      <c r="D358" s="5">
        <v>22.6</v>
      </c>
      <c r="F358" s="5">
        <v>12.03</v>
      </c>
      <c r="H358" s="5">
        <v>1.0</v>
      </c>
    </row>
    <row r="359">
      <c r="A359" s="4" t="s">
        <v>342</v>
      </c>
      <c r="B359" s="5">
        <v>354.0</v>
      </c>
      <c r="C359" s="5">
        <v>19.5</v>
      </c>
      <c r="D359" s="5">
        <v>15.5</v>
      </c>
      <c r="E359" s="5">
        <v>8.7</v>
      </c>
      <c r="F359" s="5">
        <v>7.36</v>
      </c>
      <c r="H359" s="5">
        <v>0.89</v>
      </c>
    </row>
    <row r="360">
      <c r="A360" s="4" t="s">
        <v>343</v>
      </c>
      <c r="B360" s="5">
        <v>373.0</v>
      </c>
      <c r="C360" s="5">
        <v>19.5</v>
      </c>
      <c r="D360" s="5">
        <v>16.0</v>
      </c>
      <c r="F360" s="5">
        <v>8.52</v>
      </c>
      <c r="H360" s="5">
        <v>0.63</v>
      </c>
    </row>
    <row r="361">
      <c r="A361" s="4" t="s">
        <v>344</v>
      </c>
      <c r="B361" s="5">
        <v>367.0</v>
      </c>
      <c r="C361" s="5">
        <v>23.0</v>
      </c>
      <c r="D361" s="5">
        <v>14.3</v>
      </c>
      <c r="F361" s="5">
        <v>10.88</v>
      </c>
      <c r="H361" s="5">
        <v>0.81</v>
      </c>
    </row>
    <row r="362">
      <c r="A362" s="4" t="s">
        <v>345</v>
      </c>
      <c r="B362" s="5">
        <v>376.0</v>
      </c>
      <c r="C362" s="5">
        <v>23.2</v>
      </c>
      <c r="D362" s="5">
        <v>16.6</v>
      </c>
      <c r="F362" s="5">
        <v>7.58</v>
      </c>
      <c r="H362" s="5">
        <v>0.74</v>
      </c>
    </row>
    <row r="363">
      <c r="A363" s="4" t="s">
        <v>346</v>
      </c>
      <c r="B363" s="5">
        <v>372.0</v>
      </c>
      <c r="C363" s="5">
        <v>17.5</v>
      </c>
      <c r="D363" s="5">
        <v>14.6</v>
      </c>
      <c r="F363" s="5">
        <v>7.99</v>
      </c>
      <c r="H363" s="5">
        <v>0.71</v>
      </c>
    </row>
    <row r="364">
      <c r="A364" s="4" t="s">
        <v>347</v>
      </c>
      <c r="B364" s="5">
        <v>357.0</v>
      </c>
      <c r="C364" s="5">
        <v>11.5</v>
      </c>
      <c r="D364" s="5">
        <v>9.1</v>
      </c>
      <c r="F364" s="5">
        <v>5.92</v>
      </c>
      <c r="H364" s="5">
        <v>0.31</v>
      </c>
    </row>
    <row r="365">
      <c r="A365" s="4" t="s">
        <v>348</v>
      </c>
      <c r="B365" s="5">
        <v>368.0</v>
      </c>
      <c r="C365" s="5">
        <v>16.0</v>
      </c>
      <c r="D365" s="5">
        <v>13.0</v>
      </c>
      <c r="F365" s="5">
        <v>5.97</v>
      </c>
      <c r="H365" s="5">
        <v>0.24</v>
      </c>
    </row>
    <row r="366">
      <c r="A366" s="4" t="s">
        <v>349</v>
      </c>
      <c r="B366" s="5">
        <v>359.0</v>
      </c>
      <c r="C366" s="5">
        <v>14.8</v>
      </c>
      <c r="D366" s="5">
        <v>13.8</v>
      </c>
      <c r="F366" s="5">
        <v>7.1</v>
      </c>
      <c r="H366" s="5">
        <v>0.39</v>
      </c>
    </row>
    <row r="367">
      <c r="A367" s="4" t="s">
        <v>350</v>
      </c>
      <c r="B367" s="5">
        <v>369.0</v>
      </c>
      <c r="C367" s="5">
        <v>16.8</v>
      </c>
      <c r="D367" s="5" t="s">
        <v>351</v>
      </c>
      <c r="F367" s="5">
        <v>7.69</v>
      </c>
      <c r="H367" s="5">
        <v>0.18</v>
      </c>
    </row>
    <row r="368">
      <c r="A368" s="4" t="s">
        <v>352</v>
      </c>
      <c r="B368" s="5">
        <v>355.0</v>
      </c>
      <c r="C368" s="5">
        <v>10.8</v>
      </c>
      <c r="D368" s="5">
        <v>12.4</v>
      </c>
      <c r="F368" s="5">
        <v>6.69</v>
      </c>
      <c r="H368" s="5">
        <v>0.38</v>
      </c>
    </row>
    <row r="369">
      <c r="A369" s="4" t="s">
        <v>353</v>
      </c>
      <c r="B369" s="5">
        <v>366.0</v>
      </c>
      <c r="C369" s="5">
        <v>15.6</v>
      </c>
      <c r="D369" s="5">
        <v>11.1</v>
      </c>
      <c r="F369" s="5">
        <v>6.33</v>
      </c>
      <c r="H369" s="5">
        <v>0.32</v>
      </c>
    </row>
    <row r="370">
      <c r="A370" s="4" t="s">
        <v>354</v>
      </c>
      <c r="B370" s="5">
        <v>371.0</v>
      </c>
      <c r="C370" s="5">
        <v>10.1</v>
      </c>
      <c r="D370" s="5">
        <v>9.4</v>
      </c>
      <c r="F370" s="5">
        <v>4.52</v>
      </c>
      <c r="H370" s="5">
        <v>0.12</v>
      </c>
    </row>
    <row r="371">
      <c r="A371" s="4" t="s">
        <v>355</v>
      </c>
      <c r="B371" s="5">
        <v>356.0</v>
      </c>
      <c r="C371" s="5">
        <v>8.9</v>
      </c>
      <c r="D371" s="5">
        <v>5.8</v>
      </c>
      <c r="F371" s="5">
        <v>2.14</v>
      </c>
      <c r="H371" s="5">
        <v>0.02</v>
      </c>
    </row>
    <row r="372">
      <c r="A372" s="4"/>
    </row>
    <row r="373">
      <c r="A373" s="4" t="s">
        <v>356</v>
      </c>
      <c r="B373" s="5">
        <v>449.0</v>
      </c>
      <c r="C373" s="5">
        <v>29.7</v>
      </c>
      <c r="D373" s="5">
        <v>23.7</v>
      </c>
      <c r="F373" s="5">
        <v>13.54</v>
      </c>
      <c r="H373" s="5">
        <v>2.74</v>
      </c>
    </row>
    <row r="374">
      <c r="A374" s="4" t="s">
        <v>357</v>
      </c>
      <c r="B374" s="5">
        <v>450.0</v>
      </c>
      <c r="C374" s="5">
        <v>23.7</v>
      </c>
      <c r="D374" s="5">
        <v>23.1</v>
      </c>
      <c r="F374" s="5">
        <v>14.26</v>
      </c>
      <c r="H374" s="5">
        <v>2.27</v>
      </c>
    </row>
    <row r="375">
      <c r="A375" s="4" t="s">
        <v>358</v>
      </c>
      <c r="B375" s="5">
        <v>397.0</v>
      </c>
      <c r="C375" s="5">
        <v>10.0</v>
      </c>
      <c r="D375" s="5">
        <v>12.7</v>
      </c>
      <c r="F375" s="5">
        <v>8.1</v>
      </c>
      <c r="H375" s="5">
        <v>1.37</v>
      </c>
    </row>
    <row r="376">
      <c r="A376" s="4" t="s">
        <v>359</v>
      </c>
      <c r="B376" s="5">
        <v>448.0</v>
      </c>
      <c r="C376" s="5">
        <v>28.5</v>
      </c>
      <c r="D376" s="5">
        <v>20.1</v>
      </c>
      <c r="F376" s="5">
        <v>11.05</v>
      </c>
      <c r="H376" s="5">
        <v>2.74</v>
      </c>
    </row>
    <row r="377">
      <c r="A377" s="4" t="s">
        <v>360</v>
      </c>
      <c r="B377" s="5">
        <v>400.0</v>
      </c>
      <c r="C377" s="5">
        <v>26.3</v>
      </c>
      <c r="D377" s="5">
        <v>23.2</v>
      </c>
      <c r="F377" s="5">
        <v>8.57</v>
      </c>
      <c r="H377" s="5">
        <v>0.67</v>
      </c>
    </row>
    <row r="378">
      <c r="A378" s="4" t="s">
        <v>361</v>
      </c>
      <c r="B378" s="5">
        <v>386.0</v>
      </c>
      <c r="C378" s="5">
        <v>32.8</v>
      </c>
      <c r="D378" s="5">
        <v>41.3</v>
      </c>
      <c r="E378" s="5">
        <v>6.4</v>
      </c>
      <c r="F378" s="5">
        <v>9.77</v>
      </c>
      <c r="H378" s="5">
        <v>1.34</v>
      </c>
    </row>
    <row r="379">
      <c r="A379" s="4" t="s">
        <v>362</v>
      </c>
      <c r="B379" s="5">
        <v>445.0</v>
      </c>
      <c r="C379" s="5">
        <v>24.6</v>
      </c>
      <c r="D379" s="5">
        <v>29.5</v>
      </c>
      <c r="F379" s="5">
        <v>10.73</v>
      </c>
      <c r="H379" s="5">
        <v>0.86</v>
      </c>
    </row>
    <row r="380">
      <c r="A380" s="9" t="s">
        <v>363</v>
      </c>
      <c r="B380" s="5">
        <v>443.0</v>
      </c>
      <c r="C380" s="5">
        <v>30.4</v>
      </c>
      <c r="D380" s="5">
        <v>32.8</v>
      </c>
      <c r="E380" s="5">
        <v>6.7</v>
      </c>
      <c r="F380" s="5">
        <v>10.07</v>
      </c>
      <c r="H380" s="5">
        <v>0.99</v>
      </c>
    </row>
    <row r="381">
      <c r="A381" s="4" t="s">
        <v>364</v>
      </c>
      <c r="B381" s="5">
        <v>447.0</v>
      </c>
      <c r="C381" s="5">
        <v>20.2</v>
      </c>
      <c r="D381" s="5">
        <v>25.4</v>
      </c>
      <c r="F381" s="5">
        <v>9.41</v>
      </c>
      <c r="H381" s="5">
        <v>0.8</v>
      </c>
    </row>
    <row r="382">
      <c r="A382" s="4" t="s">
        <v>365</v>
      </c>
      <c r="B382" s="5">
        <v>393.0</v>
      </c>
      <c r="C382" s="5">
        <v>23.6</v>
      </c>
      <c r="D382" s="5">
        <v>14.8</v>
      </c>
      <c r="F382" s="5">
        <v>9.27</v>
      </c>
      <c r="H382" s="5">
        <v>0.8</v>
      </c>
    </row>
    <row r="383">
      <c r="A383" s="4" t="s">
        <v>366</v>
      </c>
      <c r="B383" s="5">
        <v>446.0</v>
      </c>
      <c r="C383" s="5">
        <v>21.8</v>
      </c>
      <c r="D383" s="5">
        <v>23.4</v>
      </c>
      <c r="F383" s="5">
        <v>8.11</v>
      </c>
      <c r="H383" s="5">
        <v>0.93</v>
      </c>
    </row>
    <row r="384">
      <c r="A384" s="4" t="s">
        <v>367</v>
      </c>
      <c r="B384" s="5">
        <v>385.0</v>
      </c>
      <c r="C384" s="5">
        <v>23.2</v>
      </c>
      <c r="D384" s="5">
        <v>21.0</v>
      </c>
      <c r="F384" s="5">
        <v>7.62</v>
      </c>
      <c r="H384" s="5">
        <v>0.79</v>
      </c>
    </row>
    <row r="385">
      <c r="A385" s="4" t="s">
        <v>368</v>
      </c>
      <c r="B385" s="5">
        <v>396.0</v>
      </c>
      <c r="C385" s="5">
        <v>22.9</v>
      </c>
      <c r="D385" s="5">
        <v>20.7</v>
      </c>
      <c r="F385" s="5">
        <v>6.22</v>
      </c>
      <c r="H385" s="5">
        <v>0.41</v>
      </c>
    </row>
    <row r="386">
      <c r="A386" s="4" t="s">
        <v>369</v>
      </c>
      <c r="B386" s="5">
        <v>383.0</v>
      </c>
      <c r="C386" s="5">
        <v>19.9</v>
      </c>
      <c r="D386" s="5">
        <v>17.3</v>
      </c>
      <c r="F386" s="5">
        <v>8.22</v>
      </c>
      <c r="H386" s="5">
        <v>0.76</v>
      </c>
    </row>
    <row r="387">
      <c r="A387" s="4" t="s">
        <v>370</v>
      </c>
      <c r="B387" s="5">
        <v>399.0</v>
      </c>
      <c r="C387" s="5">
        <v>16.5</v>
      </c>
      <c r="D387" s="5">
        <v>17.0</v>
      </c>
      <c r="F387" s="5">
        <v>7.1</v>
      </c>
      <c r="H387" s="5">
        <v>0.56</v>
      </c>
    </row>
    <row r="388">
      <c r="A388" s="4" t="s">
        <v>371</v>
      </c>
      <c r="B388" s="5">
        <v>391.0</v>
      </c>
      <c r="C388" s="5">
        <v>16.6</v>
      </c>
      <c r="D388" s="5">
        <v>17.6</v>
      </c>
      <c r="F388" s="5">
        <v>5.73</v>
      </c>
      <c r="H388" s="5">
        <v>0.43</v>
      </c>
    </row>
    <row r="389">
      <c r="A389" s="4" t="s">
        <v>372</v>
      </c>
      <c r="B389" s="5">
        <v>398.0</v>
      </c>
      <c r="C389" s="5">
        <v>16.8</v>
      </c>
      <c r="D389" s="5">
        <v>18.2</v>
      </c>
      <c r="F389" s="5">
        <v>7.77</v>
      </c>
      <c r="H389" s="5">
        <v>0.98</v>
      </c>
    </row>
    <row r="390">
      <c r="A390" s="4" t="s">
        <v>373</v>
      </c>
      <c r="B390" s="5">
        <v>388.0</v>
      </c>
      <c r="C390" s="5">
        <v>20.7</v>
      </c>
      <c r="D390" s="5">
        <v>12.1</v>
      </c>
      <c r="F390" s="5">
        <v>12.52</v>
      </c>
      <c r="H390" s="5">
        <v>1.13</v>
      </c>
    </row>
    <row r="391">
      <c r="A391" s="4" t="s">
        <v>374</v>
      </c>
      <c r="B391" s="5">
        <v>444.0</v>
      </c>
      <c r="C391" s="5">
        <v>21.1</v>
      </c>
      <c r="D391" s="5">
        <v>23.5</v>
      </c>
      <c r="F391" s="5">
        <v>9.04</v>
      </c>
      <c r="H391" s="5">
        <v>0.65</v>
      </c>
    </row>
    <row r="392">
      <c r="A392" s="4" t="s">
        <v>375</v>
      </c>
      <c r="B392" s="5" t="s">
        <v>351</v>
      </c>
      <c r="C392" s="5" t="s">
        <v>351</v>
      </c>
      <c r="D392" s="5" t="s">
        <v>351</v>
      </c>
      <c r="F392" s="5" t="s">
        <v>351</v>
      </c>
    </row>
    <row r="393">
      <c r="A393" s="4" t="s">
        <v>376</v>
      </c>
      <c r="B393" s="5">
        <v>387.0</v>
      </c>
      <c r="C393" s="5">
        <v>16.0</v>
      </c>
      <c r="D393" s="5">
        <v>12.8</v>
      </c>
      <c r="F393" s="5">
        <v>7.49</v>
      </c>
      <c r="H393" s="5">
        <v>0.62</v>
      </c>
    </row>
    <row r="394">
      <c r="A394" s="4" t="s">
        <v>377</v>
      </c>
      <c r="B394" s="5">
        <v>394.0</v>
      </c>
      <c r="C394" s="5">
        <v>17.8</v>
      </c>
      <c r="D394" s="5">
        <v>14.6</v>
      </c>
      <c r="F394" s="5">
        <v>4.52</v>
      </c>
      <c r="H394" s="5">
        <v>0.21</v>
      </c>
    </row>
    <row r="395">
      <c r="A395" s="4" t="s">
        <v>378</v>
      </c>
      <c r="B395" s="5">
        <v>382.0</v>
      </c>
      <c r="C395" s="5">
        <v>31.3</v>
      </c>
      <c r="D395" s="5">
        <v>25.5</v>
      </c>
      <c r="F395" s="5">
        <v>5.7</v>
      </c>
      <c r="H395" s="5">
        <v>0.2</v>
      </c>
    </row>
    <row r="396">
      <c r="A396" s="4" t="s">
        <v>379</v>
      </c>
      <c r="B396" s="5">
        <v>380.0</v>
      </c>
      <c r="C396" s="5">
        <v>7.4</v>
      </c>
      <c r="D396" s="5">
        <v>7.6</v>
      </c>
      <c r="F396" s="5">
        <v>6.59</v>
      </c>
      <c r="H396" s="5">
        <v>0.58</v>
      </c>
    </row>
    <row r="397">
      <c r="A397" s="4" t="s">
        <v>380</v>
      </c>
      <c r="B397" s="5">
        <v>384.0</v>
      </c>
      <c r="C397" s="5">
        <v>17.1</v>
      </c>
      <c r="D397" s="5">
        <v>12.2</v>
      </c>
      <c r="F397" s="5">
        <v>6.45</v>
      </c>
      <c r="H397" s="5">
        <v>0.5</v>
      </c>
    </row>
    <row r="398">
      <c r="A398" s="4" t="s">
        <v>381</v>
      </c>
      <c r="B398" s="5">
        <v>392.0</v>
      </c>
      <c r="C398" s="5">
        <v>12.2</v>
      </c>
      <c r="D398" s="5">
        <v>15.9</v>
      </c>
      <c r="F398" s="5">
        <v>5.23</v>
      </c>
      <c r="H398" s="5">
        <v>0.28</v>
      </c>
    </row>
    <row r="399">
      <c r="A399" s="4" t="s">
        <v>382</v>
      </c>
      <c r="B399" s="5">
        <v>389.0</v>
      </c>
      <c r="C399" s="5">
        <v>14.0</v>
      </c>
      <c r="D399" s="5">
        <v>8.9</v>
      </c>
      <c r="F399" s="5">
        <v>3.3</v>
      </c>
      <c r="H399" s="5">
        <v>0.05</v>
      </c>
    </row>
    <row r="400">
      <c r="A400" s="4" t="s">
        <v>383</v>
      </c>
      <c r="B400" s="5">
        <v>381.0</v>
      </c>
      <c r="C400" s="5">
        <v>14.4</v>
      </c>
      <c r="D400" s="5">
        <v>9.4</v>
      </c>
      <c r="F400" s="5">
        <v>3.95</v>
      </c>
      <c r="H400" s="5">
        <v>0.08</v>
      </c>
    </row>
    <row r="401">
      <c r="A401" s="4" t="s">
        <v>384</v>
      </c>
      <c r="B401" s="5">
        <v>395.0</v>
      </c>
      <c r="C401" s="5">
        <v>7.7</v>
      </c>
      <c r="D401" s="5">
        <v>6.6</v>
      </c>
      <c r="F401" s="5">
        <v>1.43</v>
      </c>
      <c r="H401" s="5">
        <v>0.01</v>
      </c>
    </row>
    <row r="402">
      <c r="A402" s="4" t="s">
        <v>385</v>
      </c>
      <c r="B402" s="5">
        <v>390.0</v>
      </c>
      <c r="C402" s="5">
        <v>12.4</v>
      </c>
      <c r="D402" s="5">
        <v>8.9</v>
      </c>
      <c r="F402" s="5">
        <v>3.85</v>
      </c>
      <c r="H402" s="5">
        <v>0.15</v>
      </c>
    </row>
    <row r="403">
      <c r="A403" s="4"/>
    </row>
    <row r="404">
      <c r="A404" s="4" t="s">
        <v>386</v>
      </c>
    </row>
    <row r="405">
      <c r="A405" s="4" t="s">
        <v>387</v>
      </c>
    </row>
    <row r="406">
      <c r="A406" s="4" t="s">
        <v>388</v>
      </c>
    </row>
    <row r="407">
      <c r="A407" s="4" t="s">
        <v>389</v>
      </c>
    </row>
    <row r="408">
      <c r="A408" s="4" t="s">
        <v>390</v>
      </c>
    </row>
    <row r="409">
      <c r="A409" s="4" t="s">
        <v>391</v>
      </c>
    </row>
    <row r="410">
      <c r="A410" s="4" t="s">
        <v>392</v>
      </c>
    </row>
    <row r="411">
      <c r="A411" s="4" t="s">
        <v>393</v>
      </c>
    </row>
    <row r="412">
      <c r="A412" s="4" t="s">
        <v>394</v>
      </c>
    </row>
    <row r="413">
      <c r="A413" s="4" t="s">
        <v>395</v>
      </c>
    </row>
    <row r="414">
      <c r="A414" s="4" t="s">
        <v>396</v>
      </c>
    </row>
    <row r="415">
      <c r="A415" s="4" t="s">
        <v>397</v>
      </c>
    </row>
    <row r="416">
      <c r="A416" s="4" t="s">
        <v>398</v>
      </c>
    </row>
    <row r="417">
      <c r="A417" s="4" t="s">
        <v>399</v>
      </c>
    </row>
    <row r="418">
      <c r="A418" s="4" t="s">
        <v>400</v>
      </c>
    </row>
    <row r="419">
      <c r="A419" s="4" t="s">
        <v>401</v>
      </c>
    </row>
    <row r="420">
      <c r="A420" s="4" t="s">
        <v>402</v>
      </c>
    </row>
    <row r="421">
      <c r="A421" s="4" t="s">
        <v>403</v>
      </c>
    </row>
    <row r="422">
      <c r="A422" s="4" t="s">
        <v>404</v>
      </c>
    </row>
    <row r="423">
      <c r="A423" s="4" t="s">
        <v>405</v>
      </c>
    </row>
    <row r="424">
      <c r="A424" s="4"/>
    </row>
    <row r="425">
      <c r="A425" s="4" t="s">
        <v>406</v>
      </c>
    </row>
    <row r="426">
      <c r="A426" s="4" t="s">
        <v>407</v>
      </c>
    </row>
    <row r="427">
      <c r="A427" s="4" t="s">
        <v>408</v>
      </c>
    </row>
    <row r="428">
      <c r="A428" s="4" t="s">
        <v>409</v>
      </c>
    </row>
    <row r="429">
      <c r="A429" s="4" t="s">
        <v>410</v>
      </c>
    </row>
    <row r="430">
      <c r="A430" s="4" t="s">
        <v>411</v>
      </c>
    </row>
    <row r="431">
      <c r="A431" s="4" t="s">
        <v>412</v>
      </c>
    </row>
    <row r="432">
      <c r="A432" s="4" t="s">
        <v>413</v>
      </c>
    </row>
    <row r="433">
      <c r="A433" s="4" t="s">
        <v>414</v>
      </c>
    </row>
    <row r="434">
      <c r="A434" s="4" t="s">
        <v>415</v>
      </c>
    </row>
    <row r="435">
      <c r="A435" s="4" t="s">
        <v>416</v>
      </c>
    </row>
    <row r="436">
      <c r="A436" s="4" t="s">
        <v>417</v>
      </c>
    </row>
    <row r="437">
      <c r="A437" s="4" t="s">
        <v>418</v>
      </c>
    </row>
    <row r="438">
      <c r="A438" s="4" t="s">
        <v>419</v>
      </c>
    </row>
    <row r="439">
      <c r="A439" s="4" t="s">
        <v>420</v>
      </c>
    </row>
    <row r="440">
      <c r="A440" s="4" t="s">
        <v>421</v>
      </c>
    </row>
    <row r="441">
      <c r="A441" s="4" t="s">
        <v>422</v>
      </c>
    </row>
    <row r="442">
      <c r="A442" s="4" t="s">
        <v>423</v>
      </c>
    </row>
    <row r="443">
      <c r="A443" s="4" t="s">
        <v>424</v>
      </c>
    </row>
    <row r="444">
      <c r="A444" s="4"/>
    </row>
    <row r="445">
      <c r="A445" s="4" t="s">
        <v>425</v>
      </c>
    </row>
    <row r="446">
      <c r="A446" s="4" t="s">
        <v>426</v>
      </c>
    </row>
    <row r="447">
      <c r="A447" s="4" t="s">
        <v>427</v>
      </c>
    </row>
    <row r="448">
      <c r="A448" s="4" t="s">
        <v>428</v>
      </c>
    </row>
    <row r="449">
      <c r="A449" s="4" t="s">
        <v>429</v>
      </c>
    </row>
    <row r="450">
      <c r="A450" s="4" t="s">
        <v>430</v>
      </c>
    </row>
    <row r="451">
      <c r="A451" s="4" t="s">
        <v>431</v>
      </c>
    </row>
    <row r="452">
      <c r="A452" s="4" t="s">
        <v>432</v>
      </c>
    </row>
    <row r="453">
      <c r="A453" s="4" t="s">
        <v>433</v>
      </c>
    </row>
    <row r="454">
      <c r="A454" s="4" t="s">
        <v>434</v>
      </c>
    </row>
    <row r="455">
      <c r="A455" s="4" t="s">
        <v>435</v>
      </c>
    </row>
    <row r="456">
      <c r="A456" s="4" t="s">
        <v>436</v>
      </c>
    </row>
    <row r="457">
      <c r="A457" s="4" t="s">
        <v>437</v>
      </c>
    </row>
    <row r="458">
      <c r="A458" s="4"/>
    </row>
    <row r="459">
      <c r="A459" s="4" t="s">
        <v>438</v>
      </c>
      <c r="B459" s="5">
        <v>1008.0</v>
      </c>
      <c r="C459" s="5">
        <v>24.2</v>
      </c>
      <c r="D459" s="5">
        <v>25.1</v>
      </c>
      <c r="F459" s="5">
        <v>7.6</v>
      </c>
      <c r="H459" s="5">
        <v>1.18</v>
      </c>
    </row>
    <row r="460">
      <c r="A460" s="4" t="s">
        <v>439</v>
      </c>
      <c r="B460" s="5">
        <v>1004.0</v>
      </c>
      <c r="C460" s="5">
        <v>25.4</v>
      </c>
      <c r="D460" s="5">
        <v>27.6</v>
      </c>
      <c r="F460" s="5">
        <v>9.07</v>
      </c>
      <c r="H460" s="5">
        <v>1.39</v>
      </c>
    </row>
    <row r="461">
      <c r="A461" s="4" t="s">
        <v>440</v>
      </c>
      <c r="B461" s="5">
        <v>1007.0</v>
      </c>
      <c r="C461" s="5">
        <v>25.2</v>
      </c>
      <c r="D461" s="5">
        <v>24.3</v>
      </c>
      <c r="F461" s="5">
        <v>7.55</v>
      </c>
      <c r="H461" s="5">
        <v>0.58</v>
      </c>
    </row>
    <row r="462">
      <c r="A462" s="4" t="s">
        <v>441</v>
      </c>
      <c r="B462" s="5">
        <v>1000.0</v>
      </c>
      <c r="C462" s="5">
        <v>29.5</v>
      </c>
      <c r="D462" s="5">
        <v>26.2</v>
      </c>
      <c r="F462" s="5">
        <v>7.92</v>
      </c>
      <c r="H462" s="5">
        <v>1.15</v>
      </c>
    </row>
    <row r="463">
      <c r="A463" s="4" t="s">
        <v>442</v>
      </c>
      <c r="B463" s="5">
        <v>997.0</v>
      </c>
      <c r="C463" s="5">
        <v>23.1</v>
      </c>
      <c r="D463" s="5">
        <v>20.1</v>
      </c>
      <c r="F463" s="5">
        <v>7.89</v>
      </c>
      <c r="H463" s="5">
        <v>0.63</v>
      </c>
    </row>
    <row r="464">
      <c r="A464" s="4" t="s">
        <v>443</v>
      </c>
      <c r="B464" s="5">
        <v>1001.0</v>
      </c>
      <c r="C464" s="5">
        <v>33.4</v>
      </c>
      <c r="D464" s="5">
        <v>36.2</v>
      </c>
      <c r="F464" s="5">
        <v>6.57</v>
      </c>
      <c r="H464" s="5">
        <v>0.77</v>
      </c>
    </row>
    <row r="465">
      <c r="A465" s="4" t="s">
        <v>444</v>
      </c>
      <c r="B465" s="5">
        <v>1003.0</v>
      </c>
      <c r="C465" s="5">
        <v>33.0</v>
      </c>
      <c r="D465" s="5">
        <v>43.6</v>
      </c>
      <c r="E465" s="5">
        <v>8.8</v>
      </c>
      <c r="F465" s="5">
        <v>9.42</v>
      </c>
      <c r="H465" s="5">
        <v>0.99</v>
      </c>
    </row>
    <row r="466">
      <c r="A466" s="4" t="s">
        <v>445</v>
      </c>
      <c r="B466" s="5">
        <v>999.0</v>
      </c>
      <c r="C466" s="5">
        <v>25.2</v>
      </c>
      <c r="D466" s="5">
        <v>17.8</v>
      </c>
      <c r="F466" s="5">
        <v>7.17</v>
      </c>
      <c r="H466" s="5">
        <v>0.78</v>
      </c>
    </row>
    <row r="467">
      <c r="A467" s="4" t="s">
        <v>446</v>
      </c>
      <c r="B467" s="5">
        <v>1006.0</v>
      </c>
      <c r="C467" s="5">
        <v>17.2</v>
      </c>
      <c r="D467" s="5">
        <v>24.1</v>
      </c>
      <c r="F467" s="5">
        <v>6.5</v>
      </c>
      <c r="H467" s="5">
        <v>0.44</v>
      </c>
    </row>
    <row r="468">
      <c r="A468" s="4" t="s">
        <v>447</v>
      </c>
      <c r="B468" s="5">
        <v>993.0</v>
      </c>
      <c r="C468" s="5">
        <v>13.3</v>
      </c>
      <c r="D468" s="5">
        <v>12.0</v>
      </c>
      <c r="F468" s="5">
        <v>6.39</v>
      </c>
      <c r="H468" s="5">
        <v>0.37</v>
      </c>
    </row>
    <row r="469">
      <c r="A469" s="4" t="s">
        <v>448</v>
      </c>
      <c r="B469" s="5">
        <v>995.0</v>
      </c>
      <c r="C469" s="5">
        <v>23.4</v>
      </c>
      <c r="D469" s="5">
        <v>25.6</v>
      </c>
      <c r="F469" s="5">
        <v>7.31</v>
      </c>
      <c r="H469" s="5">
        <v>0.69</v>
      </c>
    </row>
    <row r="470">
      <c r="A470" s="4" t="s">
        <v>449</v>
      </c>
      <c r="B470" s="5">
        <v>996.0</v>
      </c>
      <c r="C470" s="5">
        <v>16.5</v>
      </c>
      <c r="D470" s="5">
        <v>18.8</v>
      </c>
      <c r="F470" s="5">
        <v>8.87</v>
      </c>
      <c r="H470" s="5">
        <v>0.67</v>
      </c>
    </row>
    <row r="471">
      <c r="A471" s="4" t="s">
        <v>450</v>
      </c>
      <c r="B471" s="5">
        <v>998.0</v>
      </c>
      <c r="C471" s="5">
        <v>25.0</v>
      </c>
      <c r="D471" s="5">
        <v>26.2</v>
      </c>
      <c r="F471" s="5">
        <v>6.99</v>
      </c>
      <c r="H471" s="5">
        <v>0.54</v>
      </c>
    </row>
    <row r="472">
      <c r="A472" s="4" t="s">
        <v>451</v>
      </c>
      <c r="B472" s="5">
        <v>1005.0</v>
      </c>
      <c r="C472" s="5">
        <v>18.9</v>
      </c>
      <c r="D472" s="5">
        <v>18.2</v>
      </c>
      <c r="F472" s="5">
        <v>6.54</v>
      </c>
      <c r="H472" s="5">
        <v>0.52</v>
      </c>
    </row>
    <row r="473">
      <c r="A473" s="4" t="s">
        <v>452</v>
      </c>
      <c r="B473" s="5">
        <v>1002.0</v>
      </c>
      <c r="C473" s="5">
        <v>14.9</v>
      </c>
      <c r="D473" s="5">
        <v>16.4</v>
      </c>
      <c r="F473" s="5">
        <v>4.84</v>
      </c>
      <c r="H473" s="5">
        <v>0.35</v>
      </c>
    </row>
    <row r="474">
      <c r="A474" s="4" t="s">
        <v>453</v>
      </c>
      <c r="B474" s="5">
        <v>985.0</v>
      </c>
      <c r="C474" s="5">
        <v>19.0</v>
      </c>
      <c r="D474" s="5">
        <v>18.1</v>
      </c>
      <c r="F474" s="5">
        <v>5.89</v>
      </c>
      <c r="H474" s="5">
        <v>0.31</v>
      </c>
    </row>
    <row r="475">
      <c r="A475" s="4" t="s">
        <v>454</v>
      </c>
      <c r="B475" s="5">
        <v>992.0</v>
      </c>
      <c r="C475" s="5">
        <v>16.2</v>
      </c>
      <c r="D475" s="5">
        <v>13.2</v>
      </c>
      <c r="F475" s="5">
        <v>6.58</v>
      </c>
      <c r="H475" s="5">
        <v>0.5</v>
      </c>
    </row>
    <row r="476">
      <c r="A476" s="4" t="s">
        <v>455</v>
      </c>
      <c r="B476" s="5">
        <v>991.0</v>
      </c>
      <c r="C476" s="5">
        <v>13.2</v>
      </c>
      <c r="D476" s="5">
        <v>13.7</v>
      </c>
      <c r="F476" s="5">
        <v>7.08</v>
      </c>
      <c r="H476" s="5">
        <v>0.57</v>
      </c>
    </row>
    <row r="477">
      <c r="A477" s="4" t="s">
        <v>456</v>
      </c>
      <c r="B477" s="5">
        <v>994.0</v>
      </c>
      <c r="C477" s="5">
        <v>18.6</v>
      </c>
      <c r="D477" s="5">
        <v>15.5</v>
      </c>
      <c r="F477" s="5">
        <v>7.26</v>
      </c>
      <c r="H477" s="5">
        <v>0.58</v>
      </c>
    </row>
    <row r="478">
      <c r="A478" s="4" t="s">
        <v>457</v>
      </c>
      <c r="B478" s="5">
        <v>984.0</v>
      </c>
      <c r="C478" s="5">
        <v>13.9</v>
      </c>
      <c r="D478" s="5">
        <v>11.4</v>
      </c>
      <c r="F478" s="5">
        <v>4.73</v>
      </c>
      <c r="H478" s="5">
        <v>0.19</v>
      </c>
    </row>
    <row r="479">
      <c r="A479" s="4" t="s">
        <v>458</v>
      </c>
      <c r="B479" s="5">
        <v>986.0</v>
      </c>
      <c r="C479" s="5">
        <v>13.3</v>
      </c>
      <c r="D479" s="5">
        <v>12.0</v>
      </c>
      <c r="F479" s="5">
        <v>4.01</v>
      </c>
      <c r="H479" s="5">
        <v>0.12</v>
      </c>
    </row>
    <row r="480">
      <c r="A480" s="4" t="s">
        <v>459</v>
      </c>
      <c r="B480" s="5">
        <v>987.0</v>
      </c>
      <c r="C480" s="5">
        <v>16.2</v>
      </c>
      <c r="D480" s="5">
        <v>13.0</v>
      </c>
      <c r="F480" s="5">
        <v>5.96</v>
      </c>
      <c r="H480" s="5">
        <v>0.31</v>
      </c>
    </row>
    <row r="481">
      <c r="A481" s="4" t="s">
        <v>460</v>
      </c>
      <c r="B481" s="5">
        <v>990.0</v>
      </c>
      <c r="C481" s="5">
        <v>15.5</v>
      </c>
      <c r="D481" s="5">
        <v>12.0</v>
      </c>
      <c r="F481" s="5">
        <v>5.01</v>
      </c>
      <c r="H481" s="5">
        <v>0.2</v>
      </c>
    </row>
    <row r="482">
      <c r="A482" s="4" t="s">
        <v>461</v>
      </c>
      <c r="B482" s="5">
        <v>988.0</v>
      </c>
      <c r="C482" s="5">
        <v>13.8</v>
      </c>
      <c r="D482" s="5">
        <v>12.2</v>
      </c>
      <c r="F482" s="5">
        <v>4.89</v>
      </c>
      <c r="H482" s="5">
        <v>0.22</v>
      </c>
    </row>
    <row r="483">
      <c r="A483" s="4" t="s">
        <v>462</v>
      </c>
      <c r="B483" s="5">
        <v>989.0</v>
      </c>
      <c r="C483" s="5">
        <v>10.2</v>
      </c>
      <c r="D483" s="5">
        <v>10.8</v>
      </c>
      <c r="F483" s="5">
        <v>5.15</v>
      </c>
      <c r="H483" s="5">
        <v>0.21</v>
      </c>
    </row>
    <row r="484">
      <c r="A484" s="4"/>
    </row>
    <row r="485">
      <c r="A485" s="4" t="s">
        <v>463</v>
      </c>
    </row>
    <row r="486">
      <c r="A486" s="4" t="s">
        <v>464</v>
      </c>
    </row>
    <row r="487">
      <c r="A487" s="4" t="s">
        <v>465</v>
      </c>
    </row>
    <row r="488">
      <c r="A488" s="4" t="s">
        <v>466</v>
      </c>
    </row>
    <row r="489">
      <c r="A489" s="4" t="s">
        <v>467</v>
      </c>
    </row>
    <row r="490">
      <c r="A490" s="4" t="s">
        <v>468</v>
      </c>
    </row>
    <row r="491">
      <c r="A491" s="4" t="s">
        <v>469</v>
      </c>
    </row>
    <row r="492">
      <c r="A492" s="4" t="s">
        <v>470</v>
      </c>
    </row>
    <row r="493">
      <c r="A493" s="4" t="s">
        <v>471</v>
      </c>
    </row>
    <row r="494">
      <c r="A494" s="4" t="s">
        <v>472</v>
      </c>
    </row>
    <row r="495">
      <c r="A495" s="4" t="s">
        <v>473</v>
      </c>
    </row>
    <row r="496">
      <c r="A496" s="4" t="s">
        <v>474</v>
      </c>
    </row>
    <row r="497">
      <c r="A497" s="4"/>
    </row>
    <row r="498">
      <c r="A498" s="4" t="s">
        <v>475</v>
      </c>
    </row>
    <row r="499">
      <c r="A499" s="4" t="s">
        <v>476</v>
      </c>
    </row>
    <row r="500">
      <c r="A500" s="4" t="s">
        <v>477</v>
      </c>
    </row>
    <row r="501">
      <c r="A501" s="4" t="s">
        <v>478</v>
      </c>
    </row>
    <row r="502">
      <c r="A502" s="4" t="s">
        <v>479</v>
      </c>
    </row>
    <row r="503">
      <c r="A503" s="4" t="s">
        <v>480</v>
      </c>
    </row>
    <row r="504">
      <c r="A504" s="4" t="s">
        <v>481</v>
      </c>
    </row>
    <row r="505">
      <c r="A505" s="4" t="s">
        <v>482</v>
      </c>
    </row>
    <row r="506">
      <c r="A506" s="4" t="s">
        <v>483</v>
      </c>
    </row>
    <row r="507">
      <c r="A507" s="4" t="s">
        <v>484</v>
      </c>
    </row>
    <row r="508">
      <c r="A508" s="4" t="s">
        <v>485</v>
      </c>
    </row>
    <row r="509">
      <c r="A509" s="4" t="s">
        <v>486</v>
      </c>
    </row>
    <row r="510">
      <c r="A510" s="4" t="s">
        <v>487</v>
      </c>
    </row>
    <row r="511">
      <c r="A511" s="4" t="s">
        <v>488</v>
      </c>
    </row>
    <row r="512">
      <c r="A512" s="4" t="s">
        <v>489</v>
      </c>
    </row>
    <row r="513">
      <c r="A513" s="4" t="s">
        <v>490</v>
      </c>
    </row>
    <row r="514">
      <c r="A514" s="4" t="s">
        <v>491</v>
      </c>
    </row>
    <row r="515">
      <c r="A515" s="4" t="s">
        <v>492</v>
      </c>
    </row>
    <row r="516">
      <c r="A516" s="4" t="s">
        <v>493</v>
      </c>
    </row>
    <row r="517">
      <c r="A517" s="4" t="s">
        <v>494</v>
      </c>
    </row>
    <row r="518">
      <c r="A518" s="4" t="s">
        <v>495</v>
      </c>
    </row>
    <row r="519">
      <c r="A519" s="4"/>
    </row>
    <row r="520">
      <c r="A520" s="4" t="s">
        <v>496</v>
      </c>
    </row>
    <row r="521">
      <c r="A521" s="4" t="s">
        <v>497</v>
      </c>
    </row>
    <row r="522">
      <c r="A522" s="4" t="s">
        <v>498</v>
      </c>
    </row>
    <row r="523">
      <c r="A523" s="4" t="s">
        <v>499</v>
      </c>
    </row>
    <row r="524">
      <c r="A524" s="4" t="s">
        <v>500</v>
      </c>
    </row>
    <row r="525">
      <c r="A525" s="4" t="s">
        <v>501</v>
      </c>
    </row>
    <row r="526">
      <c r="A526" s="4" t="s">
        <v>502</v>
      </c>
    </row>
    <row r="527">
      <c r="A527" s="4" t="s">
        <v>503</v>
      </c>
    </row>
    <row r="528">
      <c r="A528" s="4" t="s">
        <v>504</v>
      </c>
    </row>
    <row r="529">
      <c r="A529" s="4" t="s">
        <v>505</v>
      </c>
    </row>
    <row r="530">
      <c r="A530" s="4" t="s">
        <v>506</v>
      </c>
    </row>
    <row r="531">
      <c r="A531" s="4" t="s">
        <v>507</v>
      </c>
    </row>
    <row r="532">
      <c r="A532" s="4" t="s">
        <v>508</v>
      </c>
    </row>
    <row r="533">
      <c r="A533" s="4" t="s">
        <v>509</v>
      </c>
    </row>
    <row r="534">
      <c r="A534" s="4" t="s">
        <v>510</v>
      </c>
    </row>
    <row r="535">
      <c r="A535" s="4" t="s">
        <v>511</v>
      </c>
    </row>
    <row r="536">
      <c r="A536" s="4" t="s">
        <v>512</v>
      </c>
    </row>
    <row r="537">
      <c r="A537" s="4" t="s">
        <v>513</v>
      </c>
    </row>
    <row r="538">
      <c r="A538" s="4" t="s">
        <v>514</v>
      </c>
    </row>
    <row r="539">
      <c r="A539" s="4" t="s">
        <v>515</v>
      </c>
    </row>
    <row r="540">
      <c r="A540" s="4" t="s">
        <v>516</v>
      </c>
    </row>
    <row r="541">
      <c r="A541" s="4"/>
    </row>
    <row r="542">
      <c r="A542" s="4" t="s">
        <v>517</v>
      </c>
      <c r="B542" s="5">
        <v>466.0</v>
      </c>
      <c r="C542" s="5">
        <v>24.4</v>
      </c>
      <c r="D542" s="5">
        <v>15.7</v>
      </c>
      <c r="F542" s="5">
        <v>9.82</v>
      </c>
      <c r="H542" s="5">
        <v>1.92</v>
      </c>
    </row>
    <row r="543">
      <c r="A543" s="4" t="s">
        <v>518</v>
      </c>
      <c r="B543" s="5">
        <v>467.0</v>
      </c>
      <c r="C543" s="5">
        <v>26.5</v>
      </c>
      <c r="D543" s="5">
        <v>28.4</v>
      </c>
      <c r="F543" s="5">
        <v>10.56</v>
      </c>
      <c r="H543" s="5"/>
    </row>
    <row r="544">
      <c r="A544" s="4" t="s">
        <v>519</v>
      </c>
      <c r="B544" s="5">
        <v>468.0</v>
      </c>
      <c r="C544" s="5">
        <v>26.6</v>
      </c>
      <c r="D544" s="5">
        <v>23.7</v>
      </c>
      <c r="F544" s="5">
        <v>9.58</v>
      </c>
      <c r="H544" s="5">
        <v>0.99</v>
      </c>
    </row>
    <row r="545">
      <c r="A545" s="4" t="s">
        <v>520</v>
      </c>
      <c r="B545" s="5">
        <v>463.0</v>
      </c>
      <c r="C545" s="5">
        <v>26.1</v>
      </c>
      <c r="D545" s="5">
        <v>17.0</v>
      </c>
      <c r="F545" s="5">
        <v>7.57</v>
      </c>
      <c r="H545" s="5">
        <v>0.89</v>
      </c>
    </row>
    <row r="546">
      <c r="A546" s="4" t="s">
        <v>521</v>
      </c>
      <c r="B546" s="5">
        <v>469.0</v>
      </c>
      <c r="C546" s="5">
        <v>26.2</v>
      </c>
      <c r="D546" s="5">
        <v>39.9</v>
      </c>
      <c r="F546" s="5">
        <v>8.86</v>
      </c>
      <c r="H546" s="5">
        <v>0.71</v>
      </c>
    </row>
    <row r="547">
      <c r="A547" s="4" t="s">
        <v>522</v>
      </c>
      <c r="B547" s="5">
        <v>465.0</v>
      </c>
      <c r="C547" s="5">
        <v>24.7</v>
      </c>
      <c r="D547" s="5">
        <v>16.8</v>
      </c>
      <c r="F547" s="5">
        <v>6.57</v>
      </c>
      <c r="H547" s="5">
        <v>0.51</v>
      </c>
    </row>
    <row r="548">
      <c r="A548" s="4" t="s">
        <v>523</v>
      </c>
      <c r="B548" s="5">
        <v>470.0</v>
      </c>
      <c r="C548" s="5">
        <v>29.6</v>
      </c>
      <c r="D548" s="5">
        <v>30.2</v>
      </c>
      <c r="F548" s="5">
        <v>7.11</v>
      </c>
      <c r="H548" s="5">
        <v>0.59</v>
      </c>
    </row>
    <row r="549">
      <c r="A549" s="4" t="s">
        <v>524</v>
      </c>
      <c r="B549" s="5">
        <v>459.0</v>
      </c>
      <c r="C549" s="5">
        <v>19.1</v>
      </c>
      <c r="D549" s="5">
        <v>14.1</v>
      </c>
      <c r="F549" s="5">
        <v>6.5</v>
      </c>
      <c r="H549" s="5">
        <v>0.69</v>
      </c>
    </row>
    <row r="550">
      <c r="A550" s="4" t="s">
        <v>525</v>
      </c>
      <c r="B550" s="5">
        <v>451.0</v>
      </c>
      <c r="C550" s="5">
        <v>24.0</v>
      </c>
      <c r="D550" s="5">
        <v>23.7</v>
      </c>
      <c r="F550" s="5">
        <v>6.37</v>
      </c>
      <c r="H550" s="5">
        <v>0.59</v>
      </c>
    </row>
    <row r="551">
      <c r="A551" s="4" t="s">
        <v>526</v>
      </c>
      <c r="B551" s="5">
        <v>462.0</v>
      </c>
      <c r="C551" s="5">
        <v>22.2</v>
      </c>
      <c r="D551" s="5">
        <v>24.4</v>
      </c>
      <c r="F551" s="5">
        <v>6.7</v>
      </c>
      <c r="H551" s="5">
        <v>0.5</v>
      </c>
    </row>
    <row r="552">
      <c r="A552" s="4" t="s">
        <v>527</v>
      </c>
      <c r="B552" s="5">
        <v>453.0</v>
      </c>
      <c r="C552" s="5">
        <v>16.7</v>
      </c>
      <c r="D552" s="5">
        <v>17.8</v>
      </c>
      <c r="F552" s="5">
        <v>6.59</v>
      </c>
      <c r="H552" s="5">
        <v>0.52</v>
      </c>
    </row>
    <row r="553">
      <c r="A553" s="4" t="s">
        <v>528</v>
      </c>
      <c r="B553" s="5">
        <v>456.0</v>
      </c>
      <c r="C553" s="5">
        <v>18.0</v>
      </c>
      <c r="D553" s="5">
        <v>16.6</v>
      </c>
      <c r="F553" s="5">
        <v>7.03</v>
      </c>
      <c r="H553" s="5">
        <v>0.52</v>
      </c>
    </row>
    <row r="554">
      <c r="A554" s="4" t="s">
        <v>529</v>
      </c>
      <c r="B554" s="5">
        <v>460.0</v>
      </c>
      <c r="C554" s="5">
        <v>12.4</v>
      </c>
      <c r="D554" s="5">
        <v>12.5</v>
      </c>
      <c r="F554" s="5">
        <v>5.47</v>
      </c>
      <c r="H554" s="5">
        <v>0.27</v>
      </c>
    </row>
    <row r="555">
      <c r="A555" s="4" t="s">
        <v>530</v>
      </c>
      <c r="B555" s="5">
        <v>452.0</v>
      </c>
      <c r="C555" s="5">
        <v>12.6</v>
      </c>
      <c r="D555" s="5">
        <v>13.4</v>
      </c>
      <c r="F555" s="5">
        <v>5.49</v>
      </c>
      <c r="H555" s="5">
        <v>0.31</v>
      </c>
    </row>
    <row r="556">
      <c r="A556" s="4" t="s">
        <v>531</v>
      </c>
      <c r="B556" s="5">
        <v>454.0</v>
      </c>
      <c r="C556" s="5">
        <v>14.7</v>
      </c>
      <c r="D556" s="5">
        <v>16.3</v>
      </c>
      <c r="F556" s="5">
        <v>5.05</v>
      </c>
      <c r="H556" s="5">
        <v>0.29</v>
      </c>
    </row>
    <row r="557">
      <c r="A557" s="4" t="s">
        <v>532</v>
      </c>
      <c r="B557" s="5">
        <v>457.0</v>
      </c>
      <c r="C557" s="5">
        <v>15.8</v>
      </c>
      <c r="D557" s="5">
        <v>17.2</v>
      </c>
      <c r="F557" s="5">
        <v>5.95</v>
      </c>
      <c r="H557" s="5">
        <v>0.25</v>
      </c>
    </row>
    <row r="558">
      <c r="A558" s="4" t="s">
        <v>533</v>
      </c>
      <c r="B558" s="5">
        <v>464.0</v>
      </c>
      <c r="C558" s="5">
        <v>15.3</v>
      </c>
      <c r="D558" s="5">
        <v>16.7</v>
      </c>
      <c r="F558" s="5">
        <v>5.4</v>
      </c>
      <c r="H558" s="5">
        <v>0.4</v>
      </c>
    </row>
    <row r="559">
      <c r="A559" s="4" t="s">
        <v>534</v>
      </c>
      <c r="B559" s="5">
        <v>461.0</v>
      </c>
      <c r="C559" s="5">
        <v>14.0</v>
      </c>
      <c r="D559" s="5">
        <v>10.2</v>
      </c>
      <c r="F559" s="5">
        <v>3.47</v>
      </c>
      <c r="H559" s="5">
        <v>0.09</v>
      </c>
    </row>
    <row r="560">
      <c r="A560" s="4" t="s">
        <v>535</v>
      </c>
      <c r="B560" s="5">
        <v>458.0</v>
      </c>
      <c r="C560" s="5">
        <v>9.6</v>
      </c>
      <c r="D560" s="5">
        <v>6.8</v>
      </c>
      <c r="F560" s="5">
        <v>1.98</v>
      </c>
      <c r="H560" s="5">
        <v>0.02</v>
      </c>
    </row>
    <row r="561">
      <c r="A561" s="4" t="s">
        <v>536</v>
      </c>
      <c r="B561" s="5">
        <v>455.0</v>
      </c>
      <c r="C561" s="5">
        <v>11.0</v>
      </c>
      <c r="D561" s="5">
        <v>9.1</v>
      </c>
      <c r="F561" s="5">
        <v>2.79</v>
      </c>
      <c r="H561" s="5">
        <v>0.04</v>
      </c>
    </row>
    <row r="562">
      <c r="A562" s="4"/>
    </row>
    <row r="563">
      <c r="A563" s="4" t="s">
        <v>537</v>
      </c>
      <c r="B563" s="5">
        <v>1027.0</v>
      </c>
      <c r="C563" s="5">
        <v>32.1</v>
      </c>
      <c r="D563" s="5">
        <v>34.2</v>
      </c>
      <c r="F563" s="5">
        <v>9.0</v>
      </c>
      <c r="H563" s="5">
        <v>1.51</v>
      </c>
    </row>
    <row r="564">
      <c r="A564" s="4" t="s">
        <v>538</v>
      </c>
      <c r="B564" s="5">
        <v>1025.0</v>
      </c>
      <c r="C564" s="5">
        <v>28.5</v>
      </c>
      <c r="D564" s="5">
        <v>25.5</v>
      </c>
      <c r="F564" s="5">
        <v>7.72</v>
      </c>
      <c r="H564" s="5">
        <v>1.57</v>
      </c>
    </row>
    <row r="565">
      <c r="A565" s="4" t="s">
        <v>539</v>
      </c>
      <c r="B565" s="5">
        <v>1026.0</v>
      </c>
      <c r="C565" s="5">
        <v>31.6</v>
      </c>
      <c r="D565" s="5">
        <v>26.2</v>
      </c>
      <c r="F565" s="5">
        <v>6.56</v>
      </c>
      <c r="H565" s="5">
        <v>0.92</v>
      </c>
    </row>
    <row r="566">
      <c r="A566" s="4" t="s">
        <v>540</v>
      </c>
      <c r="B566" s="5">
        <v>1023.0</v>
      </c>
      <c r="C566" s="5">
        <v>26.4</v>
      </c>
      <c r="D566" s="5">
        <v>28.4</v>
      </c>
      <c r="F566" s="5">
        <v>8.42</v>
      </c>
      <c r="H566" s="5">
        <v>0.89</v>
      </c>
    </row>
    <row r="567">
      <c r="A567" s="4" t="s">
        <v>541</v>
      </c>
      <c r="B567" s="5">
        <v>1022.0</v>
      </c>
      <c r="C567" s="5">
        <v>37.6</v>
      </c>
      <c r="D567" s="5">
        <v>36.5</v>
      </c>
      <c r="F567" s="5">
        <v>9.76</v>
      </c>
      <c r="H567" s="5">
        <v>1.35</v>
      </c>
    </row>
    <row r="568">
      <c r="A568" s="4" t="s">
        <v>542</v>
      </c>
      <c r="B568" s="5">
        <v>1024.0</v>
      </c>
      <c r="C568" s="5">
        <v>23.2</v>
      </c>
      <c r="D568" s="5">
        <v>27.8</v>
      </c>
      <c r="F568" s="5">
        <v>7.15</v>
      </c>
      <c r="H568" s="5">
        <v>0.36</v>
      </c>
    </row>
    <row r="569">
      <c r="A569" s="4" t="s">
        <v>543</v>
      </c>
      <c r="B569" s="5">
        <v>1018.0</v>
      </c>
      <c r="C569" s="5">
        <v>17.9</v>
      </c>
      <c r="D569" s="5">
        <v>20.4</v>
      </c>
      <c r="F569" s="5">
        <v>7.69</v>
      </c>
      <c r="H569" s="5">
        <v>1.06</v>
      </c>
    </row>
    <row r="570">
      <c r="A570" s="4" t="s">
        <v>544</v>
      </c>
      <c r="B570" s="5">
        <v>1020.0</v>
      </c>
      <c r="C570" s="5">
        <v>28.9</v>
      </c>
      <c r="D570" s="5">
        <v>30.1</v>
      </c>
      <c r="F570" s="5">
        <v>6.8</v>
      </c>
      <c r="H570" s="5">
        <v>0.72</v>
      </c>
    </row>
    <row r="571">
      <c r="A571" s="4" t="s">
        <v>545</v>
      </c>
      <c r="B571" s="5">
        <v>1015.0</v>
      </c>
      <c r="C571" s="5">
        <v>19.1</v>
      </c>
      <c r="D571" s="5">
        <v>15.1</v>
      </c>
      <c r="F571" s="5">
        <v>5.6</v>
      </c>
      <c r="H571" s="5">
        <v>0.34</v>
      </c>
    </row>
    <row r="572">
      <c r="A572" s="4" t="s">
        <v>546</v>
      </c>
      <c r="B572" s="5">
        <v>1013.0</v>
      </c>
      <c r="C572" s="5">
        <v>14.9</v>
      </c>
      <c r="D572" s="5">
        <v>21.2</v>
      </c>
      <c r="F572" s="5">
        <v>6.96</v>
      </c>
      <c r="H572" s="5">
        <v>0.62</v>
      </c>
    </row>
    <row r="573">
      <c r="A573" s="4" t="s">
        <v>547</v>
      </c>
      <c r="B573" s="5">
        <v>1021.0</v>
      </c>
      <c r="C573" s="5">
        <v>17.0</v>
      </c>
      <c r="D573" s="5">
        <v>20.2</v>
      </c>
      <c r="F573" s="5">
        <v>7.79</v>
      </c>
      <c r="H573" s="5">
        <v>0.55</v>
      </c>
    </row>
    <row r="574">
      <c r="A574" s="4" t="s">
        <v>548</v>
      </c>
    </row>
    <row r="575">
      <c r="A575" s="4" t="s">
        <v>549</v>
      </c>
      <c r="B575" s="5">
        <v>1017.0</v>
      </c>
      <c r="C575" s="5">
        <v>18.7</v>
      </c>
      <c r="D575" s="5">
        <v>20.5</v>
      </c>
      <c r="F575" s="5">
        <v>6.54</v>
      </c>
      <c r="H575" s="5">
        <v>0.45</v>
      </c>
    </row>
    <row r="576">
      <c r="A576" s="4" t="s">
        <v>550</v>
      </c>
      <c r="B576" s="5">
        <v>1010.0</v>
      </c>
      <c r="C576" s="5">
        <v>13.7</v>
      </c>
      <c r="D576" s="5">
        <v>14.0</v>
      </c>
      <c r="F576" s="5">
        <v>5.38</v>
      </c>
      <c r="H576" s="5">
        <v>0.31</v>
      </c>
    </row>
    <row r="577">
      <c r="A577" s="4" t="s">
        <v>551</v>
      </c>
      <c r="B577" s="5">
        <v>1019.0</v>
      </c>
      <c r="C577" s="5">
        <v>14.1</v>
      </c>
      <c r="D577" s="5">
        <v>15.6</v>
      </c>
      <c r="F577" s="5">
        <v>6.12</v>
      </c>
      <c r="H577" s="5">
        <v>0.37</v>
      </c>
    </row>
    <row r="578">
      <c r="A578" s="4" t="s">
        <v>552</v>
      </c>
      <c r="B578" s="5">
        <v>1011.0</v>
      </c>
      <c r="C578" s="5">
        <v>14.0</v>
      </c>
      <c r="D578" s="5">
        <v>18.0</v>
      </c>
      <c r="F578" s="5">
        <v>5.97</v>
      </c>
      <c r="H578" s="5">
        <v>0.37</v>
      </c>
    </row>
    <row r="579">
      <c r="A579" s="4" t="s">
        <v>553</v>
      </c>
      <c r="B579" s="5">
        <v>1016.0</v>
      </c>
      <c r="C579" s="5">
        <v>12.5</v>
      </c>
      <c r="D579" s="5">
        <v>11.2</v>
      </c>
      <c r="F579" s="5">
        <v>4.75</v>
      </c>
      <c r="H579" s="5">
        <v>0.15</v>
      </c>
    </row>
    <row r="580">
      <c r="A580" s="4" t="s">
        <v>554</v>
      </c>
      <c r="B580" s="5">
        <v>1009.0</v>
      </c>
      <c r="C580" s="5">
        <v>9.6</v>
      </c>
      <c r="D580" s="5">
        <v>8.9</v>
      </c>
      <c r="F580" s="5">
        <v>3.06</v>
      </c>
      <c r="H580" s="5">
        <v>0.04</v>
      </c>
    </row>
    <row r="581">
      <c r="A581" s="4" t="s">
        <v>555</v>
      </c>
      <c r="B581" s="5">
        <v>1014.0</v>
      </c>
      <c r="C581" s="5">
        <v>12.3</v>
      </c>
      <c r="D581" s="5">
        <v>9.4</v>
      </c>
      <c r="F581" s="5">
        <v>4.29</v>
      </c>
      <c r="H581" s="5">
        <v>0.13</v>
      </c>
    </row>
    <row r="582">
      <c r="A582" s="4" t="s">
        <v>556</v>
      </c>
      <c r="B582" s="5">
        <v>1012.0</v>
      </c>
      <c r="C582" s="5">
        <v>14.5</v>
      </c>
      <c r="D582" s="5">
        <v>14.8</v>
      </c>
      <c r="F582" s="5">
        <v>5.67</v>
      </c>
      <c r="H582" s="5">
        <v>0.22</v>
      </c>
    </row>
    <row r="583">
      <c r="A583" s="4"/>
    </row>
    <row r="584">
      <c r="A584" s="4" t="s">
        <v>557</v>
      </c>
    </row>
    <row r="585">
      <c r="A585" s="4" t="s">
        <v>558</v>
      </c>
    </row>
    <row r="586">
      <c r="A586" s="4" t="s">
        <v>559</v>
      </c>
    </row>
    <row r="587">
      <c r="A587" s="4" t="s">
        <v>560</v>
      </c>
    </row>
    <row r="588">
      <c r="A588" s="4" t="s">
        <v>561</v>
      </c>
    </row>
    <row r="589">
      <c r="A589" s="4" t="s">
        <v>562</v>
      </c>
    </row>
    <row r="590">
      <c r="A590" s="4" t="s">
        <v>563</v>
      </c>
    </row>
    <row r="591">
      <c r="A591" s="4" t="s">
        <v>564</v>
      </c>
    </row>
    <row r="592">
      <c r="A592" s="4" t="s">
        <v>565</v>
      </c>
    </row>
    <row r="593">
      <c r="A593" s="4" t="s">
        <v>566</v>
      </c>
    </row>
    <row r="594">
      <c r="A594" s="4" t="s">
        <v>567</v>
      </c>
    </row>
    <row r="595">
      <c r="A595" s="4" t="s">
        <v>568</v>
      </c>
    </row>
    <row r="596">
      <c r="A596" s="4" t="s">
        <v>569</v>
      </c>
    </row>
    <row r="597">
      <c r="A597" s="4" t="s">
        <v>570</v>
      </c>
    </row>
    <row r="598">
      <c r="A598" s="4" t="s">
        <v>571</v>
      </c>
    </row>
    <row r="599">
      <c r="A599" s="4"/>
    </row>
    <row r="600">
      <c r="A600" s="4" t="s">
        <v>572</v>
      </c>
    </row>
    <row r="601">
      <c r="A601" s="4" t="s">
        <v>573</v>
      </c>
    </row>
    <row r="602">
      <c r="A602" s="4" t="s">
        <v>574</v>
      </c>
    </row>
    <row r="603">
      <c r="A603" s="4" t="s">
        <v>575</v>
      </c>
    </row>
    <row r="604">
      <c r="A604" s="4" t="s">
        <v>576</v>
      </c>
    </row>
    <row r="605">
      <c r="A605" s="4" t="s">
        <v>577</v>
      </c>
    </row>
    <row r="606">
      <c r="A606" s="4" t="s">
        <v>578</v>
      </c>
    </row>
    <row r="607">
      <c r="A607" s="4" t="s">
        <v>579</v>
      </c>
    </row>
    <row r="608">
      <c r="A608" s="4" t="s">
        <v>580</v>
      </c>
    </row>
    <row r="609">
      <c r="A609" s="4" t="s">
        <v>581</v>
      </c>
    </row>
    <row r="610">
      <c r="A610" s="4" t="s">
        <v>582</v>
      </c>
    </row>
    <row r="611">
      <c r="A611" s="4" t="s">
        <v>583</v>
      </c>
    </row>
    <row r="612">
      <c r="A612" s="4"/>
    </row>
    <row r="613">
      <c r="A613" s="4" t="s">
        <v>584</v>
      </c>
      <c r="B613" s="5">
        <v>1044.0</v>
      </c>
      <c r="C613" s="5">
        <v>26.6</v>
      </c>
      <c r="D613" s="5">
        <v>27.6</v>
      </c>
      <c r="F613" s="5">
        <v>8.51</v>
      </c>
    </row>
    <row r="614">
      <c r="A614" s="4" t="s">
        <v>585</v>
      </c>
      <c r="B614" s="5">
        <v>1044.0</v>
      </c>
      <c r="C614" s="5">
        <v>27.9</v>
      </c>
      <c r="D614" s="5">
        <v>26.0</v>
      </c>
      <c r="F614" s="5">
        <v>9.56</v>
      </c>
    </row>
    <row r="615">
      <c r="A615" s="4" t="s">
        <v>586</v>
      </c>
      <c r="B615" s="5">
        <v>1042.0</v>
      </c>
      <c r="C615" s="5">
        <v>26.2</v>
      </c>
      <c r="D615" s="5">
        <v>24.7</v>
      </c>
      <c r="F615" s="5">
        <v>9.7</v>
      </c>
      <c r="H615" s="5">
        <v>1.64</v>
      </c>
    </row>
    <row r="616">
      <c r="A616" s="4" t="s">
        <v>587</v>
      </c>
      <c r="B616" s="5">
        <v>1040.0</v>
      </c>
      <c r="C616" s="5">
        <v>25.5</v>
      </c>
      <c r="D616" s="5">
        <v>20.6</v>
      </c>
      <c r="F616" s="5">
        <v>6.29</v>
      </c>
      <c r="H616" s="5">
        <v>0.39</v>
      </c>
    </row>
    <row r="617">
      <c r="A617" s="4" t="s">
        <v>588</v>
      </c>
      <c r="B617" s="5">
        <v>1041.0</v>
      </c>
      <c r="C617" s="5">
        <v>32.2</v>
      </c>
      <c r="D617" s="5">
        <v>34.5</v>
      </c>
      <c r="F617" s="5">
        <v>6.81</v>
      </c>
      <c r="H617" s="5">
        <v>0.54</v>
      </c>
    </row>
    <row r="618">
      <c r="A618" s="4" t="s">
        <v>589</v>
      </c>
      <c r="B618" s="5">
        <v>1039.0</v>
      </c>
      <c r="C618" s="5">
        <v>22.2</v>
      </c>
      <c r="D618" s="5">
        <v>17.2</v>
      </c>
      <c r="F618" s="5">
        <v>6.86</v>
      </c>
      <c r="H618" s="5">
        <v>0.54</v>
      </c>
    </row>
    <row r="619">
      <c r="A619" s="4" t="s">
        <v>590</v>
      </c>
      <c r="B619" s="5">
        <v>1037.0</v>
      </c>
      <c r="C619" s="5">
        <v>30.2</v>
      </c>
      <c r="D619" s="5">
        <v>25.2</v>
      </c>
      <c r="F619" s="5">
        <v>7.14</v>
      </c>
      <c r="H619" s="5">
        <v>0.81</v>
      </c>
    </row>
    <row r="620">
      <c r="A620" s="4" t="s">
        <v>591</v>
      </c>
      <c r="B620" s="5">
        <v>1034.0</v>
      </c>
      <c r="C620" s="5">
        <v>19.5</v>
      </c>
      <c r="D620" s="5">
        <v>16.8</v>
      </c>
      <c r="F620" s="5">
        <v>7.97</v>
      </c>
      <c r="H620" s="5">
        <v>1.0</v>
      </c>
    </row>
    <row r="621">
      <c r="A621" s="4" t="s">
        <v>592</v>
      </c>
      <c r="B621" s="5">
        <v>1036.0</v>
      </c>
      <c r="C621" s="5">
        <v>24.5</v>
      </c>
      <c r="D621" s="5">
        <v>22.2</v>
      </c>
      <c r="F621" s="5">
        <v>6.33</v>
      </c>
      <c r="H621" s="5">
        <v>0.51</v>
      </c>
    </row>
    <row r="622">
      <c r="A622" s="4" t="s">
        <v>593</v>
      </c>
      <c r="B622" s="5">
        <v>1038.0</v>
      </c>
      <c r="C622" s="5">
        <v>15.6</v>
      </c>
      <c r="D622" s="5">
        <v>18.7</v>
      </c>
      <c r="F622" s="5">
        <v>6.53</v>
      </c>
      <c r="H622" s="5">
        <v>0.47</v>
      </c>
    </row>
    <row r="623">
      <c r="A623" s="4" t="s">
        <v>594</v>
      </c>
      <c r="B623" s="5">
        <v>1032.0</v>
      </c>
      <c r="C623" s="5">
        <v>19.1</v>
      </c>
      <c r="D623" s="5">
        <v>13.4</v>
      </c>
      <c r="E623" s="5">
        <v>10.5</v>
      </c>
      <c r="F623" s="5">
        <v>6.63</v>
      </c>
      <c r="H623" s="5">
        <v>0.62</v>
      </c>
    </row>
    <row r="624">
      <c r="A624" s="4" t="s">
        <v>595</v>
      </c>
      <c r="B624" s="5">
        <v>1035.0</v>
      </c>
      <c r="C624" s="5">
        <v>15.8</v>
      </c>
      <c r="D624" s="5">
        <v>14.2</v>
      </c>
      <c r="F624" s="5">
        <v>5.12</v>
      </c>
      <c r="H624" s="5">
        <v>0.47</v>
      </c>
    </row>
    <row r="625">
      <c r="A625" s="4" t="s">
        <v>596</v>
      </c>
      <c r="B625" s="5">
        <v>1031.0</v>
      </c>
      <c r="C625" s="5">
        <v>17.8</v>
      </c>
      <c r="D625" s="5">
        <v>16.3</v>
      </c>
      <c r="F625" s="5">
        <v>6.61</v>
      </c>
      <c r="H625" s="5">
        <v>0.48</v>
      </c>
    </row>
    <row r="626">
      <c r="A626" s="4" t="s">
        <v>597</v>
      </c>
      <c r="B626" s="5">
        <v>1033.0</v>
      </c>
      <c r="C626" s="5">
        <v>15.8</v>
      </c>
      <c r="D626" s="5">
        <v>16.5</v>
      </c>
      <c r="F626" s="5">
        <v>5.47</v>
      </c>
      <c r="H626" s="5">
        <v>0.48</v>
      </c>
    </row>
    <row r="627">
      <c r="A627" s="4" t="s">
        <v>598</v>
      </c>
      <c r="B627" s="5">
        <v>1030.0</v>
      </c>
      <c r="C627" s="5">
        <v>14.5</v>
      </c>
      <c r="D627" s="5">
        <v>11.6</v>
      </c>
      <c r="F627" s="5">
        <v>5.78</v>
      </c>
      <c r="H627" s="5">
        <v>0.29</v>
      </c>
    </row>
    <row r="628">
      <c r="A628" s="4" t="s">
        <v>599</v>
      </c>
      <c r="B628" s="5">
        <v>1028.0</v>
      </c>
      <c r="C628" s="5">
        <v>13.2</v>
      </c>
      <c r="D628" s="5">
        <v>12.3</v>
      </c>
      <c r="F628" s="5">
        <v>3.91</v>
      </c>
      <c r="H628" s="5">
        <v>0.16</v>
      </c>
    </row>
    <row r="629">
      <c r="A629" s="4" t="s">
        <v>600</v>
      </c>
      <c r="B629" s="5">
        <v>1029.0</v>
      </c>
      <c r="C629" s="5">
        <v>14.1</v>
      </c>
      <c r="D629" s="5">
        <v>14.6</v>
      </c>
      <c r="F629" s="5">
        <v>6.92</v>
      </c>
      <c r="H629" s="5">
        <v>0.42</v>
      </c>
    </row>
    <row r="630">
      <c r="A630" s="4"/>
    </row>
    <row r="631">
      <c r="A631" s="4" t="s">
        <v>601</v>
      </c>
    </row>
    <row r="632">
      <c r="A632" s="4" t="s">
        <v>602</v>
      </c>
    </row>
    <row r="633">
      <c r="A633" s="4" t="s">
        <v>603</v>
      </c>
    </row>
    <row r="634">
      <c r="A634" s="4" t="s">
        <v>604</v>
      </c>
    </row>
    <row r="635">
      <c r="A635" s="4" t="s">
        <v>605</v>
      </c>
    </row>
    <row r="636">
      <c r="A636" s="4" t="s">
        <v>606</v>
      </c>
    </row>
    <row r="637">
      <c r="A637" s="4" t="s">
        <v>607</v>
      </c>
    </row>
    <row r="638">
      <c r="A638" s="4" t="s">
        <v>608</v>
      </c>
    </row>
    <row r="639">
      <c r="A639" s="4" t="s">
        <v>609</v>
      </c>
    </row>
    <row r="640">
      <c r="A640" s="4" t="s">
        <v>610</v>
      </c>
    </row>
    <row r="641">
      <c r="A641" s="4" t="s">
        <v>611</v>
      </c>
    </row>
    <row r="642">
      <c r="A642" s="4" t="s">
        <v>612</v>
      </c>
    </row>
    <row r="643">
      <c r="A643" s="4" t="s">
        <v>613</v>
      </c>
    </row>
    <row r="644">
      <c r="A644" s="4" t="s">
        <v>614</v>
      </c>
    </row>
    <row r="645">
      <c r="A645" s="4" t="s">
        <v>615</v>
      </c>
    </row>
    <row r="646">
      <c r="A646" s="4" t="s">
        <v>616</v>
      </c>
    </row>
    <row r="647">
      <c r="A647" s="4" t="s">
        <v>617</v>
      </c>
    </row>
    <row r="648">
      <c r="A648" s="4" t="s">
        <v>618</v>
      </c>
    </row>
    <row r="649">
      <c r="A649" s="4" t="s">
        <v>619</v>
      </c>
    </row>
    <row r="650">
      <c r="A650" s="4"/>
    </row>
    <row r="651">
      <c r="A651" s="4" t="s">
        <v>620</v>
      </c>
    </row>
    <row r="652">
      <c r="A652" s="4" t="s">
        <v>621</v>
      </c>
    </row>
    <row r="653">
      <c r="A653" s="4" t="s">
        <v>622</v>
      </c>
    </row>
    <row r="654">
      <c r="A654" s="4" t="s">
        <v>623</v>
      </c>
    </row>
    <row r="655">
      <c r="A655" s="4" t="s">
        <v>624</v>
      </c>
    </row>
    <row r="656">
      <c r="A656" s="4" t="s">
        <v>625</v>
      </c>
    </row>
    <row r="657">
      <c r="A657" s="4" t="s">
        <v>626</v>
      </c>
    </row>
    <row r="658">
      <c r="A658" s="4" t="s">
        <v>627</v>
      </c>
    </row>
    <row r="659">
      <c r="A659" s="4" t="s">
        <v>628</v>
      </c>
    </row>
    <row r="660">
      <c r="A660" s="4" t="s">
        <v>629</v>
      </c>
    </row>
    <row r="661">
      <c r="A661" s="4" t="s">
        <v>630</v>
      </c>
    </row>
    <row r="662">
      <c r="A662" s="4" t="s">
        <v>631</v>
      </c>
    </row>
    <row r="663">
      <c r="A663" s="4" t="s">
        <v>632</v>
      </c>
    </row>
    <row r="664">
      <c r="A664" s="4" t="s">
        <v>633</v>
      </c>
    </row>
    <row r="665">
      <c r="A665" s="4" t="s">
        <v>634</v>
      </c>
    </row>
    <row r="666">
      <c r="A666" s="4" t="s">
        <v>635</v>
      </c>
    </row>
    <row r="667">
      <c r="A667" s="4" t="s">
        <v>636</v>
      </c>
    </row>
    <row r="668">
      <c r="A668" s="4" t="s">
        <v>637</v>
      </c>
    </row>
    <row r="669">
      <c r="A669" s="4" t="s">
        <v>638</v>
      </c>
    </row>
    <row r="670">
      <c r="A670" s="4"/>
    </row>
    <row r="671">
      <c r="A671" s="4" t="s">
        <v>639</v>
      </c>
    </row>
    <row r="672">
      <c r="A672" s="4" t="s">
        <v>640</v>
      </c>
    </row>
    <row r="673">
      <c r="A673" s="4" t="s">
        <v>641</v>
      </c>
    </row>
    <row r="674">
      <c r="A674" s="4" t="s">
        <v>642</v>
      </c>
    </row>
    <row r="675">
      <c r="A675" s="4" t="s">
        <v>643</v>
      </c>
    </row>
    <row r="676">
      <c r="A676" s="4" t="s">
        <v>644</v>
      </c>
    </row>
    <row r="677">
      <c r="A677" s="4" t="s">
        <v>645</v>
      </c>
    </row>
    <row r="678">
      <c r="A678" s="4" t="s">
        <v>646</v>
      </c>
    </row>
    <row r="679">
      <c r="A679" s="4" t="s">
        <v>647</v>
      </c>
    </row>
    <row r="680">
      <c r="A680" s="4" t="s">
        <v>648</v>
      </c>
    </row>
    <row r="681">
      <c r="A681" s="4" t="s">
        <v>649</v>
      </c>
    </row>
    <row r="682">
      <c r="A682" s="4" t="s">
        <v>650</v>
      </c>
    </row>
    <row r="683">
      <c r="A683" s="4" t="s">
        <v>651</v>
      </c>
    </row>
    <row r="684">
      <c r="A684" s="4" t="s">
        <v>652</v>
      </c>
    </row>
    <row r="685">
      <c r="A685" s="4" t="s">
        <v>653</v>
      </c>
    </row>
    <row r="686">
      <c r="A686" s="4" t="s">
        <v>654</v>
      </c>
    </row>
    <row r="687">
      <c r="A687" s="4"/>
    </row>
    <row r="688">
      <c r="A688" s="4" t="s">
        <v>655</v>
      </c>
    </row>
    <row r="689">
      <c r="A689" s="4" t="s">
        <v>656</v>
      </c>
    </row>
    <row r="690">
      <c r="A690" s="4" t="s">
        <v>657</v>
      </c>
    </row>
    <row r="691">
      <c r="A691" s="4" t="s">
        <v>658</v>
      </c>
    </row>
    <row r="692">
      <c r="A692" s="4" t="s">
        <v>659</v>
      </c>
    </row>
    <row r="693">
      <c r="A693" s="4" t="s">
        <v>660</v>
      </c>
    </row>
    <row r="694">
      <c r="A694" s="4" t="s">
        <v>661</v>
      </c>
    </row>
    <row r="695">
      <c r="A695" s="4" t="s">
        <v>662</v>
      </c>
    </row>
    <row r="696">
      <c r="A696" s="4" t="s">
        <v>663</v>
      </c>
    </row>
    <row r="697">
      <c r="A697" s="4" t="s">
        <v>664</v>
      </c>
    </row>
    <row r="698">
      <c r="A698" s="4" t="s">
        <v>665</v>
      </c>
    </row>
    <row r="699">
      <c r="A699" s="4"/>
    </row>
    <row r="700">
      <c r="A700" s="4" t="s">
        <v>666</v>
      </c>
    </row>
    <row r="701">
      <c r="A701" s="4" t="s">
        <v>667</v>
      </c>
    </row>
    <row r="702">
      <c r="A702" s="4" t="s">
        <v>668</v>
      </c>
    </row>
    <row r="703">
      <c r="A703" s="4" t="s">
        <v>669</v>
      </c>
    </row>
    <row r="704">
      <c r="A704" s="4" t="s">
        <v>670</v>
      </c>
    </row>
    <row r="705">
      <c r="A705" s="4" t="s">
        <v>671</v>
      </c>
    </row>
    <row r="706">
      <c r="A706" s="4" t="s">
        <v>672</v>
      </c>
    </row>
    <row r="707">
      <c r="A707" s="4" t="s">
        <v>673</v>
      </c>
    </row>
    <row r="708">
      <c r="A708" s="4" t="s">
        <v>674</v>
      </c>
    </row>
    <row r="709">
      <c r="A709" s="4" t="s">
        <v>675</v>
      </c>
    </row>
    <row r="710">
      <c r="A710" s="4" t="s">
        <v>676</v>
      </c>
    </row>
    <row r="711">
      <c r="A711" s="4"/>
    </row>
    <row r="712">
      <c r="A712" s="4" t="s">
        <v>677</v>
      </c>
    </row>
    <row r="713">
      <c r="A713" s="4" t="s">
        <v>678</v>
      </c>
    </row>
    <row r="714">
      <c r="A714" s="4" t="s">
        <v>679</v>
      </c>
    </row>
    <row r="715">
      <c r="A715" s="4" t="s">
        <v>680</v>
      </c>
    </row>
    <row r="716">
      <c r="A716" s="4" t="s">
        <v>681</v>
      </c>
    </row>
    <row r="717">
      <c r="A717" s="4" t="s">
        <v>682</v>
      </c>
    </row>
    <row r="718">
      <c r="A718" s="4" t="s">
        <v>683</v>
      </c>
    </row>
    <row r="719">
      <c r="A719" s="4" t="s">
        <v>684</v>
      </c>
    </row>
    <row r="720">
      <c r="A720" s="4" t="s">
        <v>685</v>
      </c>
    </row>
    <row r="721">
      <c r="A721" s="4" t="s">
        <v>686</v>
      </c>
    </row>
    <row r="722">
      <c r="A722" s="4" t="s">
        <v>687</v>
      </c>
    </row>
    <row r="723">
      <c r="A723" s="4" t="s">
        <v>688</v>
      </c>
    </row>
    <row r="724">
      <c r="A724" s="4" t="s">
        <v>689</v>
      </c>
    </row>
    <row r="725">
      <c r="A725" s="4"/>
    </row>
    <row r="726">
      <c r="A726" s="4" t="s">
        <v>690</v>
      </c>
    </row>
    <row r="727">
      <c r="A727" s="4" t="s">
        <v>691</v>
      </c>
    </row>
    <row r="728">
      <c r="A728" s="4" t="s">
        <v>692</v>
      </c>
    </row>
    <row r="729">
      <c r="A729" s="4" t="s">
        <v>693</v>
      </c>
    </row>
    <row r="730">
      <c r="A730" s="4" t="s">
        <v>694</v>
      </c>
    </row>
    <row r="731">
      <c r="A731" s="4" t="s">
        <v>695</v>
      </c>
    </row>
    <row r="732">
      <c r="A732" s="4" t="s">
        <v>696</v>
      </c>
    </row>
    <row r="733">
      <c r="A733" s="4" t="s">
        <v>697</v>
      </c>
    </row>
    <row r="734">
      <c r="A734" s="4" t="s">
        <v>698</v>
      </c>
    </row>
    <row r="735">
      <c r="A735" s="4" t="s">
        <v>699</v>
      </c>
    </row>
    <row r="736">
      <c r="A736" s="4" t="s">
        <v>700</v>
      </c>
    </row>
    <row r="737">
      <c r="A737" s="4"/>
    </row>
    <row r="738">
      <c r="A738" s="4" t="s">
        <v>701</v>
      </c>
    </row>
    <row r="739">
      <c r="A739" s="4" t="s">
        <v>702</v>
      </c>
    </row>
    <row r="740">
      <c r="A740" s="4" t="s">
        <v>703</v>
      </c>
    </row>
    <row r="741">
      <c r="A741" s="4" t="s">
        <v>704</v>
      </c>
    </row>
    <row r="742">
      <c r="A742" s="4" t="s">
        <v>705</v>
      </c>
    </row>
    <row r="743">
      <c r="A743" s="4"/>
    </row>
    <row r="744">
      <c r="A744" s="4" t="s">
        <v>706</v>
      </c>
    </row>
    <row r="745">
      <c r="A745" s="4" t="s">
        <v>707</v>
      </c>
    </row>
    <row r="746">
      <c r="A746" s="4" t="s">
        <v>708</v>
      </c>
    </row>
    <row r="747">
      <c r="A747" s="4" t="s">
        <v>709</v>
      </c>
    </row>
    <row r="748">
      <c r="A748" s="4" t="s">
        <v>710</v>
      </c>
    </row>
    <row r="749">
      <c r="A749" s="4" t="s">
        <v>711</v>
      </c>
    </row>
    <row r="750">
      <c r="A750" s="4" t="s">
        <v>712</v>
      </c>
    </row>
    <row r="751">
      <c r="A751" s="4"/>
    </row>
    <row r="752">
      <c r="A752" s="4" t="s">
        <v>713</v>
      </c>
    </row>
    <row r="753">
      <c r="A753" s="4" t="s">
        <v>714</v>
      </c>
    </row>
    <row r="754">
      <c r="A754" s="4" t="s">
        <v>715</v>
      </c>
    </row>
    <row r="755">
      <c r="A755" s="4" t="s">
        <v>716</v>
      </c>
    </row>
    <row r="756">
      <c r="A756" s="4" t="s">
        <v>717</v>
      </c>
    </row>
    <row r="757">
      <c r="A757" s="4" t="s">
        <v>718</v>
      </c>
    </row>
    <row r="758">
      <c r="A758" s="4" t="s">
        <v>719</v>
      </c>
    </row>
    <row r="759">
      <c r="A759" s="4"/>
    </row>
    <row r="760">
      <c r="A760" s="4" t="s">
        <v>720</v>
      </c>
    </row>
    <row r="761">
      <c r="A761" s="4" t="s">
        <v>721</v>
      </c>
    </row>
    <row r="762">
      <c r="A762" s="4" t="s">
        <v>722</v>
      </c>
    </row>
    <row r="763">
      <c r="A763" s="4" t="s">
        <v>723</v>
      </c>
    </row>
    <row r="764">
      <c r="A764" s="4" t="s">
        <v>724</v>
      </c>
    </row>
    <row r="765">
      <c r="A765" s="4"/>
    </row>
    <row r="766">
      <c r="A766" s="4" t="s">
        <v>725</v>
      </c>
    </row>
    <row r="767">
      <c r="A767" s="4" t="s">
        <v>726</v>
      </c>
    </row>
    <row r="768">
      <c r="A768" s="4" t="s">
        <v>727</v>
      </c>
    </row>
    <row r="769">
      <c r="A769" s="4" t="s">
        <v>728</v>
      </c>
    </row>
    <row r="770">
      <c r="A770" s="4" t="s">
        <v>729</v>
      </c>
    </row>
    <row r="771">
      <c r="A771" s="4" t="s">
        <v>730</v>
      </c>
    </row>
    <row r="772">
      <c r="A772" s="4"/>
    </row>
    <row r="773">
      <c r="A773" s="4" t="s">
        <v>731</v>
      </c>
    </row>
    <row r="774">
      <c r="A774" s="4" t="s">
        <v>732</v>
      </c>
    </row>
    <row r="775">
      <c r="A775" s="4" t="s">
        <v>733</v>
      </c>
    </row>
    <row r="776">
      <c r="A776" s="4"/>
    </row>
    <row r="777">
      <c r="A777" s="4" t="s">
        <v>734</v>
      </c>
    </row>
    <row r="778">
      <c r="A778" s="4" t="s">
        <v>735</v>
      </c>
    </row>
    <row r="779">
      <c r="A779" s="4" t="s">
        <v>736</v>
      </c>
    </row>
    <row r="780">
      <c r="A780" s="4" t="s">
        <v>737</v>
      </c>
    </row>
    <row r="781">
      <c r="A781" s="4"/>
    </row>
    <row r="782">
      <c r="A782" s="4" t="s">
        <v>738</v>
      </c>
    </row>
    <row r="783">
      <c r="A783" s="4" t="s">
        <v>739</v>
      </c>
    </row>
    <row r="784">
      <c r="A784" s="4" t="s">
        <v>740</v>
      </c>
    </row>
    <row r="785">
      <c r="A785" s="4" t="s">
        <v>741</v>
      </c>
    </row>
    <row r="786">
      <c r="A786" s="4"/>
    </row>
    <row r="787">
      <c r="A787" s="4" t="s">
        <v>742</v>
      </c>
    </row>
    <row r="788">
      <c r="A788" s="4" t="s">
        <v>743</v>
      </c>
    </row>
    <row r="789">
      <c r="A789" s="4"/>
    </row>
    <row r="790">
      <c r="A790" s="4" t="s">
        <v>744</v>
      </c>
    </row>
    <row r="791">
      <c r="A791" s="4" t="s">
        <v>745</v>
      </c>
    </row>
    <row r="792">
      <c r="A792" s="4"/>
    </row>
    <row r="793">
      <c r="A793" s="4" t="s">
        <v>746</v>
      </c>
    </row>
    <row r="794">
      <c r="A794" s="4" t="s">
        <v>747</v>
      </c>
    </row>
    <row r="795">
      <c r="A795" s="4"/>
    </row>
    <row r="796">
      <c r="A796" s="4" t="s">
        <v>748</v>
      </c>
    </row>
    <row r="797">
      <c r="A797" s="4" t="s">
        <v>749</v>
      </c>
    </row>
    <row r="798">
      <c r="A798" s="4"/>
    </row>
    <row r="799">
      <c r="A799" s="4" t="s">
        <v>750</v>
      </c>
    </row>
    <row r="800">
      <c r="A800" s="4" t="s">
        <v>751</v>
      </c>
    </row>
    <row r="801">
      <c r="A801" s="4"/>
    </row>
    <row r="802">
      <c r="A802" s="4" t="s">
        <v>752</v>
      </c>
    </row>
    <row r="803">
      <c r="A803" s="4"/>
    </row>
    <row r="804">
      <c r="A804" s="4" t="s">
        <v>753</v>
      </c>
    </row>
    <row r="805">
      <c r="A805" s="4"/>
      <c r="K805" s="2" t="s">
        <v>14</v>
      </c>
    </row>
    <row r="806">
      <c r="A806" s="4" t="s">
        <v>754</v>
      </c>
      <c r="G806" s="5">
        <v>4.0</v>
      </c>
      <c r="K806" s="6">
        <f>counta(H824:H1297)</f>
        <v>121</v>
      </c>
    </row>
    <row r="807">
      <c r="A807" s="4" t="s">
        <v>755</v>
      </c>
      <c r="K807" s="6">
        <f>sum(H824:H1297)/K806</f>
        <v>0.7468595041</v>
      </c>
    </row>
    <row r="808">
      <c r="A808" s="4" t="s">
        <v>756</v>
      </c>
    </row>
    <row r="809">
      <c r="A809" s="4" t="s">
        <v>757</v>
      </c>
    </row>
    <row r="810">
      <c r="A810" s="4" t="s">
        <v>758</v>
      </c>
    </row>
    <row r="811">
      <c r="A811" s="4" t="s">
        <v>759</v>
      </c>
    </row>
    <row r="812">
      <c r="A812" s="4" t="s">
        <v>760</v>
      </c>
    </row>
    <row r="813">
      <c r="A813" s="4" t="s">
        <v>761</v>
      </c>
      <c r="I813" s="6">
        <f>counta(C824:C827,C830:C836,C838:C843,C846:C848,C915:C931,C934:C937,C939,C955:C958,C960:C963,C966:C967,C972:C973,C992:C999,C1001,C1003,C1005:C1007,C1011:C1012,C1014:C1017,C1020:C1021,C1046:C1049,C1051,C1053,C1055:C1061,C1063:C1065,C1067:C1069,C1071,C1150:C1161)</f>
        <v>107</v>
      </c>
    </row>
    <row r="814">
      <c r="A814" s="4" t="s">
        <v>762</v>
      </c>
      <c r="I814" s="6">
        <f>sum(C824:C827,C830:C836,C838:C843,C846:C848,C915:C931,C934:C937,C939,C955:C958,C960:C963,C966:C967,C972:C973,C992:C999,C1001,C1003,C1005:C1007,C1011:C1012,C1014:C1017,C1020:C1021,C1046:C1049,C1051,C1053,C1055:C1061,C1063:C1065,C1067:C1069,C1071,C1150:C1161)/107</f>
        <v>19.29906542</v>
      </c>
    </row>
    <row r="815">
      <c r="A815" s="4" t="s">
        <v>763</v>
      </c>
    </row>
    <row r="816">
      <c r="A816" s="4" t="s">
        <v>764</v>
      </c>
      <c r="I816" s="6">
        <f>counta(C828:C829,C837,C845,C932,C959,C964,C1000,C1004,C1010,C1013,C1019,C1050,C1052,C1062,C1066,C1070)</f>
        <v>17</v>
      </c>
    </row>
    <row r="817">
      <c r="A817" s="4" t="s">
        <v>765</v>
      </c>
      <c r="I817" s="6">
        <f>sum(C828:C829,C837,C845,C932,C959,C964,C1000,C1004,C1010,C1013,C1019,C1050,C1052,C1062,C1066,C1070)/17</f>
        <v>22.08823529</v>
      </c>
    </row>
    <row r="818">
      <c r="A818" s="4" t="s">
        <v>766</v>
      </c>
    </row>
    <row r="819">
      <c r="A819" s="4" t="s">
        <v>767</v>
      </c>
      <c r="I819" s="6">
        <f>counta(D824:D827,D830:D836,D838:D843,D846:D848,D915:D931,D934:D937,D939,D955:D958,D960:D963,D966:D967,D972:D973,D992:D999,D1001,D1003,D1005:D1007,D1011:D1012,D1014:D1017,D1020:D1021,D1046:D1049,D1051,D1053,D1055:D1061,D1063:D1065,D1067:D1069,D1071,D1150:D1161)</f>
        <v>107</v>
      </c>
    </row>
    <row r="820">
      <c r="A820" s="4" t="s">
        <v>768</v>
      </c>
      <c r="I820" s="6">
        <f>sum(D824:D827,D830:D836,D838:D843,D846:D848,D915:D931,D934:D937,D939,D955:D958,D960:D963,D966:D967,D972:D973,D992:D999,D1001,D1003,D1005:D1007,D1011:D1012,D1014:D1017,D1020:D1021,D1046:D1049,D1051,D1053,D1055:D1061,D1063:D1065,D1067:D1069,D1071,D1150:D1161)/107</f>
        <v>18.9728972</v>
      </c>
    </row>
    <row r="821">
      <c r="A821" s="4" t="s">
        <v>769</v>
      </c>
    </row>
    <row r="822">
      <c r="A822" s="4" t="s">
        <v>770</v>
      </c>
      <c r="I822" s="6">
        <f>counta(D828:D829,D837,D845,D932,D959,D964,D1000,D1004,D1010,D1013,D1019,D1050,D1052,D1062,D1066,D1070)</f>
        <v>17</v>
      </c>
    </row>
    <row r="823">
      <c r="A823" s="4"/>
      <c r="I823" s="6">
        <f>sum(D828:D829,D837,D845,D932,D959,D964,D1000,D1004,D1010,D1013,D1019,D1050,D1052,D1062,D1066,D1070)/17</f>
        <v>21.92352941</v>
      </c>
    </row>
    <row r="824">
      <c r="A824" s="4" t="s">
        <v>771</v>
      </c>
      <c r="B824" s="5">
        <v>1185.0</v>
      </c>
      <c r="C824" s="5">
        <v>22.5</v>
      </c>
      <c r="D824" s="5">
        <v>22.1</v>
      </c>
      <c r="F824" s="5">
        <v>10.24</v>
      </c>
      <c r="H824" s="5">
        <v>2.17</v>
      </c>
    </row>
    <row r="825">
      <c r="A825" s="4" t="s">
        <v>772</v>
      </c>
      <c r="B825" s="5">
        <v>1184.0</v>
      </c>
      <c r="C825" s="5">
        <v>19.3</v>
      </c>
      <c r="D825" s="5">
        <v>15.2</v>
      </c>
      <c r="F825" s="5">
        <v>10.58</v>
      </c>
      <c r="H825" s="5">
        <v>2.63</v>
      </c>
    </row>
    <row r="826">
      <c r="A826" s="4" t="s">
        <v>773</v>
      </c>
      <c r="B826" s="5">
        <v>1183.0</v>
      </c>
      <c r="C826" s="5">
        <v>23.2</v>
      </c>
      <c r="D826" s="5">
        <v>10.8</v>
      </c>
      <c r="F826" s="5">
        <v>8.26</v>
      </c>
      <c r="H826" s="5">
        <v>1.15</v>
      </c>
    </row>
    <row r="827">
      <c r="A827" s="4" t="s">
        <v>774</v>
      </c>
      <c r="B827" s="5">
        <v>1180.0</v>
      </c>
      <c r="C827" s="5">
        <v>22.4</v>
      </c>
      <c r="D827" s="5">
        <v>27.6</v>
      </c>
      <c r="F827" s="5">
        <v>9.57</v>
      </c>
      <c r="H827" s="5">
        <v>2.02</v>
      </c>
    </row>
    <row r="828">
      <c r="A828" s="4" t="s">
        <v>775</v>
      </c>
      <c r="B828" s="5">
        <v>1174.0</v>
      </c>
      <c r="C828" s="5">
        <v>24.8</v>
      </c>
      <c r="D828" s="5">
        <v>36.3</v>
      </c>
      <c r="E828" s="5">
        <v>6.7</v>
      </c>
      <c r="F828" s="5">
        <v>7.67</v>
      </c>
      <c r="H828" s="5">
        <v>1.55</v>
      </c>
    </row>
    <row r="829">
      <c r="A829" s="4" t="s">
        <v>776</v>
      </c>
      <c r="B829" s="5">
        <v>1179.0</v>
      </c>
      <c r="C829" s="5">
        <v>28.6</v>
      </c>
      <c r="D829" s="5">
        <v>33.0</v>
      </c>
      <c r="E829" s="5">
        <v>7.9</v>
      </c>
      <c r="F829" s="5">
        <v>10.38</v>
      </c>
      <c r="H829" s="5">
        <v>2.22</v>
      </c>
    </row>
    <row r="830">
      <c r="A830" s="4" t="s">
        <v>777</v>
      </c>
      <c r="B830" s="5">
        <v>1177.0</v>
      </c>
      <c r="C830" s="5">
        <v>23.3</v>
      </c>
      <c r="D830" s="5">
        <v>22.0</v>
      </c>
      <c r="F830" s="5">
        <v>8.47</v>
      </c>
      <c r="H830" s="5">
        <v>1.25</v>
      </c>
    </row>
    <row r="831">
      <c r="A831" s="4" t="s">
        <v>778</v>
      </c>
      <c r="B831" s="5">
        <v>1182.0</v>
      </c>
      <c r="C831" s="5">
        <v>18.7</v>
      </c>
      <c r="D831" s="5">
        <v>27.0</v>
      </c>
      <c r="F831" s="5">
        <v>7.53</v>
      </c>
      <c r="H831" s="5">
        <v>1.2</v>
      </c>
    </row>
    <row r="832">
      <c r="A832" s="4" t="s">
        <v>779</v>
      </c>
      <c r="B832" s="5">
        <v>1170.0</v>
      </c>
      <c r="C832" s="5">
        <v>22.3</v>
      </c>
      <c r="D832" s="5">
        <v>23.0</v>
      </c>
      <c r="F832" s="5">
        <v>9.08</v>
      </c>
      <c r="H832" s="5">
        <v>1.72</v>
      </c>
    </row>
    <row r="833">
      <c r="A833" s="4" t="s">
        <v>780</v>
      </c>
      <c r="B833" s="5">
        <v>1164.0</v>
      </c>
      <c r="C833" s="5">
        <v>20.6</v>
      </c>
      <c r="D833" s="5">
        <v>16.0</v>
      </c>
      <c r="F833" s="5">
        <v>7.42</v>
      </c>
      <c r="H833" s="5">
        <v>1.52</v>
      </c>
    </row>
    <row r="834">
      <c r="A834" s="4" t="s">
        <v>781</v>
      </c>
      <c r="B834" s="5">
        <v>1171.0</v>
      </c>
      <c r="C834" s="5">
        <v>28.0</v>
      </c>
      <c r="D834" s="5">
        <v>27.2</v>
      </c>
      <c r="F834" s="5">
        <v>5.59</v>
      </c>
      <c r="H834" s="5">
        <v>0.59</v>
      </c>
    </row>
    <row r="835">
      <c r="A835" s="4" t="s">
        <v>782</v>
      </c>
      <c r="B835" s="5">
        <v>1176.0</v>
      </c>
      <c r="C835" s="5">
        <v>22.2</v>
      </c>
      <c r="D835" s="5">
        <v>19.0</v>
      </c>
      <c r="F835" s="5">
        <v>8.37</v>
      </c>
      <c r="H835" s="5">
        <v>1.1</v>
      </c>
    </row>
    <row r="836">
      <c r="A836" s="4" t="s">
        <v>783</v>
      </c>
      <c r="B836" s="5">
        <v>1173.0</v>
      </c>
      <c r="C836" s="5">
        <v>21.6</v>
      </c>
      <c r="D836" s="5">
        <v>15.4</v>
      </c>
      <c r="F836" s="5">
        <v>7.66</v>
      </c>
      <c r="H836" s="5">
        <v>0.89</v>
      </c>
    </row>
    <row r="837">
      <c r="A837" s="4" t="s">
        <v>784</v>
      </c>
      <c r="B837" s="5">
        <v>1178.0</v>
      </c>
      <c r="C837" s="5">
        <v>27.5</v>
      </c>
      <c r="D837" s="5">
        <v>29.5</v>
      </c>
      <c r="F837" s="5">
        <v>8.97</v>
      </c>
      <c r="H837" s="5">
        <v>1.54</v>
      </c>
    </row>
    <row r="838">
      <c r="A838" s="4" t="s">
        <v>785</v>
      </c>
      <c r="B838" s="5">
        <v>1181.0</v>
      </c>
      <c r="C838" s="5">
        <v>22.6</v>
      </c>
      <c r="D838" s="5">
        <v>21.7</v>
      </c>
      <c r="F838" s="5">
        <v>7.95</v>
      </c>
      <c r="H838" s="5">
        <v>1.07</v>
      </c>
    </row>
    <row r="839">
      <c r="A839" s="4" t="s">
        <v>786</v>
      </c>
      <c r="B839" s="5">
        <v>1162.0</v>
      </c>
      <c r="C839" s="5">
        <v>23.0</v>
      </c>
      <c r="D839" s="5">
        <v>16.1</v>
      </c>
      <c r="F839" s="5">
        <v>7.11</v>
      </c>
      <c r="H839" s="5">
        <v>0.98</v>
      </c>
    </row>
    <row r="840">
      <c r="A840" s="4" t="s">
        <v>787</v>
      </c>
      <c r="B840" s="5">
        <v>1163.0</v>
      </c>
      <c r="C840" s="5">
        <v>10.9</v>
      </c>
      <c r="D840" s="5">
        <v>12.8</v>
      </c>
      <c r="F840" s="5">
        <v>5.85</v>
      </c>
      <c r="H840" s="5">
        <v>0.55</v>
      </c>
    </row>
    <row r="841">
      <c r="A841" s="4" t="s">
        <v>788</v>
      </c>
      <c r="B841" s="5">
        <v>1172.0</v>
      </c>
      <c r="C841" s="5">
        <v>16.4</v>
      </c>
      <c r="D841" s="5">
        <v>12.1</v>
      </c>
      <c r="F841" s="5">
        <v>6.76</v>
      </c>
      <c r="H841" s="5">
        <v>0.62</v>
      </c>
    </row>
    <row r="842">
      <c r="A842" s="4" t="s">
        <v>789</v>
      </c>
      <c r="B842" s="5">
        <v>1165.0</v>
      </c>
      <c r="C842" s="5">
        <v>20.2</v>
      </c>
      <c r="D842" s="5">
        <v>15.7</v>
      </c>
      <c r="F842" s="5">
        <v>5.66</v>
      </c>
      <c r="H842" s="5">
        <v>0.53</v>
      </c>
    </row>
    <row r="843">
      <c r="A843" s="4" t="s">
        <v>790</v>
      </c>
      <c r="B843" s="5">
        <v>1175.0</v>
      </c>
      <c r="C843" s="5">
        <v>14.4</v>
      </c>
      <c r="D843" s="5">
        <v>12.3</v>
      </c>
      <c r="F843" s="5">
        <v>4.73</v>
      </c>
      <c r="H843" s="5">
        <v>1.69</v>
      </c>
    </row>
    <row r="844">
      <c r="A844" s="4" t="s">
        <v>791</v>
      </c>
    </row>
    <row r="845">
      <c r="A845" s="4" t="s">
        <v>792</v>
      </c>
      <c r="B845" s="5">
        <v>1167.0</v>
      </c>
      <c r="C845" s="5">
        <v>12.5</v>
      </c>
      <c r="D845" s="5">
        <v>16.6</v>
      </c>
      <c r="F845" s="5">
        <v>5.04</v>
      </c>
      <c r="H845" s="5">
        <v>0.61</v>
      </c>
    </row>
    <row r="846">
      <c r="A846" s="4" t="s">
        <v>793</v>
      </c>
      <c r="B846" s="5">
        <v>1168.0</v>
      </c>
      <c r="C846" s="5">
        <v>21.5</v>
      </c>
      <c r="D846" s="5">
        <v>8.8</v>
      </c>
      <c r="E846" s="5">
        <v>11.0</v>
      </c>
      <c r="F846" s="5">
        <v>4.88</v>
      </c>
      <c r="H846" s="5">
        <v>0.45</v>
      </c>
    </row>
    <row r="847">
      <c r="A847" s="4" t="s">
        <v>794</v>
      </c>
      <c r="B847" s="5">
        <v>1169.0</v>
      </c>
      <c r="C847" s="5">
        <v>10.1</v>
      </c>
      <c r="D847" s="5">
        <v>11.6</v>
      </c>
      <c r="F847" s="5">
        <v>5.4</v>
      </c>
      <c r="H847" s="5">
        <v>0.55</v>
      </c>
    </row>
    <row r="848">
      <c r="A848" s="4" t="s">
        <v>795</v>
      </c>
      <c r="B848" s="5">
        <v>1166.0</v>
      </c>
      <c r="C848" s="5">
        <v>11.5</v>
      </c>
      <c r="D848" s="5">
        <v>9.2</v>
      </c>
      <c r="F848" s="5">
        <v>3.38</v>
      </c>
      <c r="H848" s="5">
        <v>0.12</v>
      </c>
    </row>
    <row r="849">
      <c r="A849" s="4"/>
    </row>
    <row r="850">
      <c r="A850" s="4" t="s">
        <v>796</v>
      </c>
    </row>
    <row r="851">
      <c r="A851" s="4" t="s">
        <v>797</v>
      </c>
    </row>
    <row r="852">
      <c r="A852" s="4" t="s">
        <v>798</v>
      </c>
    </row>
    <row r="853">
      <c r="A853" s="4" t="s">
        <v>799</v>
      </c>
    </row>
    <row r="854">
      <c r="A854" s="4" t="s">
        <v>800</v>
      </c>
    </row>
    <row r="855">
      <c r="A855" s="4" t="s">
        <v>801</v>
      </c>
    </row>
    <row r="856">
      <c r="A856" s="4" t="s">
        <v>802</v>
      </c>
    </row>
    <row r="857">
      <c r="A857" s="8" t="s">
        <v>803</v>
      </c>
    </row>
    <row r="858">
      <c r="A858" s="4" t="s">
        <v>804</v>
      </c>
    </row>
    <row r="859">
      <c r="A859" s="8" t="s">
        <v>805</v>
      </c>
    </row>
    <row r="860">
      <c r="A860" s="4" t="s">
        <v>806</v>
      </c>
    </row>
    <row r="861">
      <c r="A861" s="4" t="s">
        <v>807</v>
      </c>
    </row>
    <row r="862">
      <c r="A862" s="4"/>
    </row>
    <row r="863">
      <c r="A863" s="4" t="s">
        <v>808</v>
      </c>
    </row>
    <row r="864">
      <c r="A864" s="4" t="s">
        <v>809</v>
      </c>
    </row>
    <row r="865">
      <c r="A865" s="4" t="s">
        <v>810</v>
      </c>
    </row>
    <row r="866">
      <c r="A866" s="4" t="s">
        <v>811</v>
      </c>
    </row>
    <row r="867">
      <c r="A867" s="4" t="s">
        <v>812</v>
      </c>
    </row>
    <row r="868">
      <c r="A868" s="4" t="s">
        <v>813</v>
      </c>
    </row>
    <row r="869">
      <c r="A869" s="4" t="s">
        <v>814</v>
      </c>
    </row>
    <row r="870">
      <c r="A870" s="4" t="s">
        <v>815</v>
      </c>
    </row>
    <row r="871">
      <c r="A871" s="4" t="s">
        <v>816</v>
      </c>
    </row>
    <row r="872">
      <c r="A872" s="4" t="s">
        <v>817</v>
      </c>
    </row>
    <row r="873">
      <c r="A873" s="4" t="s">
        <v>818</v>
      </c>
    </row>
    <row r="874">
      <c r="A874" s="4" t="s">
        <v>819</v>
      </c>
    </row>
    <row r="875">
      <c r="A875" s="4" t="s">
        <v>820</v>
      </c>
    </row>
    <row r="876">
      <c r="A876" s="4" t="s">
        <v>815</v>
      </c>
    </row>
    <row r="877">
      <c r="A877" s="4" t="s">
        <v>821</v>
      </c>
    </row>
    <row r="878">
      <c r="A878" s="4" t="s">
        <v>822</v>
      </c>
    </row>
    <row r="879">
      <c r="A879" s="10" t="s">
        <v>823</v>
      </c>
    </row>
    <row r="880">
      <c r="A880" s="4" t="s">
        <v>824</v>
      </c>
    </row>
    <row r="881">
      <c r="A881" s="4" t="s">
        <v>825</v>
      </c>
    </row>
    <row r="882">
      <c r="A882" s="4" t="s">
        <v>826</v>
      </c>
    </row>
    <row r="883">
      <c r="A883" s="4" t="s">
        <v>827</v>
      </c>
    </row>
    <row r="884">
      <c r="A884" s="4" t="s">
        <v>828</v>
      </c>
    </row>
    <row r="885">
      <c r="A885" s="4" t="s">
        <v>829</v>
      </c>
    </row>
    <row r="886">
      <c r="A886" s="4" t="s">
        <v>830</v>
      </c>
    </row>
    <row r="887">
      <c r="A887" s="4" t="s">
        <v>831</v>
      </c>
    </row>
    <row r="888">
      <c r="A888" s="4" t="s">
        <v>832</v>
      </c>
    </row>
    <row r="889">
      <c r="A889" s="4" t="s">
        <v>833</v>
      </c>
    </row>
    <row r="890">
      <c r="A890" s="4" t="s">
        <v>834</v>
      </c>
    </row>
    <row r="891">
      <c r="A891" s="4" t="s">
        <v>835</v>
      </c>
    </row>
    <row r="892">
      <c r="A892" s="4" t="s">
        <v>836</v>
      </c>
    </row>
    <row r="893">
      <c r="A893" s="4"/>
    </row>
    <row r="894">
      <c r="A894" s="4" t="s">
        <v>837</v>
      </c>
    </row>
    <row r="895">
      <c r="A895" s="4" t="s">
        <v>838</v>
      </c>
    </row>
    <row r="896">
      <c r="A896" s="4" t="s">
        <v>839</v>
      </c>
    </row>
    <row r="897">
      <c r="A897" s="4" t="s">
        <v>840</v>
      </c>
    </row>
    <row r="898">
      <c r="A898" s="4" t="s">
        <v>841</v>
      </c>
    </row>
    <row r="899">
      <c r="A899" s="4" t="s">
        <v>842</v>
      </c>
    </row>
    <row r="900">
      <c r="A900" s="4" t="s">
        <v>843</v>
      </c>
    </row>
    <row r="901">
      <c r="A901" s="4" t="s">
        <v>844</v>
      </c>
    </row>
    <row r="902">
      <c r="A902" s="4" t="s">
        <v>845</v>
      </c>
    </row>
    <row r="903">
      <c r="A903" s="4" t="s">
        <v>846</v>
      </c>
    </row>
    <row r="904">
      <c r="A904" s="4" t="s">
        <v>847</v>
      </c>
    </row>
    <row r="905">
      <c r="A905" s="4" t="s">
        <v>848</v>
      </c>
    </row>
    <row r="906">
      <c r="A906" s="4" t="s">
        <v>849</v>
      </c>
    </row>
    <row r="907">
      <c r="A907" s="4" t="s">
        <v>850</v>
      </c>
    </row>
    <row r="908">
      <c r="A908" s="4" t="s">
        <v>851</v>
      </c>
    </row>
    <row r="909">
      <c r="A909" s="4" t="s">
        <v>852</v>
      </c>
    </row>
    <row r="910">
      <c r="A910" s="4" t="s">
        <v>853</v>
      </c>
    </row>
    <row r="911">
      <c r="A911" s="4" t="s">
        <v>854</v>
      </c>
    </row>
    <row r="912">
      <c r="A912" s="4" t="s">
        <v>855</v>
      </c>
    </row>
    <row r="913">
      <c r="A913" s="4" t="s">
        <v>856</v>
      </c>
    </row>
    <row r="914">
      <c r="A914" s="4"/>
    </row>
    <row r="915">
      <c r="A915" s="4" t="s">
        <v>857</v>
      </c>
      <c r="B915" s="5">
        <v>1135.0</v>
      </c>
      <c r="C915" s="5">
        <v>10.7</v>
      </c>
      <c r="D915" s="5">
        <v>19.0</v>
      </c>
      <c r="F915" s="5">
        <v>8.19</v>
      </c>
      <c r="H915" s="5">
        <v>1.67</v>
      </c>
    </row>
    <row r="916">
      <c r="A916" s="4" t="s">
        <v>858</v>
      </c>
      <c r="B916" s="5">
        <v>1134.0</v>
      </c>
      <c r="C916" s="5">
        <v>12.2</v>
      </c>
      <c r="D916" s="5">
        <v>18.1</v>
      </c>
      <c r="F916" s="5">
        <v>8.52</v>
      </c>
      <c r="H916" s="5">
        <v>1.52</v>
      </c>
    </row>
    <row r="917">
      <c r="A917" s="4" t="s">
        <v>859</v>
      </c>
      <c r="B917" s="5">
        <v>1133.0</v>
      </c>
      <c r="C917" s="5">
        <v>26.8</v>
      </c>
      <c r="D917" s="5">
        <v>25.5</v>
      </c>
      <c r="F917" s="5">
        <v>7.58</v>
      </c>
      <c r="H917" s="5">
        <v>1.07</v>
      </c>
    </row>
    <row r="918">
      <c r="A918" s="4" t="s">
        <v>860</v>
      </c>
      <c r="B918" s="5">
        <v>1130.0</v>
      </c>
      <c r="C918" s="5">
        <v>26.2</v>
      </c>
      <c r="D918" s="5">
        <v>32.9</v>
      </c>
      <c r="F918" s="5">
        <v>6.32</v>
      </c>
      <c r="H918" s="5">
        <v>0.63</v>
      </c>
    </row>
    <row r="919">
      <c r="A919" s="4" t="s">
        <v>861</v>
      </c>
      <c r="B919" s="5">
        <v>1131.0</v>
      </c>
      <c r="C919" s="5">
        <v>10.4</v>
      </c>
      <c r="D919" s="5">
        <v>18.7</v>
      </c>
      <c r="F919" s="5">
        <v>7.11</v>
      </c>
      <c r="H919" s="5">
        <v>0.69</v>
      </c>
    </row>
    <row r="920">
      <c r="A920" s="4" t="s">
        <v>862</v>
      </c>
      <c r="B920" s="5">
        <v>1116.0</v>
      </c>
      <c r="C920" s="5">
        <v>8.5</v>
      </c>
      <c r="D920" s="5">
        <v>24.0</v>
      </c>
      <c r="F920" s="5">
        <v>6.16</v>
      </c>
      <c r="H920" s="5">
        <v>0.45</v>
      </c>
    </row>
    <row r="921">
      <c r="A921" s="4" t="s">
        <v>863</v>
      </c>
      <c r="B921" s="5">
        <v>1126.0</v>
      </c>
      <c r="C921" s="5">
        <v>25.6</v>
      </c>
      <c r="D921" s="5">
        <v>23.5</v>
      </c>
      <c r="F921" s="5">
        <v>8.01</v>
      </c>
      <c r="H921" s="5">
        <v>1.2</v>
      </c>
    </row>
    <row r="922">
      <c r="A922" s="4" t="s">
        <v>864</v>
      </c>
      <c r="B922" s="5">
        <v>1132.0</v>
      </c>
      <c r="C922" s="5">
        <v>32.7</v>
      </c>
      <c r="D922" s="5">
        <v>36.4</v>
      </c>
      <c r="F922" s="5">
        <v>7.2</v>
      </c>
      <c r="H922" s="5">
        <v>0.57</v>
      </c>
    </row>
    <row r="923">
      <c r="A923" s="4" t="s">
        <v>865</v>
      </c>
      <c r="B923" s="5">
        <v>1115.0</v>
      </c>
      <c r="C923" s="5">
        <v>21.5</v>
      </c>
      <c r="D923" s="5">
        <v>21.0</v>
      </c>
      <c r="F923" s="5">
        <v>6.25</v>
      </c>
      <c r="H923" s="5">
        <v>0.64</v>
      </c>
    </row>
    <row r="924">
      <c r="A924" s="4" t="s">
        <v>866</v>
      </c>
      <c r="B924" s="5">
        <v>1129.0</v>
      </c>
      <c r="C924" s="5">
        <v>22.2</v>
      </c>
      <c r="D924" s="5">
        <v>21.3</v>
      </c>
      <c r="F924" s="5">
        <v>6.81</v>
      </c>
      <c r="H924" s="5">
        <v>0.79</v>
      </c>
    </row>
    <row r="925">
      <c r="A925" s="4" t="s">
        <v>867</v>
      </c>
      <c r="B925" s="5">
        <v>1127.0</v>
      </c>
      <c r="C925" s="5">
        <v>29.7</v>
      </c>
      <c r="D925" s="5">
        <v>22.5</v>
      </c>
      <c r="F925" s="5">
        <v>6.44</v>
      </c>
      <c r="H925" s="5">
        <v>0.58</v>
      </c>
    </row>
    <row r="926">
      <c r="A926" s="4" t="s">
        <v>868</v>
      </c>
      <c r="B926" s="5">
        <v>1118.0</v>
      </c>
      <c r="C926" s="5">
        <v>14.1</v>
      </c>
      <c r="D926" s="5">
        <v>11.4</v>
      </c>
      <c r="F926" s="5">
        <v>5.59</v>
      </c>
      <c r="H926" s="5">
        <v>0.56</v>
      </c>
    </row>
    <row r="927">
      <c r="A927" s="4" t="s">
        <v>869</v>
      </c>
      <c r="B927" s="5">
        <v>1119.0</v>
      </c>
      <c r="C927" s="5">
        <v>22.5</v>
      </c>
      <c r="D927" s="5">
        <v>14.5</v>
      </c>
      <c r="F927" s="5">
        <v>5.31</v>
      </c>
      <c r="H927" s="5">
        <v>0.64</v>
      </c>
    </row>
    <row r="928">
      <c r="A928" s="4" t="s">
        <v>870</v>
      </c>
      <c r="B928" s="5">
        <v>1125.0</v>
      </c>
      <c r="C928" s="5">
        <v>20.1</v>
      </c>
      <c r="D928" s="5">
        <v>18.7</v>
      </c>
      <c r="F928" s="5">
        <v>5.08</v>
      </c>
      <c r="H928" s="5">
        <v>0.41</v>
      </c>
    </row>
    <row r="929">
      <c r="A929" s="4" t="s">
        <v>871</v>
      </c>
      <c r="B929" s="5">
        <v>1114.0</v>
      </c>
      <c r="C929" s="5">
        <v>18.9</v>
      </c>
      <c r="D929" s="5">
        <v>15.2</v>
      </c>
      <c r="F929" s="5">
        <v>6.46</v>
      </c>
      <c r="H929" s="5">
        <v>0.49</v>
      </c>
    </row>
    <row r="930">
      <c r="A930" s="4" t="s">
        <v>872</v>
      </c>
      <c r="B930" s="5">
        <v>1128.0</v>
      </c>
      <c r="C930" s="5">
        <v>16.8</v>
      </c>
      <c r="D930" s="5">
        <v>15.5</v>
      </c>
      <c r="F930" s="5">
        <v>5.86</v>
      </c>
      <c r="H930" s="5">
        <v>0.7</v>
      </c>
    </row>
    <row r="931">
      <c r="A931" s="4" t="s">
        <v>873</v>
      </c>
      <c r="B931" s="5">
        <v>1121.0</v>
      </c>
      <c r="C931" s="5">
        <v>16.4</v>
      </c>
      <c r="D931" s="5">
        <v>16.7</v>
      </c>
      <c r="F931" s="5">
        <v>5.19</v>
      </c>
      <c r="H931" s="5">
        <v>0.52</v>
      </c>
    </row>
    <row r="932">
      <c r="A932" s="4" t="s">
        <v>874</v>
      </c>
      <c r="B932" s="5">
        <v>1123.0</v>
      </c>
      <c r="C932" s="5">
        <v>18.5</v>
      </c>
      <c r="D932" s="5">
        <v>9.0</v>
      </c>
      <c r="E932" s="5">
        <v>8.8</v>
      </c>
      <c r="F932" s="5">
        <v>4.59</v>
      </c>
      <c r="H932" s="5">
        <v>0.23</v>
      </c>
    </row>
    <row r="933">
      <c r="A933" s="4" t="s">
        <v>875</v>
      </c>
    </row>
    <row r="934">
      <c r="A934" s="4" t="s">
        <v>876</v>
      </c>
      <c r="B934" s="5">
        <v>1120.0</v>
      </c>
      <c r="C934" s="5">
        <v>9.6</v>
      </c>
      <c r="D934" s="5">
        <v>14.9</v>
      </c>
      <c r="F934" s="5">
        <v>4.4</v>
      </c>
      <c r="H934" s="5">
        <v>0.27</v>
      </c>
    </row>
    <row r="935">
      <c r="A935" s="4" t="s">
        <v>877</v>
      </c>
      <c r="B935" s="5">
        <v>1124.0</v>
      </c>
      <c r="C935" s="5">
        <v>10.2</v>
      </c>
      <c r="D935" s="5">
        <v>12.4</v>
      </c>
      <c r="F935" s="5">
        <v>5.07</v>
      </c>
      <c r="H935" s="5">
        <v>0.52</v>
      </c>
    </row>
    <row r="936">
      <c r="A936" s="4" t="s">
        <v>878</v>
      </c>
      <c r="B936" s="5">
        <v>1113.0</v>
      </c>
      <c r="C936" s="5">
        <v>9.0</v>
      </c>
      <c r="D936" s="5">
        <v>16.7</v>
      </c>
      <c r="F936" s="5">
        <v>5.05</v>
      </c>
      <c r="H936" s="5">
        <v>0.25</v>
      </c>
    </row>
    <row r="937">
      <c r="A937" s="4" t="s">
        <v>879</v>
      </c>
      <c r="B937" s="5">
        <v>1122.0</v>
      </c>
      <c r="C937" s="5">
        <v>10.0</v>
      </c>
      <c r="D937" s="5">
        <v>7.4</v>
      </c>
      <c r="F937" s="5">
        <v>3.24</v>
      </c>
      <c r="H937" s="5">
        <v>0.07</v>
      </c>
    </row>
    <row r="938">
      <c r="A938" s="4" t="s">
        <v>880</v>
      </c>
    </row>
    <row r="939">
      <c r="A939" s="4" t="s">
        <v>881</v>
      </c>
      <c r="B939" s="5">
        <v>1117.0</v>
      </c>
      <c r="C939" s="5">
        <v>10.4</v>
      </c>
      <c r="D939" s="5">
        <v>11.7</v>
      </c>
      <c r="F939" s="5">
        <v>3.71</v>
      </c>
      <c r="H939" s="5">
        <v>0.16</v>
      </c>
    </row>
    <row r="940">
      <c r="A940" s="4"/>
    </row>
    <row r="941">
      <c r="A941" s="4" t="s">
        <v>882</v>
      </c>
    </row>
    <row r="942">
      <c r="A942" s="4" t="s">
        <v>883</v>
      </c>
    </row>
    <row r="943">
      <c r="A943" s="4" t="s">
        <v>884</v>
      </c>
    </row>
    <row r="944">
      <c r="A944" s="4" t="s">
        <v>885</v>
      </c>
    </row>
    <row r="945">
      <c r="A945" s="4" t="s">
        <v>886</v>
      </c>
    </row>
    <row r="946">
      <c r="A946" s="4" t="s">
        <v>887</v>
      </c>
    </row>
    <row r="947">
      <c r="A947" s="4" t="s">
        <v>888</v>
      </c>
    </row>
    <row r="948">
      <c r="A948" s="4" t="s">
        <v>889</v>
      </c>
    </row>
    <row r="949">
      <c r="A949" s="4" t="s">
        <v>890</v>
      </c>
    </row>
    <row r="950">
      <c r="A950" s="4" t="s">
        <v>891</v>
      </c>
    </row>
    <row r="951">
      <c r="A951" s="4" t="s">
        <v>892</v>
      </c>
    </row>
    <row r="952">
      <c r="A952" s="4" t="s">
        <v>893</v>
      </c>
    </row>
    <row r="953">
      <c r="A953" s="4" t="s">
        <v>894</v>
      </c>
    </row>
    <row r="954">
      <c r="A954" s="4"/>
    </row>
    <row r="955">
      <c r="A955" s="4" t="s">
        <v>895</v>
      </c>
      <c r="B955" s="5">
        <v>1199.0</v>
      </c>
      <c r="C955" s="5">
        <v>18.1</v>
      </c>
      <c r="D955" s="5">
        <v>19.7</v>
      </c>
      <c r="F955" s="5">
        <v>9.17</v>
      </c>
      <c r="H955" s="5">
        <v>1.55</v>
      </c>
    </row>
    <row r="956">
      <c r="A956" s="4" t="s">
        <v>896</v>
      </c>
      <c r="B956" s="5">
        <v>1198.0</v>
      </c>
      <c r="C956" s="5">
        <v>23.3</v>
      </c>
      <c r="D956" s="5">
        <v>23.2</v>
      </c>
      <c r="F956" s="5">
        <v>7.37</v>
      </c>
      <c r="H956" s="5">
        <v>1.32</v>
      </c>
    </row>
    <row r="957">
      <c r="A957" s="4" t="s">
        <v>897</v>
      </c>
      <c r="B957" s="5">
        <v>1197.0</v>
      </c>
      <c r="C957" s="5">
        <v>27.2</v>
      </c>
      <c r="D957" s="5">
        <v>26.6</v>
      </c>
      <c r="F957" s="5">
        <v>7.32</v>
      </c>
      <c r="H957" s="5">
        <v>1.56</v>
      </c>
    </row>
    <row r="958">
      <c r="A958" s="4" t="s">
        <v>898</v>
      </c>
      <c r="B958" s="5">
        <v>1190.0</v>
      </c>
      <c r="C958" s="5">
        <v>23.2</v>
      </c>
      <c r="D958" s="5">
        <v>20.5</v>
      </c>
      <c r="F958" s="5">
        <v>7.88</v>
      </c>
      <c r="H958" s="5">
        <v>1.14</v>
      </c>
    </row>
    <row r="959">
      <c r="A959" s="4" t="s">
        <v>899</v>
      </c>
      <c r="B959" s="5">
        <v>1196.0</v>
      </c>
      <c r="C959" s="5">
        <v>30.0</v>
      </c>
      <c r="D959" s="5">
        <v>35.7</v>
      </c>
      <c r="E959" s="5">
        <v>4.6</v>
      </c>
      <c r="F959" s="5">
        <v>6.4</v>
      </c>
      <c r="H959" s="5">
        <v>0.76</v>
      </c>
    </row>
    <row r="960">
      <c r="A960" s="4" t="s">
        <v>900</v>
      </c>
      <c r="B960" s="5">
        <v>1191.0</v>
      </c>
      <c r="C960" s="5">
        <v>22.8</v>
      </c>
      <c r="D960" s="5">
        <v>16.7</v>
      </c>
      <c r="F960" s="5">
        <v>6.08</v>
      </c>
      <c r="H960" s="5">
        <v>0.46</v>
      </c>
    </row>
    <row r="961">
      <c r="A961" s="4" t="s">
        <v>901</v>
      </c>
      <c r="B961" s="5">
        <v>1195.0</v>
      </c>
      <c r="C961" s="5">
        <v>32.9</v>
      </c>
      <c r="D961" s="5">
        <v>31.6</v>
      </c>
      <c r="F961" s="5">
        <v>6.39</v>
      </c>
      <c r="H961" s="5">
        <v>0.7</v>
      </c>
    </row>
    <row r="962">
      <c r="A962" s="4" t="s">
        <v>902</v>
      </c>
      <c r="B962" s="5">
        <v>1189.0</v>
      </c>
      <c r="C962" s="5">
        <v>20.2</v>
      </c>
      <c r="D962" s="5">
        <v>13.5</v>
      </c>
      <c r="F962" s="5">
        <v>6.32</v>
      </c>
      <c r="H962" s="5">
        <v>0.84</v>
      </c>
    </row>
    <row r="963">
      <c r="A963" s="4" t="s">
        <v>903</v>
      </c>
      <c r="B963" s="5">
        <v>1192.0</v>
      </c>
      <c r="C963" s="5">
        <v>16.7</v>
      </c>
      <c r="D963" s="5">
        <v>17.1</v>
      </c>
      <c r="F963" s="5">
        <v>6.21</v>
      </c>
      <c r="H963" s="5">
        <v>0.91</v>
      </c>
    </row>
    <row r="964">
      <c r="A964" s="4" t="s">
        <v>904</v>
      </c>
      <c r="B964" s="5">
        <v>1194.0</v>
      </c>
      <c r="C964" s="5">
        <v>22.0</v>
      </c>
      <c r="D964" s="5">
        <v>25.2</v>
      </c>
      <c r="F964" s="5">
        <v>4.94</v>
      </c>
      <c r="H964" s="5">
        <v>0.75</v>
      </c>
    </row>
    <row r="965">
      <c r="A965" s="4" t="s">
        <v>905</v>
      </c>
    </row>
    <row r="966">
      <c r="A966" s="4" t="s">
        <v>906</v>
      </c>
      <c r="B966" s="5">
        <v>1187.0</v>
      </c>
      <c r="C966" s="5">
        <v>19.6</v>
      </c>
      <c r="D966" s="5">
        <v>15.2</v>
      </c>
      <c r="F966" s="5">
        <v>5.51</v>
      </c>
      <c r="H966" s="5">
        <v>0.61</v>
      </c>
    </row>
    <row r="967">
      <c r="A967" s="4" t="s">
        <v>907</v>
      </c>
      <c r="B967" s="5">
        <v>1193.0</v>
      </c>
      <c r="C967" s="5">
        <v>17.8</v>
      </c>
      <c r="D967" s="5">
        <v>18.2</v>
      </c>
      <c r="F967" s="5">
        <v>4.44</v>
      </c>
      <c r="H967" s="5">
        <v>0.42</v>
      </c>
    </row>
    <row r="968">
      <c r="A968" s="4" t="s">
        <v>908</v>
      </c>
    </row>
    <row r="969">
      <c r="A969" s="4" t="s">
        <v>909</v>
      </c>
    </row>
    <row r="970">
      <c r="A970" s="4" t="s">
        <v>910</v>
      </c>
    </row>
    <row r="971">
      <c r="A971" s="4" t="s">
        <v>911</v>
      </c>
    </row>
    <row r="972">
      <c r="A972" s="4" t="s">
        <v>912</v>
      </c>
      <c r="B972" s="5">
        <v>1188.0</v>
      </c>
      <c r="C972" s="5">
        <v>15.2</v>
      </c>
      <c r="D972" s="5">
        <v>12.6</v>
      </c>
      <c r="F972" s="5">
        <v>4.09</v>
      </c>
      <c r="H972" s="5">
        <v>0.19</v>
      </c>
    </row>
    <row r="973">
      <c r="A973" s="4" t="s">
        <v>913</v>
      </c>
      <c r="B973" s="5">
        <v>1186.0</v>
      </c>
      <c r="C973" s="5">
        <v>12.7</v>
      </c>
      <c r="D973" s="5">
        <v>12.2</v>
      </c>
      <c r="F973" s="5">
        <v>3.43</v>
      </c>
      <c r="H973" s="5">
        <v>0.16</v>
      </c>
    </row>
    <row r="974">
      <c r="A974" s="4" t="s">
        <v>914</v>
      </c>
    </row>
    <row r="975">
      <c r="A975" s="4"/>
    </row>
    <row r="976">
      <c r="A976" s="4" t="s">
        <v>915</v>
      </c>
    </row>
    <row r="977">
      <c r="A977" s="4" t="s">
        <v>916</v>
      </c>
    </row>
    <row r="978">
      <c r="A978" s="4" t="s">
        <v>917</v>
      </c>
    </row>
    <row r="979">
      <c r="A979" s="4" t="s">
        <v>918</v>
      </c>
    </row>
    <row r="980">
      <c r="A980" s="4" t="s">
        <v>919</v>
      </c>
    </row>
    <row r="981">
      <c r="A981" s="4" t="s">
        <v>920</v>
      </c>
    </row>
    <row r="982">
      <c r="A982" s="4" t="s">
        <v>921</v>
      </c>
    </row>
    <row r="983">
      <c r="A983" s="4" t="s">
        <v>922</v>
      </c>
    </row>
    <row r="984">
      <c r="A984" s="4" t="s">
        <v>923</v>
      </c>
    </row>
    <row r="985">
      <c r="A985" s="4" t="s">
        <v>924</v>
      </c>
    </row>
    <row r="986">
      <c r="A986" s="4" t="s">
        <v>925</v>
      </c>
    </row>
    <row r="987">
      <c r="A987" s="4" t="s">
        <v>926</v>
      </c>
    </row>
    <row r="988">
      <c r="A988" s="4" t="s">
        <v>927</v>
      </c>
    </row>
    <row r="989">
      <c r="A989" s="4" t="s">
        <v>928</v>
      </c>
    </row>
    <row r="990">
      <c r="A990" s="4" t="s">
        <v>929</v>
      </c>
    </row>
    <row r="991">
      <c r="A991" s="4"/>
    </row>
    <row r="992">
      <c r="A992" s="4" t="s">
        <v>930</v>
      </c>
      <c r="B992" s="5">
        <v>1161.0</v>
      </c>
      <c r="C992" s="5">
        <v>21.5</v>
      </c>
      <c r="D992" s="5">
        <v>22.2</v>
      </c>
      <c r="F992" s="5">
        <v>8.2</v>
      </c>
      <c r="H992" s="5">
        <v>1.65</v>
      </c>
    </row>
    <row r="993">
      <c r="A993" s="4" t="s">
        <v>931</v>
      </c>
      <c r="B993" s="5">
        <v>1160.0</v>
      </c>
      <c r="C993" s="5">
        <v>25.1</v>
      </c>
      <c r="D993" s="5">
        <v>29.0</v>
      </c>
      <c r="F993" s="5">
        <v>9.08</v>
      </c>
      <c r="H993" s="5">
        <v>1.81</v>
      </c>
    </row>
    <row r="994">
      <c r="A994" s="4" t="s">
        <v>932</v>
      </c>
      <c r="B994" s="5">
        <v>1158.0</v>
      </c>
      <c r="C994" s="5">
        <v>26.6</v>
      </c>
      <c r="D994" s="5">
        <v>24.5</v>
      </c>
      <c r="F994" s="5">
        <v>7.33</v>
      </c>
      <c r="H994" s="5">
        <v>1.3</v>
      </c>
    </row>
    <row r="995">
      <c r="A995" s="4" t="s">
        <v>933</v>
      </c>
      <c r="B995" s="5">
        <v>1156.0</v>
      </c>
      <c r="C995" s="5">
        <v>30.9</v>
      </c>
      <c r="D995" s="5">
        <v>25.7</v>
      </c>
      <c r="F995" s="5">
        <v>6.2</v>
      </c>
      <c r="H995" s="5">
        <v>0.56</v>
      </c>
    </row>
    <row r="996">
      <c r="A996" s="4" t="s">
        <v>934</v>
      </c>
      <c r="B996" s="5">
        <v>1136.0</v>
      </c>
      <c r="C996" s="5">
        <v>23.8</v>
      </c>
      <c r="D996" s="5">
        <v>18.7</v>
      </c>
      <c r="F996" s="5">
        <v>5.95</v>
      </c>
      <c r="H996" s="5">
        <v>0.96</v>
      </c>
    </row>
    <row r="997">
      <c r="A997" s="4" t="s">
        <v>935</v>
      </c>
      <c r="B997" s="5">
        <v>1159.0</v>
      </c>
      <c r="C997" s="5">
        <v>31.3</v>
      </c>
      <c r="D997" s="5">
        <v>28.9</v>
      </c>
      <c r="F997" s="5">
        <v>7.38</v>
      </c>
      <c r="H997" s="5">
        <v>0.67</v>
      </c>
    </row>
    <row r="998">
      <c r="A998" s="4" t="s">
        <v>936</v>
      </c>
      <c r="B998" s="5">
        <v>1154.0</v>
      </c>
      <c r="C998" s="5">
        <v>25.3</v>
      </c>
      <c r="D998" s="5">
        <v>14.0</v>
      </c>
      <c r="F998" s="5">
        <v>6.11</v>
      </c>
      <c r="H998" s="5">
        <v>0.53</v>
      </c>
    </row>
    <row r="999">
      <c r="A999" s="4" t="s">
        <v>937</v>
      </c>
      <c r="B999" s="5">
        <v>1153.0</v>
      </c>
      <c r="C999" s="5">
        <v>28.1</v>
      </c>
      <c r="D999" s="5">
        <v>24.7</v>
      </c>
      <c r="F999" s="5">
        <v>4.96</v>
      </c>
      <c r="H999" s="5">
        <v>0.43</v>
      </c>
    </row>
    <row r="1000">
      <c r="A1000" s="4" t="s">
        <v>938</v>
      </c>
      <c r="B1000" s="5">
        <v>1157.0</v>
      </c>
      <c r="C1000" s="5">
        <v>33.6</v>
      </c>
      <c r="D1000" s="5">
        <v>39.5</v>
      </c>
      <c r="E1000" s="5">
        <v>8.4</v>
      </c>
      <c r="F1000" s="5">
        <v>7.4</v>
      </c>
      <c r="H1000" s="5">
        <v>0.98</v>
      </c>
    </row>
    <row r="1001">
      <c r="A1001" s="4" t="s">
        <v>939</v>
      </c>
      <c r="B1001" s="5">
        <v>1152.0</v>
      </c>
      <c r="C1001" s="5">
        <v>21.4</v>
      </c>
      <c r="D1001" s="5">
        <v>22.0</v>
      </c>
      <c r="F1001" s="5">
        <v>6.81</v>
      </c>
      <c r="H1001" s="5">
        <v>0.82</v>
      </c>
    </row>
    <row r="1002">
      <c r="A1002" s="4" t="s">
        <v>940</v>
      </c>
    </row>
    <row r="1003">
      <c r="A1003" s="4" t="s">
        <v>941</v>
      </c>
      <c r="B1003" s="5">
        <v>1144.0</v>
      </c>
      <c r="C1003" s="5">
        <v>18.7</v>
      </c>
      <c r="D1003" s="5">
        <v>17.8</v>
      </c>
      <c r="F1003" s="5">
        <v>4.73</v>
      </c>
      <c r="H1003" s="5">
        <v>0.66</v>
      </c>
    </row>
    <row r="1004">
      <c r="A1004" s="4" t="s">
        <v>942</v>
      </c>
      <c r="B1004" s="5">
        <v>1155.0</v>
      </c>
      <c r="C1004" s="5">
        <v>23.2</v>
      </c>
      <c r="D1004" s="5">
        <v>24.8</v>
      </c>
      <c r="F1004" s="5">
        <v>6.45</v>
      </c>
      <c r="H1004" s="5" t="s">
        <v>943</v>
      </c>
    </row>
    <row r="1005">
      <c r="A1005" s="4" t="s">
        <v>944</v>
      </c>
      <c r="B1005" s="5">
        <v>1151.0</v>
      </c>
      <c r="C1005" s="5">
        <v>14.0</v>
      </c>
      <c r="D1005" s="5">
        <v>16.2</v>
      </c>
      <c r="F1005" s="5">
        <v>5.52</v>
      </c>
      <c r="H1005" s="5">
        <v>0.53</v>
      </c>
    </row>
    <row r="1006">
      <c r="A1006" s="4" t="s">
        <v>945</v>
      </c>
      <c r="B1006" s="5">
        <v>1150.0</v>
      </c>
      <c r="C1006" s="5">
        <v>14.4</v>
      </c>
      <c r="D1006" s="5">
        <v>12.2</v>
      </c>
      <c r="F1006" s="5">
        <v>4.73</v>
      </c>
      <c r="H1006" s="5">
        <v>0.53</v>
      </c>
    </row>
    <row r="1007">
      <c r="A1007" s="4" t="s">
        <v>946</v>
      </c>
      <c r="B1007" s="5">
        <v>1149.0</v>
      </c>
      <c r="C1007" s="5">
        <v>23.2</v>
      </c>
      <c r="D1007" s="5">
        <v>18.0</v>
      </c>
      <c r="F1007" s="5">
        <v>6.01</v>
      </c>
      <c r="H1007" s="5">
        <v>0.52</v>
      </c>
    </row>
    <row r="1008">
      <c r="A1008" s="4" t="s">
        <v>947</v>
      </c>
    </row>
    <row r="1009">
      <c r="A1009" s="4" t="s">
        <v>948</v>
      </c>
    </row>
    <row r="1010">
      <c r="A1010" s="4" t="s">
        <v>949</v>
      </c>
      <c r="B1010" s="5">
        <v>1137.0</v>
      </c>
      <c r="C1010" s="5">
        <v>21.7</v>
      </c>
      <c r="D1010" s="5">
        <v>11.7</v>
      </c>
      <c r="E1010" s="5">
        <v>12.4</v>
      </c>
      <c r="F1010" s="5">
        <v>4.31</v>
      </c>
      <c r="H1010" s="5">
        <v>0.49</v>
      </c>
    </row>
    <row r="1011">
      <c r="A1011" s="4" t="s">
        <v>950</v>
      </c>
      <c r="B1011" s="5">
        <v>1143.0</v>
      </c>
      <c r="C1011" s="5">
        <v>12.6</v>
      </c>
      <c r="D1011" s="5">
        <v>13.4</v>
      </c>
      <c r="F1011" s="5">
        <v>4.61</v>
      </c>
      <c r="H1011" s="5">
        <v>0.3</v>
      </c>
    </row>
    <row r="1012">
      <c r="A1012" s="4" t="s">
        <v>951</v>
      </c>
      <c r="B1012" s="5">
        <v>1141.0</v>
      </c>
      <c r="C1012" s="5">
        <v>14.1</v>
      </c>
      <c r="D1012" s="5">
        <v>16.0</v>
      </c>
      <c r="F1012" s="5">
        <v>4.67</v>
      </c>
      <c r="H1012" s="5">
        <v>0.29</v>
      </c>
    </row>
    <row r="1013">
      <c r="A1013" s="4" t="s">
        <v>952</v>
      </c>
      <c r="B1013" s="5">
        <v>1147.0</v>
      </c>
      <c r="C1013" s="5">
        <v>14.0</v>
      </c>
      <c r="D1013" s="5">
        <v>13.8</v>
      </c>
      <c r="F1013" s="5">
        <v>5.67</v>
      </c>
      <c r="H1013" s="5">
        <v>0.59</v>
      </c>
    </row>
    <row r="1014">
      <c r="A1014" s="4" t="s">
        <v>953</v>
      </c>
      <c r="B1014" s="5">
        <v>1146.0</v>
      </c>
      <c r="C1014" s="5">
        <v>12.2</v>
      </c>
      <c r="D1014" s="5">
        <v>16.0</v>
      </c>
      <c r="F1014" s="5">
        <v>5.06</v>
      </c>
      <c r="H1014" s="5">
        <v>0.26</v>
      </c>
    </row>
    <row r="1015">
      <c r="A1015" s="4" t="s">
        <v>954</v>
      </c>
      <c r="B1015" s="5">
        <v>1148.0</v>
      </c>
      <c r="C1015" s="5">
        <v>15.0</v>
      </c>
      <c r="D1015" s="5">
        <v>19.1</v>
      </c>
      <c r="F1015" s="5">
        <v>4.58</v>
      </c>
      <c r="H1015" s="5">
        <v>0.31</v>
      </c>
    </row>
    <row r="1016">
      <c r="A1016" s="4" t="s">
        <v>955</v>
      </c>
      <c r="B1016" s="5">
        <v>1138.0</v>
      </c>
      <c r="C1016" s="5">
        <v>11.5</v>
      </c>
      <c r="D1016" s="5">
        <v>12.1</v>
      </c>
      <c r="F1016" s="5">
        <v>4.3</v>
      </c>
      <c r="H1016" s="5">
        <v>0.16</v>
      </c>
    </row>
    <row r="1017">
      <c r="A1017" s="4" t="s">
        <v>956</v>
      </c>
      <c r="B1017" s="5">
        <v>1139.0</v>
      </c>
      <c r="C1017" s="5">
        <v>12.3</v>
      </c>
      <c r="D1017" s="5">
        <v>14.0</v>
      </c>
      <c r="F1017" s="5">
        <v>3.56</v>
      </c>
      <c r="H1017" s="5">
        <v>0.19</v>
      </c>
    </row>
    <row r="1018">
      <c r="A1018" s="4" t="s">
        <v>957</v>
      </c>
    </row>
    <row r="1019">
      <c r="A1019" s="4" t="s">
        <v>958</v>
      </c>
      <c r="B1019" s="5">
        <v>1145.0</v>
      </c>
      <c r="C1019" s="5">
        <v>15.7</v>
      </c>
      <c r="D1019" s="5">
        <v>12.6</v>
      </c>
      <c r="F1019" s="5">
        <v>4.49</v>
      </c>
      <c r="H1019" s="5">
        <v>0.22</v>
      </c>
    </row>
    <row r="1020">
      <c r="A1020" s="4" t="s">
        <v>959</v>
      </c>
      <c r="B1020" s="5">
        <v>1140.0</v>
      </c>
      <c r="C1020" s="5">
        <v>11.6</v>
      </c>
      <c r="D1020" s="5">
        <v>12.6</v>
      </c>
      <c r="F1020" s="5">
        <v>3.39</v>
      </c>
      <c r="H1020" s="5">
        <v>0.06</v>
      </c>
    </row>
    <row r="1021">
      <c r="A1021" s="4" t="s">
        <v>960</v>
      </c>
      <c r="B1021" s="5">
        <v>1142.0</v>
      </c>
      <c r="C1021" s="5">
        <v>9.7</v>
      </c>
      <c r="D1021" s="5">
        <v>9.2</v>
      </c>
      <c r="F1021" s="5">
        <v>2.09</v>
      </c>
    </row>
    <row r="1022">
      <c r="A1022" s="4"/>
    </row>
    <row r="1023">
      <c r="A1023" s="4" t="s">
        <v>961</v>
      </c>
    </row>
    <row r="1024">
      <c r="A1024" s="4" t="s">
        <v>962</v>
      </c>
    </row>
    <row r="1025">
      <c r="A1025" s="4" t="s">
        <v>963</v>
      </c>
    </row>
    <row r="1026">
      <c r="A1026" s="4" t="s">
        <v>964</v>
      </c>
    </row>
    <row r="1027">
      <c r="A1027" s="4" t="s">
        <v>965</v>
      </c>
    </row>
    <row r="1028">
      <c r="A1028" s="4" t="s">
        <v>966</v>
      </c>
    </row>
    <row r="1029">
      <c r="A1029" s="4" t="s">
        <v>967</v>
      </c>
    </row>
    <row r="1030">
      <c r="A1030" s="4" t="s">
        <v>968</v>
      </c>
    </row>
    <row r="1031">
      <c r="A1031" s="4" t="s">
        <v>969</v>
      </c>
    </row>
    <row r="1032">
      <c r="A1032" s="4" t="s">
        <v>970</v>
      </c>
    </row>
    <row r="1033">
      <c r="A1033" s="4" t="s">
        <v>971</v>
      </c>
    </row>
    <row r="1034">
      <c r="A1034" s="4" t="s">
        <v>972</v>
      </c>
    </row>
    <row r="1035">
      <c r="A1035" s="4" t="s">
        <v>973</v>
      </c>
    </row>
    <row r="1036">
      <c r="A1036" s="4" t="s">
        <v>974</v>
      </c>
    </row>
    <row r="1037">
      <c r="A1037" s="4" t="s">
        <v>975</v>
      </c>
    </row>
    <row r="1038">
      <c r="A1038" s="4" t="s">
        <v>976</v>
      </c>
    </row>
    <row r="1039">
      <c r="A1039" s="4" t="s">
        <v>977</v>
      </c>
    </row>
    <row r="1040">
      <c r="A1040" s="4" t="s">
        <v>978</v>
      </c>
    </row>
    <row r="1041">
      <c r="A1041" s="4" t="s">
        <v>979</v>
      </c>
    </row>
    <row r="1042">
      <c r="A1042" s="4" t="s">
        <v>980</v>
      </c>
    </row>
    <row r="1043">
      <c r="A1043" s="4" t="s">
        <v>981</v>
      </c>
    </row>
    <row r="1044">
      <c r="A1044" s="4" t="s">
        <v>982</v>
      </c>
    </row>
    <row r="1045">
      <c r="A1045" s="4"/>
    </row>
    <row r="1046">
      <c r="A1046" s="4" t="s">
        <v>983</v>
      </c>
      <c r="B1046" s="5">
        <v>1229.0</v>
      </c>
      <c r="C1046" s="5">
        <v>20.2</v>
      </c>
      <c r="D1046" s="5">
        <v>31.0</v>
      </c>
      <c r="F1046" s="5">
        <v>6.95</v>
      </c>
      <c r="H1046" s="5">
        <v>0.41</v>
      </c>
    </row>
    <row r="1047">
      <c r="A1047" s="4" t="s">
        <v>984</v>
      </c>
      <c r="B1047" s="5">
        <v>1230.0</v>
      </c>
      <c r="C1047" s="5">
        <v>29.5</v>
      </c>
      <c r="D1047" s="5">
        <v>30.2</v>
      </c>
      <c r="F1047" s="5">
        <v>9.08</v>
      </c>
      <c r="H1047" s="5">
        <v>1.99</v>
      </c>
    </row>
    <row r="1048">
      <c r="A1048" s="4" t="s">
        <v>985</v>
      </c>
      <c r="B1048" s="5">
        <v>1227.0</v>
      </c>
      <c r="C1048" s="5">
        <v>30.5</v>
      </c>
      <c r="D1048" s="5">
        <v>20.0</v>
      </c>
      <c r="F1048" s="5">
        <v>5.87</v>
      </c>
      <c r="H1048" s="5">
        <v>0.71</v>
      </c>
    </row>
    <row r="1049">
      <c r="A1049" s="4" t="s">
        <v>986</v>
      </c>
      <c r="B1049" s="5">
        <v>1220.0</v>
      </c>
      <c r="C1049" s="5">
        <v>21.2</v>
      </c>
      <c r="D1049" s="5">
        <v>28.8</v>
      </c>
      <c r="F1049" s="5">
        <v>6.6</v>
      </c>
      <c r="H1049" s="5">
        <v>0.72</v>
      </c>
    </row>
    <row r="1050">
      <c r="A1050" s="4" t="s">
        <v>987</v>
      </c>
      <c r="B1050" s="5">
        <v>1225.0</v>
      </c>
      <c r="C1050" s="5">
        <v>37.8</v>
      </c>
      <c r="D1050" s="5">
        <v>29.5</v>
      </c>
      <c r="E1050" s="5">
        <v>18.9</v>
      </c>
      <c r="F1050" s="5">
        <v>6.59</v>
      </c>
      <c r="H1050" s="5">
        <v>0.16</v>
      </c>
    </row>
    <row r="1051">
      <c r="A1051" s="4" t="s">
        <v>988</v>
      </c>
      <c r="B1051" s="5">
        <v>1229.0</v>
      </c>
      <c r="C1051" s="5">
        <v>28.1</v>
      </c>
      <c r="D1051" s="5">
        <v>25.7</v>
      </c>
      <c r="F1051" s="5">
        <v>6.32</v>
      </c>
      <c r="H1051" s="5">
        <v>0.9</v>
      </c>
    </row>
    <row r="1052">
      <c r="A1052" s="4" t="s">
        <v>989</v>
      </c>
      <c r="B1052" s="5">
        <v>1222.0</v>
      </c>
      <c r="C1052" s="5">
        <v>19.0</v>
      </c>
      <c r="D1052" s="5">
        <v>19.2</v>
      </c>
      <c r="F1052" s="5">
        <v>4.88</v>
      </c>
      <c r="G1052" s="5">
        <v>0.6</v>
      </c>
    </row>
    <row r="1053">
      <c r="A1053" s="4" t="s">
        <v>990</v>
      </c>
      <c r="B1053" s="5">
        <v>1217.0</v>
      </c>
      <c r="C1053" s="5">
        <v>19.7</v>
      </c>
      <c r="D1053" s="5">
        <v>16.8</v>
      </c>
      <c r="F1053" s="5">
        <v>5.16</v>
      </c>
      <c r="H1053" s="5">
        <v>0.55</v>
      </c>
    </row>
    <row r="1054">
      <c r="A1054" s="4" t="s">
        <v>991</v>
      </c>
    </row>
    <row r="1055">
      <c r="A1055" s="4" t="s">
        <v>992</v>
      </c>
      <c r="B1055" s="5">
        <v>1228.0</v>
      </c>
      <c r="C1055" s="5">
        <v>28.4</v>
      </c>
      <c r="D1055" s="5">
        <v>24.7</v>
      </c>
      <c r="F1055" s="5">
        <v>6.21</v>
      </c>
      <c r="H1055" s="5">
        <v>0.78</v>
      </c>
    </row>
    <row r="1056">
      <c r="A1056" s="4" t="s">
        <v>993</v>
      </c>
      <c r="B1056" s="5">
        <v>1210.0</v>
      </c>
      <c r="C1056" s="5">
        <v>14.1</v>
      </c>
      <c r="D1056" s="5">
        <v>14.2</v>
      </c>
      <c r="F1056" s="5">
        <v>3.99</v>
      </c>
      <c r="H1056" s="5">
        <v>0.3</v>
      </c>
    </row>
    <row r="1057">
      <c r="A1057" s="4" t="s">
        <v>994</v>
      </c>
      <c r="B1057" s="5">
        <v>1224.0</v>
      </c>
      <c r="C1057" s="5">
        <v>21.1</v>
      </c>
      <c r="D1057" s="5">
        <v>15.6</v>
      </c>
      <c r="F1057" s="5">
        <v>5.58</v>
      </c>
      <c r="H1057" s="5">
        <v>0.47</v>
      </c>
    </row>
    <row r="1058">
      <c r="A1058" s="4" t="s">
        <v>995</v>
      </c>
      <c r="B1058" s="5">
        <v>1226.0</v>
      </c>
      <c r="C1058" s="5">
        <v>11.8</v>
      </c>
      <c r="D1058" s="5">
        <v>15.5</v>
      </c>
      <c r="F1058" s="5">
        <v>5.1</v>
      </c>
      <c r="H1058" s="5">
        <v>0.52</v>
      </c>
    </row>
    <row r="1059">
      <c r="A1059" s="4" t="s">
        <v>996</v>
      </c>
      <c r="B1059" s="5">
        <v>1216.0</v>
      </c>
      <c r="C1059" s="5">
        <v>15.5</v>
      </c>
      <c r="D1059" s="5">
        <v>16.8</v>
      </c>
      <c r="F1059" s="5">
        <v>4.52</v>
      </c>
      <c r="H1059" s="5">
        <v>0.22</v>
      </c>
    </row>
    <row r="1060">
      <c r="A1060" s="4" t="s">
        <v>997</v>
      </c>
      <c r="B1060" s="5">
        <v>1223.0</v>
      </c>
      <c r="C1060" s="5">
        <v>12.2</v>
      </c>
      <c r="D1060" s="5">
        <v>16.2</v>
      </c>
      <c r="F1060" s="5">
        <v>5.2</v>
      </c>
      <c r="H1060" s="5">
        <v>0.53</v>
      </c>
    </row>
    <row r="1061">
      <c r="A1061" s="4" t="s">
        <v>998</v>
      </c>
      <c r="B1061" s="5">
        <v>1218.0</v>
      </c>
      <c r="C1061" s="5">
        <v>18.7</v>
      </c>
      <c r="D1061" s="5">
        <v>18.1</v>
      </c>
      <c r="F1061" s="5">
        <v>5.34</v>
      </c>
      <c r="H1061" s="5">
        <v>0.41</v>
      </c>
    </row>
    <row r="1062">
      <c r="A1062" s="4" t="s">
        <v>999</v>
      </c>
      <c r="B1062" s="5">
        <v>1221.0</v>
      </c>
      <c r="C1062" s="5">
        <v>13.2</v>
      </c>
      <c r="D1062" s="5">
        <v>13.0</v>
      </c>
      <c r="F1062" s="5">
        <v>6.54</v>
      </c>
      <c r="H1062" s="5">
        <v>0.74</v>
      </c>
    </row>
    <row r="1063">
      <c r="A1063" s="4" t="s">
        <v>1000</v>
      </c>
      <c r="B1063" s="5">
        <v>1212.0</v>
      </c>
      <c r="C1063" s="5">
        <v>20.0</v>
      </c>
      <c r="D1063" s="5">
        <v>17.0</v>
      </c>
      <c r="F1063" s="5">
        <v>5.72</v>
      </c>
      <c r="H1063" s="5">
        <v>0.52</v>
      </c>
    </row>
    <row r="1064">
      <c r="A1064" s="4" t="s">
        <v>1001</v>
      </c>
      <c r="B1064" s="5">
        <v>1213.0</v>
      </c>
      <c r="C1064" s="5">
        <v>13.2</v>
      </c>
      <c r="D1064" s="5">
        <v>13.7</v>
      </c>
      <c r="F1064" s="5">
        <v>4.45</v>
      </c>
      <c r="H1064" s="5">
        <v>0.3</v>
      </c>
    </row>
    <row r="1065">
      <c r="A1065" s="4" t="s">
        <v>1002</v>
      </c>
      <c r="B1065" s="5">
        <v>1214.0</v>
      </c>
      <c r="C1065" s="5">
        <v>17.5</v>
      </c>
      <c r="D1065" s="5">
        <v>13.2</v>
      </c>
      <c r="F1065" s="5">
        <v>4.37</v>
      </c>
      <c r="H1065" s="5">
        <v>0.66</v>
      </c>
    </row>
    <row r="1066">
      <c r="A1066" s="4" t="s">
        <v>1003</v>
      </c>
      <c r="B1066" s="5">
        <v>1200.0</v>
      </c>
      <c r="C1066" s="5">
        <v>17.7</v>
      </c>
      <c r="D1066" s="5">
        <v>11.3</v>
      </c>
      <c r="E1066" s="5">
        <v>12.7</v>
      </c>
      <c r="F1066" s="5">
        <v>4.38</v>
      </c>
      <c r="H1066" s="5">
        <v>0.26</v>
      </c>
    </row>
    <row r="1067">
      <c r="A1067" s="4" t="s">
        <v>1004</v>
      </c>
      <c r="B1067" s="5">
        <v>1209.0</v>
      </c>
      <c r="C1067" s="5">
        <v>12.5</v>
      </c>
      <c r="D1067" s="5">
        <v>16.4</v>
      </c>
      <c r="F1067" s="5">
        <v>3.54</v>
      </c>
      <c r="H1067" s="5">
        <v>0.15</v>
      </c>
    </row>
    <row r="1068">
      <c r="A1068" s="4" t="s">
        <v>1005</v>
      </c>
      <c r="B1068" s="5">
        <v>1219.0</v>
      </c>
      <c r="C1068" s="5">
        <v>17.9</v>
      </c>
      <c r="D1068" s="5">
        <v>16.3</v>
      </c>
      <c r="F1068" s="5">
        <v>4.06</v>
      </c>
      <c r="H1068" s="5">
        <v>0.24</v>
      </c>
    </row>
    <row r="1069">
      <c r="A1069" s="4" t="s">
        <v>1006</v>
      </c>
      <c r="B1069" s="5">
        <v>1225.0</v>
      </c>
      <c r="C1069" s="5">
        <v>15.2</v>
      </c>
      <c r="D1069" s="5">
        <v>17.2</v>
      </c>
      <c r="F1069" s="5">
        <v>3.96</v>
      </c>
    </row>
    <row r="1070">
      <c r="A1070" s="4" t="s">
        <v>1007</v>
      </c>
      <c r="B1070" s="5">
        <v>1215.0</v>
      </c>
      <c r="C1070" s="5">
        <v>15.7</v>
      </c>
      <c r="D1070" s="5">
        <v>12.0</v>
      </c>
      <c r="F1070" s="5">
        <v>4.12</v>
      </c>
      <c r="H1070" s="5">
        <v>0.19</v>
      </c>
    </row>
    <row r="1071">
      <c r="A1071" s="4" t="s">
        <v>1008</v>
      </c>
      <c r="B1071" s="5">
        <v>1211.0</v>
      </c>
      <c r="C1071" s="5">
        <v>14.2</v>
      </c>
      <c r="D1071" s="5">
        <v>11.2</v>
      </c>
      <c r="F1071" s="5">
        <v>4.23</v>
      </c>
      <c r="H1071" s="5">
        <v>0.27</v>
      </c>
    </row>
    <row r="1072">
      <c r="A1072" s="4" t="s">
        <v>1009</v>
      </c>
    </row>
    <row r="1073">
      <c r="A1073" s="4"/>
    </row>
    <row r="1074">
      <c r="A1074" s="4" t="s">
        <v>1010</v>
      </c>
    </row>
    <row r="1075">
      <c r="A1075" s="4" t="s">
        <v>1011</v>
      </c>
    </row>
    <row r="1076">
      <c r="A1076" s="4" t="s">
        <v>1012</v>
      </c>
    </row>
    <row r="1077">
      <c r="A1077" s="4" t="s">
        <v>1013</v>
      </c>
    </row>
    <row r="1078">
      <c r="A1078" s="4" t="s">
        <v>1014</v>
      </c>
    </row>
    <row r="1079">
      <c r="A1079" s="4" t="s">
        <v>1015</v>
      </c>
    </row>
    <row r="1080">
      <c r="A1080" s="4" t="s">
        <v>1016</v>
      </c>
    </row>
    <row r="1081">
      <c r="A1081" s="4" t="s">
        <v>1017</v>
      </c>
    </row>
    <row r="1082">
      <c r="A1082" s="4" t="s">
        <v>1018</v>
      </c>
    </row>
    <row r="1083">
      <c r="A1083" s="4" t="s">
        <v>1019</v>
      </c>
    </row>
    <row r="1084">
      <c r="A1084" s="4" t="s">
        <v>1020</v>
      </c>
    </row>
    <row r="1085">
      <c r="A1085" s="4" t="s">
        <v>1021</v>
      </c>
    </row>
    <row r="1086">
      <c r="A1086" s="4" t="s">
        <v>1022</v>
      </c>
    </row>
    <row r="1087">
      <c r="A1087" s="4" t="s">
        <v>1023</v>
      </c>
    </row>
    <row r="1088">
      <c r="A1088" s="4" t="s">
        <v>1024</v>
      </c>
    </row>
    <row r="1089">
      <c r="A1089" s="4"/>
    </row>
    <row r="1090">
      <c r="A1090" s="4" t="s">
        <v>1025</v>
      </c>
    </row>
    <row r="1091">
      <c r="A1091" s="4" t="s">
        <v>1026</v>
      </c>
    </row>
    <row r="1092">
      <c r="A1092" s="4" t="s">
        <v>1027</v>
      </c>
    </row>
    <row r="1093">
      <c r="A1093" s="4" t="s">
        <v>1028</v>
      </c>
    </row>
    <row r="1094">
      <c r="A1094" s="4" t="s">
        <v>1029</v>
      </c>
    </row>
    <row r="1095">
      <c r="A1095" s="4" t="s">
        <v>1030</v>
      </c>
    </row>
    <row r="1096">
      <c r="A1096" s="4" t="s">
        <v>1031</v>
      </c>
    </row>
    <row r="1097">
      <c r="A1097" s="4" t="s">
        <v>1032</v>
      </c>
    </row>
    <row r="1098">
      <c r="A1098" s="4" t="s">
        <v>1033</v>
      </c>
    </row>
    <row r="1099">
      <c r="A1099" s="4" t="s">
        <v>1034</v>
      </c>
    </row>
    <row r="1100">
      <c r="A1100" s="4" t="s">
        <v>1035</v>
      </c>
    </row>
    <row r="1101">
      <c r="A1101" s="4" t="s">
        <v>1036</v>
      </c>
    </row>
    <row r="1102">
      <c r="A1102" s="4" t="s">
        <v>1037</v>
      </c>
    </row>
    <row r="1103">
      <c r="A1103" s="4" t="s">
        <v>1038</v>
      </c>
    </row>
    <row r="1104">
      <c r="A1104" s="4" t="s">
        <v>1039</v>
      </c>
    </row>
    <row r="1105">
      <c r="A1105" s="4"/>
    </row>
    <row r="1106">
      <c r="A1106" s="4" t="s">
        <v>1040</v>
      </c>
    </row>
    <row r="1107">
      <c r="A1107" s="4" t="s">
        <v>1041</v>
      </c>
    </row>
    <row r="1108">
      <c r="A1108" s="4" t="s">
        <v>1042</v>
      </c>
    </row>
    <row r="1109">
      <c r="A1109" s="4" t="s">
        <v>1043</v>
      </c>
    </row>
    <row r="1110">
      <c r="A1110" s="4" t="s">
        <v>1044</v>
      </c>
    </row>
    <row r="1111">
      <c r="A1111" s="4" t="s">
        <v>1045</v>
      </c>
    </row>
    <row r="1112">
      <c r="A1112" s="4" t="s">
        <v>1046</v>
      </c>
    </row>
    <row r="1113">
      <c r="A1113" s="4" t="s">
        <v>1047</v>
      </c>
    </row>
    <row r="1114">
      <c r="A1114" s="4" t="s">
        <v>1048</v>
      </c>
    </row>
    <row r="1115">
      <c r="A1115" s="4" t="s">
        <v>1049</v>
      </c>
    </row>
    <row r="1116">
      <c r="A1116" s="4" t="s">
        <v>1050</v>
      </c>
    </row>
    <row r="1117">
      <c r="A1117" s="4" t="s">
        <v>1051</v>
      </c>
    </row>
    <row r="1118">
      <c r="A1118" s="4" t="s">
        <v>1052</v>
      </c>
    </row>
    <row r="1119">
      <c r="A1119" s="4" t="s">
        <v>1053</v>
      </c>
    </row>
    <row r="1120">
      <c r="A1120" s="4" t="s">
        <v>1054</v>
      </c>
    </row>
    <row r="1121">
      <c r="A1121" s="4" t="s">
        <v>1055</v>
      </c>
    </row>
    <row r="1122">
      <c r="A1122" s="4" t="s">
        <v>1056</v>
      </c>
    </row>
    <row r="1123">
      <c r="A1123" s="4" t="s">
        <v>1057</v>
      </c>
    </row>
    <row r="1124">
      <c r="A1124" s="4" t="s">
        <v>1058</v>
      </c>
    </row>
    <row r="1125">
      <c r="A1125" s="4" t="s">
        <v>1059</v>
      </c>
    </row>
    <row r="1126">
      <c r="A1126" s="4" t="s">
        <v>1060</v>
      </c>
    </row>
    <row r="1127">
      <c r="A1127" s="4" t="s">
        <v>1061</v>
      </c>
    </row>
    <row r="1128">
      <c r="A1128" s="4" t="s">
        <v>1062</v>
      </c>
    </row>
    <row r="1129">
      <c r="A1129" s="4" t="s">
        <v>1063</v>
      </c>
    </row>
    <row r="1130">
      <c r="A1130" s="4" t="s">
        <v>1064</v>
      </c>
    </row>
    <row r="1131">
      <c r="A1131" s="4"/>
    </row>
    <row r="1132">
      <c r="A1132" s="4" t="s">
        <v>1065</v>
      </c>
    </row>
    <row r="1133">
      <c r="A1133" s="4" t="s">
        <v>1066</v>
      </c>
    </row>
    <row r="1134">
      <c r="A1134" s="4" t="s">
        <v>1067</v>
      </c>
    </row>
    <row r="1135">
      <c r="A1135" s="4" t="s">
        <v>1068</v>
      </c>
    </row>
    <row r="1136">
      <c r="A1136" s="4" t="s">
        <v>1069</v>
      </c>
    </row>
    <row r="1137">
      <c r="A1137" s="4" t="s">
        <v>1070</v>
      </c>
    </row>
    <row r="1138">
      <c r="A1138" s="4" t="s">
        <v>1071</v>
      </c>
    </row>
    <row r="1139">
      <c r="A1139" s="4" t="s">
        <v>1072</v>
      </c>
    </row>
    <row r="1140">
      <c r="A1140" s="4" t="s">
        <v>1073</v>
      </c>
    </row>
    <row r="1141">
      <c r="A1141" s="4" t="s">
        <v>1074</v>
      </c>
    </row>
    <row r="1142">
      <c r="A1142" s="4" t="s">
        <v>1075</v>
      </c>
    </row>
    <row r="1143">
      <c r="A1143" s="4" t="s">
        <v>1076</v>
      </c>
    </row>
    <row r="1144">
      <c r="A1144" s="4" t="s">
        <v>1077</v>
      </c>
    </row>
    <row r="1145">
      <c r="A1145" s="4" t="s">
        <v>1078</v>
      </c>
    </row>
    <row r="1146">
      <c r="A1146" s="4" t="s">
        <v>1079</v>
      </c>
    </row>
    <row r="1147">
      <c r="A1147" s="4" t="s">
        <v>1080</v>
      </c>
    </row>
    <row r="1148">
      <c r="A1148" s="4" t="s">
        <v>1081</v>
      </c>
    </row>
    <row r="1149">
      <c r="A1149" s="4"/>
    </row>
    <row r="1150">
      <c r="A1150" s="4" t="s">
        <v>1082</v>
      </c>
      <c r="B1150" s="5">
        <v>1111.0</v>
      </c>
      <c r="C1150" s="5">
        <v>27.6</v>
      </c>
      <c r="D1150" s="5">
        <v>37.0</v>
      </c>
      <c r="F1150" s="5">
        <v>8.09</v>
      </c>
      <c r="H1150" s="5">
        <v>2.23</v>
      </c>
    </row>
    <row r="1151">
      <c r="A1151" s="4" t="s">
        <v>1083</v>
      </c>
      <c r="B1151" s="5">
        <v>1112.0</v>
      </c>
      <c r="C1151" s="5">
        <v>29.7</v>
      </c>
      <c r="D1151" s="5">
        <v>29.5</v>
      </c>
      <c r="F1151" s="5">
        <v>10.2</v>
      </c>
      <c r="H1151" s="5">
        <v>2.33</v>
      </c>
    </row>
    <row r="1152">
      <c r="A1152" s="4" t="s">
        <v>1084</v>
      </c>
      <c r="B1152" s="5">
        <v>1106.0</v>
      </c>
      <c r="C1152" s="5">
        <v>21.5</v>
      </c>
      <c r="D1152" s="5">
        <v>23.5</v>
      </c>
      <c r="F1152" s="5">
        <v>5.91</v>
      </c>
      <c r="H1152" s="5">
        <v>0.92</v>
      </c>
    </row>
    <row r="1153">
      <c r="A1153" s="4" t="s">
        <v>1085</v>
      </c>
      <c r="B1153" s="5">
        <v>1110.0</v>
      </c>
      <c r="C1153" s="5">
        <v>30.2</v>
      </c>
      <c r="D1153" s="5">
        <v>33.7</v>
      </c>
      <c r="F1153" s="5">
        <v>6.2</v>
      </c>
      <c r="H1153" s="5">
        <v>0.56</v>
      </c>
    </row>
    <row r="1154">
      <c r="A1154" s="4" t="s">
        <v>1086</v>
      </c>
      <c r="B1154" s="5">
        <v>1105.0</v>
      </c>
      <c r="C1154" s="5">
        <v>18.1</v>
      </c>
      <c r="D1154" s="5">
        <v>20.0</v>
      </c>
      <c r="F1154" s="5">
        <v>6.42</v>
      </c>
      <c r="H1154" s="5">
        <v>0.47</v>
      </c>
    </row>
    <row r="1155">
      <c r="A1155" s="4" t="s">
        <v>1087</v>
      </c>
      <c r="B1155" s="5">
        <v>1101.0</v>
      </c>
      <c r="C1155" s="5">
        <v>21.3</v>
      </c>
      <c r="D1155" s="5">
        <v>24.6</v>
      </c>
      <c r="F1155" s="5">
        <v>4.57</v>
      </c>
      <c r="H1155" s="5">
        <v>0.19</v>
      </c>
    </row>
    <row r="1156">
      <c r="A1156" s="4" t="s">
        <v>1088</v>
      </c>
      <c r="B1156" s="5">
        <v>1109.0</v>
      </c>
      <c r="C1156" s="5">
        <v>14.7</v>
      </c>
      <c r="D1156" s="5">
        <v>17.2</v>
      </c>
      <c r="F1156" s="5">
        <v>6.08</v>
      </c>
      <c r="H1156" s="5">
        <v>0.85</v>
      </c>
    </row>
    <row r="1157">
      <c r="A1157" s="4" t="s">
        <v>1089</v>
      </c>
      <c r="B1157" s="5">
        <v>1108.0</v>
      </c>
      <c r="C1157" s="5">
        <v>22.1</v>
      </c>
      <c r="D1157" s="5">
        <v>28.1</v>
      </c>
      <c r="F1157" s="5">
        <v>5.96</v>
      </c>
      <c r="H1157" s="5">
        <v>0.51</v>
      </c>
    </row>
    <row r="1158">
      <c r="A1158" s="4" t="s">
        <v>1090</v>
      </c>
      <c r="B1158" s="5">
        <v>1104.0</v>
      </c>
      <c r="C1158" s="5">
        <v>12.2</v>
      </c>
      <c r="D1158" s="5">
        <v>10.1</v>
      </c>
      <c r="F1158" s="5">
        <v>3.54</v>
      </c>
      <c r="H1158" s="5">
        <v>0.08</v>
      </c>
    </row>
    <row r="1159">
      <c r="A1159" s="4" t="s">
        <v>1091</v>
      </c>
      <c r="B1159" s="5">
        <v>1102.0</v>
      </c>
      <c r="C1159" s="5">
        <v>16.7</v>
      </c>
      <c r="D1159" s="5">
        <v>14.8</v>
      </c>
      <c r="F1159" s="5">
        <v>5.15</v>
      </c>
      <c r="H1159" s="5">
        <v>0.21</v>
      </c>
    </row>
    <row r="1160">
      <c r="A1160" s="4" t="s">
        <v>1092</v>
      </c>
      <c r="B1160" s="5">
        <v>1107.0</v>
      </c>
      <c r="C1160" s="5">
        <v>16.6</v>
      </c>
      <c r="D1160" s="5">
        <v>16.0</v>
      </c>
      <c r="F1160" s="5">
        <v>4.19</v>
      </c>
      <c r="H1160" s="5">
        <v>0.14</v>
      </c>
    </row>
    <row r="1161">
      <c r="A1161" s="4" t="s">
        <v>1093</v>
      </c>
      <c r="B1161" s="5">
        <v>1103.0</v>
      </c>
      <c r="C1161" s="5">
        <v>20.6</v>
      </c>
      <c r="D1161" s="5">
        <v>20.0</v>
      </c>
      <c r="F1161" s="5">
        <v>5.82</v>
      </c>
      <c r="H1161" s="5">
        <v>0.34</v>
      </c>
    </row>
    <row r="1162">
      <c r="A1162" s="4"/>
    </row>
    <row r="1163">
      <c r="A1163" s="4" t="s">
        <v>1094</v>
      </c>
    </row>
    <row r="1164">
      <c r="A1164" s="4" t="s">
        <v>1095</v>
      </c>
    </row>
    <row r="1165">
      <c r="A1165" s="4" t="s">
        <v>1096</v>
      </c>
    </row>
    <row r="1166">
      <c r="A1166" s="4" t="s">
        <v>1097</v>
      </c>
    </row>
    <row r="1167">
      <c r="A1167" s="4" t="s">
        <v>1098</v>
      </c>
    </row>
    <row r="1168">
      <c r="A1168" s="4" t="s">
        <v>1099</v>
      </c>
    </row>
    <row r="1169">
      <c r="A1169" s="4" t="s">
        <v>1100</v>
      </c>
    </row>
    <row r="1170">
      <c r="A1170" s="4" t="s">
        <v>1101</v>
      </c>
    </row>
    <row r="1171">
      <c r="A1171" s="4" t="s">
        <v>1102</v>
      </c>
    </row>
    <row r="1172">
      <c r="A1172" s="4" t="s">
        <v>1103</v>
      </c>
    </row>
    <row r="1173">
      <c r="A1173" s="4" t="s">
        <v>1104</v>
      </c>
    </row>
    <row r="1174">
      <c r="A1174" s="4"/>
    </row>
    <row r="1175">
      <c r="A1175" s="4" t="s">
        <v>1105</v>
      </c>
    </row>
    <row r="1176">
      <c r="A1176" s="8" t="s">
        <v>1106</v>
      </c>
    </row>
    <row r="1177">
      <c r="A1177" s="4" t="s">
        <v>1107</v>
      </c>
    </row>
    <row r="1178">
      <c r="A1178" s="4" t="s">
        <v>1108</v>
      </c>
    </row>
    <row r="1179">
      <c r="A1179" s="4" t="s">
        <v>1109</v>
      </c>
    </row>
    <row r="1180">
      <c r="A1180" s="4" t="s">
        <v>1110</v>
      </c>
    </row>
    <row r="1181">
      <c r="A1181" s="4" t="s">
        <v>1111</v>
      </c>
    </row>
    <row r="1182">
      <c r="A1182" s="4" t="s">
        <v>1112</v>
      </c>
    </row>
    <row r="1183">
      <c r="A1183" s="4" t="s">
        <v>1113</v>
      </c>
    </row>
    <row r="1184">
      <c r="A1184" s="4" t="s">
        <v>1114</v>
      </c>
    </row>
    <row r="1185">
      <c r="A1185" s="4" t="s">
        <v>1115</v>
      </c>
    </row>
    <row r="1186">
      <c r="A1186" s="4" t="s">
        <v>1116</v>
      </c>
    </row>
    <row r="1187">
      <c r="A1187" s="4" t="s">
        <v>1117</v>
      </c>
    </row>
    <row r="1188">
      <c r="A1188" s="4" t="s">
        <v>1118</v>
      </c>
    </row>
    <row r="1189">
      <c r="A1189" s="4" t="s">
        <v>1119</v>
      </c>
    </row>
    <row r="1190">
      <c r="A1190" s="4"/>
    </row>
    <row r="1191">
      <c r="A1191" s="4" t="s">
        <v>1120</v>
      </c>
    </row>
    <row r="1192">
      <c r="A1192" s="4" t="s">
        <v>1121</v>
      </c>
    </row>
    <row r="1193">
      <c r="A1193" s="4" t="s">
        <v>1122</v>
      </c>
    </row>
    <row r="1194">
      <c r="A1194" s="4" t="s">
        <v>1123</v>
      </c>
    </row>
    <row r="1195">
      <c r="A1195" s="4" t="s">
        <v>1124</v>
      </c>
    </row>
    <row r="1196">
      <c r="A1196" s="4" t="s">
        <v>1125</v>
      </c>
    </row>
    <row r="1197">
      <c r="A1197" s="4" t="s">
        <v>1126</v>
      </c>
    </row>
    <row r="1198">
      <c r="A1198" s="4"/>
    </row>
    <row r="1199">
      <c r="A1199" s="4" t="s">
        <v>1127</v>
      </c>
    </row>
    <row r="1200">
      <c r="A1200" s="4" t="s">
        <v>1128</v>
      </c>
    </row>
    <row r="1201">
      <c r="A1201" s="4" t="s">
        <v>1129</v>
      </c>
    </row>
    <row r="1202">
      <c r="A1202" s="4" t="s">
        <v>1130</v>
      </c>
    </row>
    <row r="1203">
      <c r="A1203" s="4" t="s">
        <v>1131</v>
      </c>
    </row>
    <row r="1204">
      <c r="A1204" s="4"/>
    </row>
    <row r="1205">
      <c r="A1205" s="4" t="s">
        <v>1132</v>
      </c>
    </row>
    <row r="1206">
      <c r="A1206" s="4" t="s">
        <v>1133</v>
      </c>
    </row>
    <row r="1207">
      <c r="A1207" s="4" t="s">
        <v>1134</v>
      </c>
    </row>
    <row r="1208">
      <c r="A1208" s="4" t="s">
        <v>1135</v>
      </c>
    </row>
    <row r="1209">
      <c r="A1209" s="4"/>
    </row>
    <row r="1210">
      <c r="A1210" s="4" t="s">
        <v>1136</v>
      </c>
    </row>
    <row r="1211">
      <c r="A1211" s="4" t="s">
        <v>1137</v>
      </c>
    </row>
    <row r="1212">
      <c r="A1212" s="4" t="s">
        <v>1138</v>
      </c>
    </row>
    <row r="1213">
      <c r="A1213" s="4" t="s">
        <v>1139</v>
      </c>
    </row>
    <row r="1214">
      <c r="A1214" s="4" t="s">
        <v>1140</v>
      </c>
    </row>
    <row r="1215">
      <c r="A1215" s="4"/>
    </row>
    <row r="1216">
      <c r="A1216" s="4" t="s">
        <v>1141</v>
      </c>
    </row>
    <row r="1217">
      <c r="A1217" s="4" t="s">
        <v>1142</v>
      </c>
    </row>
    <row r="1218">
      <c r="A1218" s="4" t="s">
        <v>1143</v>
      </c>
    </row>
    <row r="1219">
      <c r="A1219" s="4" t="s">
        <v>1144</v>
      </c>
    </row>
    <row r="1220">
      <c r="A1220" s="4" t="s">
        <v>1145</v>
      </c>
    </row>
    <row r="1221">
      <c r="A1221" s="4" t="s">
        <v>1146</v>
      </c>
    </row>
    <row r="1222">
      <c r="A1222" s="4" t="s">
        <v>1147</v>
      </c>
    </row>
    <row r="1223">
      <c r="A1223" s="4"/>
    </row>
    <row r="1224">
      <c r="A1224" s="4" t="s">
        <v>1148</v>
      </c>
    </row>
    <row r="1225">
      <c r="A1225" s="4" t="s">
        <v>1149</v>
      </c>
    </row>
    <row r="1226">
      <c r="A1226" s="4" t="s">
        <v>1150</v>
      </c>
    </row>
    <row r="1227">
      <c r="A1227" s="4" t="s">
        <v>1151</v>
      </c>
    </row>
    <row r="1228">
      <c r="A1228" s="4"/>
    </row>
    <row r="1229">
      <c r="A1229" s="4" t="s">
        <v>1152</v>
      </c>
    </row>
    <row r="1230">
      <c r="A1230" s="4" t="s">
        <v>1153</v>
      </c>
    </row>
    <row r="1231">
      <c r="A1231" s="4" t="s">
        <v>1154</v>
      </c>
    </row>
    <row r="1232">
      <c r="A1232" s="4" t="s">
        <v>1155</v>
      </c>
    </row>
    <row r="1233">
      <c r="A1233" s="4"/>
    </row>
    <row r="1234">
      <c r="A1234" s="4" t="s">
        <v>1156</v>
      </c>
    </row>
    <row r="1235">
      <c r="A1235" s="4" t="s">
        <v>1157</v>
      </c>
    </row>
    <row r="1236">
      <c r="A1236" s="4" t="s">
        <v>1158</v>
      </c>
    </row>
    <row r="1237">
      <c r="A1237" s="4"/>
    </row>
    <row r="1238">
      <c r="A1238" s="4" t="s">
        <v>1159</v>
      </c>
    </row>
    <row r="1239">
      <c r="A1239" s="4" t="s">
        <v>1160</v>
      </c>
    </row>
    <row r="1240">
      <c r="A1240" s="4" t="s">
        <v>1161</v>
      </c>
    </row>
    <row r="1241">
      <c r="A1241" s="4" t="s">
        <v>1162</v>
      </c>
    </row>
    <row r="1242">
      <c r="A1242" s="4" t="s">
        <v>1163</v>
      </c>
    </row>
    <row r="1243">
      <c r="A1243" s="4"/>
    </row>
    <row r="1244">
      <c r="A1244" s="4" t="s">
        <v>1164</v>
      </c>
    </row>
    <row r="1245">
      <c r="A1245" s="4" t="s">
        <v>1165</v>
      </c>
    </row>
    <row r="1246">
      <c r="A1246" s="4" t="s">
        <v>1166</v>
      </c>
    </row>
    <row r="1247">
      <c r="A1247" s="4" t="s">
        <v>1167</v>
      </c>
    </row>
    <row r="1248">
      <c r="A1248" s="4"/>
    </row>
    <row r="1249">
      <c r="A1249" s="4" t="s">
        <v>1168</v>
      </c>
    </row>
    <row r="1250">
      <c r="A1250" s="4" t="s">
        <v>1169</v>
      </c>
    </row>
    <row r="1251">
      <c r="A1251" s="4" t="s">
        <v>1170</v>
      </c>
    </row>
    <row r="1252">
      <c r="A1252" s="4"/>
    </row>
    <row r="1253">
      <c r="A1253" s="4" t="s">
        <v>1171</v>
      </c>
    </row>
    <row r="1254">
      <c r="A1254" s="4" t="s">
        <v>1172</v>
      </c>
    </row>
    <row r="1255">
      <c r="A1255" s="4" t="s">
        <v>1173</v>
      </c>
    </row>
    <row r="1256">
      <c r="A1256" s="4"/>
    </row>
    <row r="1257">
      <c r="A1257" s="4" t="s">
        <v>1174</v>
      </c>
    </row>
    <row r="1258">
      <c r="A1258" s="4" t="s">
        <v>1175</v>
      </c>
    </row>
    <row r="1259">
      <c r="A1259" s="4"/>
    </row>
    <row r="1260">
      <c r="A1260" s="4" t="s">
        <v>1176</v>
      </c>
    </row>
    <row r="1261">
      <c r="A1261" s="4" t="s">
        <v>1177</v>
      </c>
    </row>
    <row r="1262">
      <c r="A1262" s="4"/>
    </row>
    <row r="1263">
      <c r="A1263" s="4" t="s">
        <v>1178</v>
      </c>
    </row>
    <row r="1264">
      <c r="A1264" s="4" t="s">
        <v>1179</v>
      </c>
    </row>
    <row r="1265">
      <c r="A1265" s="4" t="s">
        <v>1180</v>
      </c>
    </row>
    <row r="1266">
      <c r="A1266" s="4" t="s">
        <v>1181</v>
      </c>
    </row>
    <row r="1267">
      <c r="A1267" s="4"/>
    </row>
    <row r="1268">
      <c r="A1268" s="4" t="s">
        <v>1182</v>
      </c>
    </row>
    <row r="1269">
      <c r="A1269" s="4" t="s">
        <v>1183</v>
      </c>
    </row>
    <row r="1270">
      <c r="A1270" s="4"/>
    </row>
    <row r="1271">
      <c r="A1271" s="4" t="s">
        <v>1184</v>
      </c>
    </row>
    <row r="1272">
      <c r="A1272" s="4" t="s">
        <v>1185</v>
      </c>
    </row>
    <row r="1273">
      <c r="A1273" s="4"/>
    </row>
    <row r="1274">
      <c r="A1274" s="4" t="s">
        <v>1186</v>
      </c>
    </row>
    <row r="1275">
      <c r="A1275" s="4" t="s">
        <v>1187</v>
      </c>
    </row>
    <row r="1276">
      <c r="A1276" s="4"/>
    </row>
    <row r="1277">
      <c r="A1277" s="4" t="s">
        <v>1188</v>
      </c>
    </row>
    <row r="1278">
      <c r="A1278" s="4" t="s">
        <v>1189</v>
      </c>
    </row>
    <row r="1279">
      <c r="A1279" s="4"/>
    </row>
    <row r="1280">
      <c r="A1280" s="4" t="s">
        <v>1190</v>
      </c>
    </row>
    <row r="1281">
      <c r="A1281" s="4" t="s">
        <v>1191</v>
      </c>
    </row>
    <row r="1282">
      <c r="A1282" s="4"/>
    </row>
    <row r="1283">
      <c r="A1283" s="4" t="s">
        <v>1192</v>
      </c>
    </row>
    <row r="1284">
      <c r="A1284" s="4" t="s">
        <v>1193</v>
      </c>
    </row>
    <row r="1285">
      <c r="A1285" s="4"/>
    </row>
    <row r="1286">
      <c r="A1286" s="4" t="s">
        <v>1194</v>
      </c>
    </row>
    <row r="1287">
      <c r="A1287" s="4"/>
    </row>
    <row r="1288">
      <c r="A1288" s="4" t="s">
        <v>1195</v>
      </c>
    </row>
    <row r="1289">
      <c r="A1289" s="4" t="s">
        <v>1196</v>
      </c>
    </row>
    <row r="1290">
      <c r="A1290" s="4"/>
    </row>
    <row r="1291">
      <c r="A1291" s="4" t="s">
        <v>1197</v>
      </c>
    </row>
    <row r="1292">
      <c r="A1292" s="4"/>
    </row>
    <row r="1293">
      <c r="A1293" s="4" t="s">
        <v>1198</v>
      </c>
    </row>
    <row r="1294">
      <c r="A1294" s="4"/>
    </row>
    <row r="1295">
      <c r="A1295" s="4" t="s">
        <v>1199</v>
      </c>
    </row>
    <row r="1296">
      <c r="A1296" s="4"/>
    </row>
    <row r="1297">
      <c r="A1297" s="4" t="s">
        <v>1200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1201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8</v>
      </c>
      <c r="B2" s="5">
        <v>722.0</v>
      </c>
      <c r="C2" s="5">
        <v>17.9</v>
      </c>
      <c r="D2" s="5">
        <v>19.0</v>
      </c>
      <c r="F2" s="5">
        <v>11.09</v>
      </c>
      <c r="G2" s="5">
        <v>1.0</v>
      </c>
      <c r="H2" s="5">
        <v>4.79</v>
      </c>
    </row>
    <row r="3">
      <c r="A3" s="4" t="s">
        <v>9</v>
      </c>
      <c r="B3" s="5">
        <v>719.0</v>
      </c>
      <c r="C3" s="5">
        <v>22.5</v>
      </c>
      <c r="D3" s="5">
        <v>20.3</v>
      </c>
      <c r="F3" s="5">
        <v>10.19</v>
      </c>
      <c r="H3" s="5">
        <v>2.68</v>
      </c>
      <c r="K3" s="2" t="s">
        <v>10</v>
      </c>
    </row>
    <row r="4">
      <c r="A4" s="4" t="s">
        <v>12</v>
      </c>
      <c r="B4" s="5">
        <v>721.0</v>
      </c>
      <c r="C4" s="5">
        <v>25.2</v>
      </c>
      <c r="D4" s="5">
        <v>18.2</v>
      </c>
      <c r="F4" s="5">
        <v>9.72</v>
      </c>
      <c r="H4" s="5">
        <v>3.05</v>
      </c>
      <c r="K4" s="6">
        <f>counta(H2:H1005)</f>
        <v>233</v>
      </c>
    </row>
    <row r="5">
      <c r="A5" s="4" t="s">
        <v>11</v>
      </c>
      <c r="B5" s="5">
        <v>718.0</v>
      </c>
      <c r="C5" s="5">
        <v>25.2</v>
      </c>
      <c r="D5" s="5">
        <v>21.4</v>
      </c>
      <c r="F5" s="5">
        <v>10.42</v>
      </c>
      <c r="H5" s="5">
        <v>2.73</v>
      </c>
    </row>
    <row r="6">
      <c r="A6" s="4" t="s">
        <v>1202</v>
      </c>
      <c r="B6" s="5">
        <v>717.0</v>
      </c>
      <c r="C6" s="5">
        <v>17.0</v>
      </c>
      <c r="D6" s="5">
        <v>20.5</v>
      </c>
      <c r="E6" s="5">
        <v>7.5</v>
      </c>
      <c r="F6" s="5">
        <v>8.08</v>
      </c>
      <c r="H6" s="5">
        <v>0.56</v>
      </c>
      <c r="J6" s="2" t="s">
        <v>14</v>
      </c>
    </row>
    <row r="7">
      <c r="A7" s="4" t="s">
        <v>19</v>
      </c>
      <c r="B7" s="5">
        <v>720.0</v>
      </c>
      <c r="C7" s="5">
        <v>22.7</v>
      </c>
      <c r="D7" s="5">
        <v>21.4</v>
      </c>
      <c r="F7" s="5">
        <v>8.22</v>
      </c>
      <c r="H7" s="5">
        <v>1.45</v>
      </c>
      <c r="J7" s="6">
        <f>counta(H2:H137)</f>
        <v>89</v>
      </c>
    </row>
    <row r="8">
      <c r="A8" s="4" t="s">
        <v>15</v>
      </c>
      <c r="B8" s="5">
        <v>713.0</v>
      </c>
      <c r="C8" s="5">
        <v>15.2</v>
      </c>
      <c r="D8" s="5">
        <v>15.6</v>
      </c>
      <c r="F8" s="5">
        <v>6.95</v>
      </c>
      <c r="H8" s="5">
        <v>0.87</v>
      </c>
      <c r="J8" s="6">
        <f>sum(H2:H137)/J7</f>
        <v>0.9415730337</v>
      </c>
    </row>
    <row r="9">
      <c r="A9" s="4" t="s">
        <v>1203</v>
      </c>
      <c r="B9" s="5">
        <v>712.0</v>
      </c>
      <c r="C9" s="5">
        <v>25.0</v>
      </c>
      <c r="D9" s="5">
        <v>22.7</v>
      </c>
      <c r="F9" s="5">
        <v>6.73</v>
      </c>
      <c r="H9" s="5">
        <v>0.5</v>
      </c>
    </row>
    <row r="10">
      <c r="A10" s="4" t="s">
        <v>16</v>
      </c>
      <c r="B10" s="5">
        <v>716.0</v>
      </c>
      <c r="C10" s="5">
        <v>32.2</v>
      </c>
      <c r="D10" s="5">
        <v>29.1</v>
      </c>
      <c r="F10" s="5">
        <v>8.6</v>
      </c>
      <c r="H10" s="5">
        <v>0.91</v>
      </c>
    </row>
    <row r="11">
      <c r="A11" s="4" t="s">
        <v>20</v>
      </c>
      <c r="B11" s="5">
        <v>706.0</v>
      </c>
      <c r="C11" s="5">
        <v>22.5</v>
      </c>
      <c r="D11" s="5">
        <v>19.7</v>
      </c>
      <c r="F11" s="5">
        <v>7.05</v>
      </c>
      <c r="H11" s="5">
        <v>0.69</v>
      </c>
    </row>
    <row r="12">
      <c r="A12" s="4" t="s">
        <v>1204</v>
      </c>
      <c r="B12" s="5">
        <v>715.0</v>
      </c>
      <c r="C12" s="5">
        <v>23.5</v>
      </c>
      <c r="D12" s="5">
        <v>22.9</v>
      </c>
      <c r="F12" s="5">
        <v>5.43</v>
      </c>
      <c r="H12" s="5">
        <v>0.41</v>
      </c>
    </row>
    <row r="13">
      <c r="A13" s="4" t="s">
        <v>1205</v>
      </c>
      <c r="B13" s="5">
        <v>711.0</v>
      </c>
      <c r="C13" s="5">
        <v>20.9</v>
      </c>
      <c r="D13" s="5">
        <v>20.7</v>
      </c>
      <c r="F13" s="5">
        <v>4.95</v>
      </c>
      <c r="H13" s="5">
        <v>0.23</v>
      </c>
    </row>
    <row r="14">
      <c r="A14" s="4" t="s">
        <v>28</v>
      </c>
      <c r="B14" s="5">
        <v>714.0</v>
      </c>
      <c r="C14" s="5">
        <v>23.8</v>
      </c>
      <c r="D14" s="5">
        <v>19.2</v>
      </c>
      <c r="F14" s="5">
        <v>7.45</v>
      </c>
      <c r="H14" s="5">
        <v>0.84</v>
      </c>
    </row>
    <row r="15">
      <c r="A15" s="4" t="s">
        <v>1206</v>
      </c>
      <c r="B15" s="5">
        <v>709.0</v>
      </c>
      <c r="C15" s="5">
        <v>17.7</v>
      </c>
      <c r="D15" s="5">
        <v>26.8</v>
      </c>
      <c r="F15" s="5">
        <v>6.65</v>
      </c>
      <c r="H15" s="5">
        <v>0.44</v>
      </c>
    </row>
    <row r="16">
      <c r="A16" s="4" t="s">
        <v>30</v>
      </c>
      <c r="B16" s="5">
        <v>701.0</v>
      </c>
      <c r="C16" s="5">
        <v>22.6</v>
      </c>
      <c r="D16" s="5">
        <v>20.7</v>
      </c>
      <c r="F16" s="5">
        <v>6.68</v>
      </c>
      <c r="H16" s="5">
        <v>0.52</v>
      </c>
    </row>
    <row r="17">
      <c r="A17" s="4" t="s">
        <v>1207</v>
      </c>
      <c r="B17" s="5">
        <v>200.0</v>
      </c>
      <c r="C17" s="5">
        <v>15.2</v>
      </c>
      <c r="D17" s="5">
        <v>14.8</v>
      </c>
      <c r="F17" s="5">
        <v>6.1</v>
      </c>
      <c r="H17" s="5">
        <v>0.26</v>
      </c>
    </row>
    <row r="18">
      <c r="A18" s="4" t="s">
        <v>1208</v>
      </c>
      <c r="B18" s="5">
        <v>703.0</v>
      </c>
      <c r="C18" s="5">
        <v>17.2</v>
      </c>
      <c r="D18" s="5">
        <v>15.6</v>
      </c>
      <c r="F18" s="5">
        <v>6.25</v>
      </c>
      <c r="H18" s="5">
        <v>0.62</v>
      </c>
    </row>
    <row r="19">
      <c r="A19" s="4" t="s">
        <v>1209</v>
      </c>
      <c r="B19" s="5">
        <v>699.0</v>
      </c>
      <c r="C19" s="5">
        <v>17.7</v>
      </c>
      <c r="D19" s="5">
        <v>14.9</v>
      </c>
      <c r="F19" s="5">
        <v>6.3</v>
      </c>
      <c r="H19" s="5">
        <v>0.57</v>
      </c>
    </row>
    <row r="20">
      <c r="A20" s="4" t="s">
        <v>1210</v>
      </c>
      <c r="B20" s="5">
        <v>707.0</v>
      </c>
      <c r="C20" s="5">
        <v>13.7</v>
      </c>
      <c r="D20" s="5">
        <v>15.0</v>
      </c>
      <c r="F20" s="5">
        <v>5.68</v>
      </c>
      <c r="H20" s="5">
        <v>0.31</v>
      </c>
    </row>
    <row r="21">
      <c r="A21" s="4" t="s">
        <v>1211</v>
      </c>
      <c r="B21" s="5">
        <v>708.0</v>
      </c>
      <c r="C21" s="5">
        <v>19.9</v>
      </c>
      <c r="D21" s="5">
        <v>12.7</v>
      </c>
      <c r="F21" s="5">
        <v>5.57</v>
      </c>
      <c r="H21" s="5">
        <v>0.42</v>
      </c>
    </row>
    <row r="22">
      <c r="A22" s="4" t="s">
        <v>41</v>
      </c>
      <c r="B22" s="5">
        <v>705.0</v>
      </c>
      <c r="C22" s="5">
        <v>23.2</v>
      </c>
      <c r="D22" s="5">
        <v>14.1</v>
      </c>
      <c r="F22" s="5">
        <v>6.28</v>
      </c>
      <c r="H22" s="5">
        <v>0.69</v>
      </c>
    </row>
    <row r="23">
      <c r="A23" s="4" t="s">
        <v>46</v>
      </c>
      <c r="B23" s="5">
        <v>697.0</v>
      </c>
      <c r="C23" s="5">
        <v>16.2</v>
      </c>
      <c r="D23" s="5">
        <v>15.4</v>
      </c>
      <c r="F23" s="5">
        <v>4.95</v>
      </c>
      <c r="H23" s="5">
        <v>0.32</v>
      </c>
    </row>
    <row r="24">
      <c r="A24" s="4" t="s">
        <v>1212</v>
      </c>
      <c r="B24" s="5">
        <v>698.0</v>
      </c>
      <c r="C24" s="5">
        <v>18.2</v>
      </c>
      <c r="D24" s="5">
        <v>17.1</v>
      </c>
      <c r="F24" s="5">
        <v>5.9</v>
      </c>
      <c r="H24" s="5">
        <v>0.39</v>
      </c>
    </row>
    <row r="25">
      <c r="A25" s="4" t="s">
        <v>1213</v>
      </c>
      <c r="B25" s="5">
        <v>704.0</v>
      </c>
      <c r="C25" s="5">
        <v>12.2</v>
      </c>
      <c r="D25" s="5">
        <v>22.3</v>
      </c>
      <c r="F25" s="5">
        <v>7.55</v>
      </c>
      <c r="H25" s="5">
        <v>0.72</v>
      </c>
    </row>
    <row r="26">
      <c r="A26" s="4" t="s">
        <v>1214</v>
      </c>
      <c r="B26" s="5">
        <v>710.0</v>
      </c>
      <c r="C26" s="5">
        <v>22.6</v>
      </c>
      <c r="D26" s="5">
        <v>22.2</v>
      </c>
      <c r="F26" s="5">
        <v>6.56</v>
      </c>
      <c r="H26" s="5">
        <v>0.53</v>
      </c>
    </row>
    <row r="27">
      <c r="A27" s="4" t="s">
        <v>1215</v>
      </c>
      <c r="B27" s="5">
        <v>700.0</v>
      </c>
      <c r="C27" s="5">
        <v>16.2</v>
      </c>
      <c r="D27" s="5">
        <v>16.2</v>
      </c>
      <c r="F27" s="5">
        <v>5.64</v>
      </c>
      <c r="H27" s="5">
        <v>0.26</v>
      </c>
    </row>
    <row r="28">
      <c r="A28" s="4" t="s">
        <v>1216</v>
      </c>
      <c r="B28" s="5">
        <v>199.0</v>
      </c>
      <c r="C28" s="5">
        <v>13.7</v>
      </c>
      <c r="D28" s="5">
        <v>10.4</v>
      </c>
      <c r="F28" s="5">
        <v>4.68</v>
      </c>
      <c r="H28" s="5">
        <v>0.19</v>
      </c>
    </row>
    <row r="29">
      <c r="A29" s="4" t="s">
        <v>1217</v>
      </c>
      <c r="B29" s="5">
        <v>696.0</v>
      </c>
      <c r="C29" s="5">
        <v>15.0</v>
      </c>
      <c r="D29" s="5">
        <v>11.5</v>
      </c>
      <c r="F29" s="5">
        <v>4.29</v>
      </c>
      <c r="H29" s="5">
        <v>0.16</v>
      </c>
    </row>
    <row r="30">
      <c r="A30" s="4" t="s">
        <v>1218</v>
      </c>
      <c r="B30" s="5">
        <v>702.0</v>
      </c>
      <c r="C30" s="5">
        <v>14.4</v>
      </c>
      <c r="D30" s="5">
        <v>14.1</v>
      </c>
      <c r="F30" s="5">
        <v>4.74</v>
      </c>
      <c r="H30" s="5">
        <v>0.21</v>
      </c>
    </row>
    <row r="31">
      <c r="A31" s="4"/>
    </row>
    <row r="32">
      <c r="A32" s="4" t="s">
        <v>50</v>
      </c>
      <c r="B32" s="5">
        <v>190.0</v>
      </c>
      <c r="C32" s="5">
        <v>11.2</v>
      </c>
      <c r="D32" s="5">
        <v>18.1</v>
      </c>
      <c r="F32" s="5">
        <v>9.63</v>
      </c>
      <c r="H32" s="5">
        <v>1.83</v>
      </c>
    </row>
    <row r="33">
      <c r="A33" s="4" t="s">
        <v>52</v>
      </c>
      <c r="B33" s="5">
        <v>187.0</v>
      </c>
      <c r="C33" s="5">
        <v>35.0</v>
      </c>
      <c r="D33" s="5">
        <v>21.3</v>
      </c>
      <c r="F33" s="5">
        <v>7.43</v>
      </c>
      <c r="H33" s="5">
        <v>1.72</v>
      </c>
    </row>
    <row r="34">
      <c r="A34" s="4" t="s">
        <v>51</v>
      </c>
      <c r="B34" s="5">
        <v>189.0</v>
      </c>
      <c r="C34" s="5">
        <v>25.7</v>
      </c>
      <c r="D34" s="5">
        <v>22.5</v>
      </c>
      <c r="F34" s="5">
        <v>8.61</v>
      </c>
      <c r="H34" s="5">
        <v>1.9</v>
      </c>
    </row>
    <row r="35">
      <c r="A35" s="4" t="s">
        <v>1219</v>
      </c>
      <c r="B35" s="5">
        <v>185.0</v>
      </c>
      <c r="C35" s="5">
        <v>23.3</v>
      </c>
      <c r="D35" s="5">
        <v>19.9</v>
      </c>
      <c r="F35" s="5">
        <v>8.58</v>
      </c>
      <c r="H35" s="5">
        <v>0.96</v>
      </c>
    </row>
    <row r="36">
      <c r="A36" s="4" t="s">
        <v>1220</v>
      </c>
    </row>
    <row r="37">
      <c r="A37" s="4" t="s">
        <v>1221</v>
      </c>
      <c r="B37" s="5">
        <v>188.0</v>
      </c>
      <c r="C37" s="5">
        <v>37.7</v>
      </c>
      <c r="D37" s="5">
        <v>26.8</v>
      </c>
      <c r="F37" s="5">
        <v>8.37</v>
      </c>
      <c r="H37" s="5">
        <v>1.15</v>
      </c>
    </row>
    <row r="38">
      <c r="A38" s="4" t="s">
        <v>55</v>
      </c>
      <c r="B38" s="5">
        <v>178.0</v>
      </c>
      <c r="C38" s="5">
        <v>29.5</v>
      </c>
      <c r="D38" s="5">
        <v>18.4</v>
      </c>
      <c r="F38" s="5">
        <v>6.87</v>
      </c>
      <c r="H38" s="5">
        <v>0.75</v>
      </c>
    </row>
    <row r="39">
      <c r="A39" s="4" t="s">
        <v>1222</v>
      </c>
      <c r="B39" s="5">
        <v>184.0</v>
      </c>
      <c r="C39" s="5">
        <v>26.6</v>
      </c>
      <c r="D39" s="5">
        <v>19.3</v>
      </c>
      <c r="F39" s="5">
        <v>6.8</v>
      </c>
      <c r="H39" s="5">
        <v>0.96</v>
      </c>
    </row>
    <row r="40">
      <c r="A40" s="4" t="s">
        <v>75</v>
      </c>
      <c r="B40" s="5">
        <v>180.0</v>
      </c>
      <c r="C40" s="5">
        <v>22.0</v>
      </c>
      <c r="D40" s="5">
        <v>18.9</v>
      </c>
      <c r="F40" s="5">
        <v>6.71</v>
      </c>
      <c r="H40" s="5">
        <v>0.4</v>
      </c>
    </row>
    <row r="41">
      <c r="A41" s="4" t="s">
        <v>56</v>
      </c>
      <c r="B41" s="5">
        <v>186.0</v>
      </c>
      <c r="C41" s="5">
        <v>29.4</v>
      </c>
      <c r="D41" s="5">
        <v>24.7</v>
      </c>
      <c r="F41" s="5">
        <v>6.23</v>
      </c>
      <c r="H41" s="5">
        <v>0.84</v>
      </c>
    </row>
    <row r="42">
      <c r="A42" s="4" t="s">
        <v>1223</v>
      </c>
    </row>
    <row r="43">
      <c r="A43" s="4" t="s">
        <v>1224</v>
      </c>
      <c r="B43" s="5">
        <v>181.0</v>
      </c>
      <c r="C43" s="5">
        <v>22.0</v>
      </c>
      <c r="D43" s="5">
        <v>23.6</v>
      </c>
      <c r="F43" s="5">
        <v>3.06</v>
      </c>
      <c r="H43" s="5">
        <v>0.23</v>
      </c>
    </row>
    <row r="44">
      <c r="A44" s="4" t="s">
        <v>60</v>
      </c>
    </row>
    <row r="45">
      <c r="A45" s="4" t="s">
        <v>1225</v>
      </c>
    </row>
    <row r="46">
      <c r="A46" s="4" t="s">
        <v>63</v>
      </c>
      <c r="B46" s="5">
        <v>179.0</v>
      </c>
      <c r="C46" s="5">
        <v>25.7</v>
      </c>
      <c r="D46" s="5">
        <v>25.2</v>
      </c>
      <c r="F46" s="5">
        <v>7.1</v>
      </c>
      <c r="H46" s="5">
        <v>1.21</v>
      </c>
    </row>
    <row r="47">
      <c r="A47" s="4" t="s">
        <v>64</v>
      </c>
    </row>
    <row r="48">
      <c r="A48" s="4" t="s">
        <v>1226</v>
      </c>
    </row>
    <row r="49">
      <c r="A49" s="4" t="s">
        <v>66</v>
      </c>
    </row>
    <row r="50">
      <c r="A50" s="4" t="s">
        <v>1227</v>
      </c>
    </row>
    <row r="51">
      <c r="A51" s="4" t="s">
        <v>65</v>
      </c>
    </row>
    <row r="52">
      <c r="A52" s="4" t="s">
        <v>1228</v>
      </c>
    </row>
    <row r="53">
      <c r="A53" s="4" t="s">
        <v>73</v>
      </c>
    </row>
    <row r="54">
      <c r="A54" s="4" t="s">
        <v>57</v>
      </c>
      <c r="B54" s="5">
        <v>182.0</v>
      </c>
      <c r="C54" s="5">
        <v>23.8</v>
      </c>
      <c r="D54" s="5">
        <v>16.7</v>
      </c>
      <c r="F54" s="5">
        <v>5.8</v>
      </c>
      <c r="H54" s="5">
        <v>0.65</v>
      </c>
    </row>
    <row r="55">
      <c r="A55" s="4" t="s">
        <v>76</v>
      </c>
      <c r="B55" s="5">
        <v>177.0</v>
      </c>
      <c r="C55" s="5">
        <v>18.6</v>
      </c>
      <c r="D55" s="5">
        <v>14.0</v>
      </c>
      <c r="F55" s="5">
        <v>4.84</v>
      </c>
      <c r="H55" s="5">
        <v>0.45</v>
      </c>
    </row>
    <row r="56">
      <c r="A56" s="4" t="s">
        <v>1229</v>
      </c>
    </row>
    <row r="57">
      <c r="A57" s="4" t="s">
        <v>1230</v>
      </c>
      <c r="B57" s="5">
        <v>183.0</v>
      </c>
      <c r="C57" s="5">
        <v>27.5</v>
      </c>
      <c r="D57" s="5">
        <v>22.8</v>
      </c>
      <c r="F57" s="5">
        <v>4.81</v>
      </c>
      <c r="H57" s="5">
        <v>0.52</v>
      </c>
    </row>
    <row r="58">
      <c r="A58" s="4" t="s">
        <v>92</v>
      </c>
    </row>
    <row r="59">
      <c r="A59" s="4"/>
    </row>
    <row r="60">
      <c r="A60" s="4" t="s">
        <v>93</v>
      </c>
      <c r="B60" s="5">
        <v>751.0</v>
      </c>
      <c r="C60" s="5">
        <v>16.0</v>
      </c>
      <c r="D60" s="5">
        <v>23.6</v>
      </c>
      <c r="F60" s="5">
        <v>10.27</v>
      </c>
      <c r="H60" s="5">
        <v>2.06</v>
      </c>
    </row>
    <row r="61">
      <c r="A61" s="4" t="s">
        <v>1231</v>
      </c>
      <c r="B61" s="5">
        <v>750.0</v>
      </c>
      <c r="C61" s="5">
        <v>27.4</v>
      </c>
      <c r="D61" s="5">
        <v>25.0</v>
      </c>
      <c r="F61" s="5">
        <v>9.37</v>
      </c>
      <c r="H61" s="5">
        <v>2.96</v>
      </c>
    </row>
    <row r="62">
      <c r="A62" s="4" t="s">
        <v>1232</v>
      </c>
      <c r="B62" s="5">
        <v>746.0</v>
      </c>
      <c r="C62" s="5">
        <v>30.4</v>
      </c>
      <c r="D62" s="5">
        <v>22.4</v>
      </c>
      <c r="F62" s="5">
        <v>4.1</v>
      </c>
      <c r="H62" s="5">
        <v>0.48</v>
      </c>
    </row>
    <row r="63">
      <c r="A63" s="4" t="s">
        <v>97</v>
      </c>
      <c r="B63" s="5">
        <v>749.0</v>
      </c>
      <c r="C63" s="5">
        <v>31.6</v>
      </c>
      <c r="D63" s="5">
        <v>26.3</v>
      </c>
      <c r="F63" s="5">
        <v>8.76</v>
      </c>
      <c r="H63" s="5">
        <v>2.17</v>
      </c>
    </row>
    <row r="64">
      <c r="A64" s="4" t="s">
        <v>1233</v>
      </c>
      <c r="B64" s="5">
        <v>747.0</v>
      </c>
      <c r="C64" s="5">
        <v>26.1</v>
      </c>
      <c r="D64" s="5">
        <v>18.8</v>
      </c>
      <c r="F64" s="5">
        <v>7.28</v>
      </c>
      <c r="H64" s="5">
        <v>1.51</v>
      </c>
    </row>
    <row r="65">
      <c r="A65" s="4" t="s">
        <v>1234</v>
      </c>
      <c r="B65" s="5">
        <v>742.0</v>
      </c>
      <c r="C65" s="5">
        <v>20.7</v>
      </c>
      <c r="D65" s="5">
        <v>20.1</v>
      </c>
      <c r="F65" s="5">
        <v>6.99</v>
      </c>
      <c r="H65" s="5">
        <v>0.46</v>
      </c>
    </row>
    <row r="66">
      <c r="A66" s="4" t="s">
        <v>95</v>
      </c>
      <c r="B66" s="5">
        <v>745.0</v>
      </c>
      <c r="C66" s="5">
        <v>23.6</v>
      </c>
      <c r="D66" s="5">
        <v>26.6</v>
      </c>
      <c r="F66" s="5">
        <v>5.76</v>
      </c>
      <c r="H66" s="5">
        <v>5.64</v>
      </c>
    </row>
    <row r="67">
      <c r="A67" s="4" t="s">
        <v>104</v>
      </c>
      <c r="B67" s="5">
        <v>748.0</v>
      </c>
      <c r="C67" s="5">
        <v>25.1</v>
      </c>
      <c r="D67" s="5">
        <v>22.2</v>
      </c>
      <c r="F67" s="5">
        <v>8.5</v>
      </c>
      <c r="H67" s="5">
        <v>1.38</v>
      </c>
    </row>
    <row r="68">
      <c r="A68" s="4" t="s">
        <v>105</v>
      </c>
      <c r="B68" s="5">
        <v>744.0</v>
      </c>
      <c r="C68" s="5">
        <v>22.3</v>
      </c>
      <c r="D68" s="5">
        <v>19.3</v>
      </c>
      <c r="F68" s="5">
        <v>6.12</v>
      </c>
      <c r="H68" s="5">
        <v>1.09</v>
      </c>
    </row>
    <row r="69">
      <c r="A69" s="4" t="s">
        <v>1235</v>
      </c>
    </row>
    <row r="70">
      <c r="A70" s="4" t="s">
        <v>101</v>
      </c>
      <c r="B70" s="5">
        <v>729.0</v>
      </c>
      <c r="C70" s="5">
        <v>19.4</v>
      </c>
      <c r="D70" s="5">
        <v>16.2</v>
      </c>
      <c r="F70" s="5">
        <v>4.94</v>
      </c>
      <c r="H70" s="5">
        <v>0.4</v>
      </c>
    </row>
    <row r="71">
      <c r="A71" s="4" t="s">
        <v>1236</v>
      </c>
    </row>
    <row r="72">
      <c r="A72" s="4" t="s">
        <v>1237</v>
      </c>
      <c r="B72" s="5">
        <v>730.0</v>
      </c>
      <c r="C72" s="5">
        <v>18.5</v>
      </c>
      <c r="D72" s="5">
        <v>16.1</v>
      </c>
      <c r="F72" s="5">
        <v>4.11</v>
      </c>
      <c r="H72" s="5">
        <v>0.2</v>
      </c>
    </row>
    <row r="73">
      <c r="A73" s="4" t="s">
        <v>114</v>
      </c>
      <c r="B73" s="5">
        <v>743.0</v>
      </c>
      <c r="C73" s="5">
        <v>17.1</v>
      </c>
      <c r="D73" s="5">
        <v>16.6</v>
      </c>
      <c r="F73" s="5">
        <v>4.98</v>
      </c>
      <c r="H73" s="5">
        <v>0.41</v>
      </c>
    </row>
    <row r="74">
      <c r="A74" s="4" t="s">
        <v>1238</v>
      </c>
    </row>
    <row r="75">
      <c r="A75" s="4" t="s">
        <v>109</v>
      </c>
      <c r="B75" s="5">
        <v>728.0</v>
      </c>
      <c r="C75" s="5">
        <v>15.1</v>
      </c>
      <c r="D75" s="5">
        <v>11.7</v>
      </c>
      <c r="F75" s="5">
        <v>3.27</v>
      </c>
      <c r="H75" s="5">
        <v>0.14</v>
      </c>
    </row>
    <row r="76">
      <c r="A76" s="4" t="s">
        <v>118</v>
      </c>
    </row>
    <row r="77">
      <c r="A77" s="4"/>
    </row>
    <row r="78">
      <c r="A78" s="4" t="s">
        <v>128</v>
      </c>
      <c r="B78" s="5">
        <v>741.0</v>
      </c>
      <c r="C78" s="5">
        <v>14.2</v>
      </c>
      <c r="D78" s="5">
        <v>27.9</v>
      </c>
      <c r="F78" s="5">
        <v>8.0</v>
      </c>
      <c r="H78" s="5">
        <v>1.67</v>
      </c>
    </row>
    <row r="79">
      <c r="A79" s="4" t="s">
        <v>129</v>
      </c>
      <c r="B79" s="5">
        <v>738.0</v>
      </c>
      <c r="C79" s="5">
        <v>29.2</v>
      </c>
      <c r="D79" s="5">
        <v>26.1</v>
      </c>
      <c r="F79" s="5">
        <v>8.84</v>
      </c>
      <c r="H79" s="5">
        <v>2.26</v>
      </c>
    </row>
    <row r="80">
      <c r="A80" s="4" t="s">
        <v>130</v>
      </c>
      <c r="B80" s="5">
        <v>740.0</v>
      </c>
      <c r="C80" s="5">
        <v>36.0</v>
      </c>
      <c r="D80" s="5">
        <v>29.4</v>
      </c>
      <c r="F80" s="5">
        <v>7.54</v>
      </c>
      <c r="H80" s="5">
        <v>1.17</v>
      </c>
    </row>
    <row r="81">
      <c r="A81" s="4" t="s">
        <v>136</v>
      </c>
      <c r="B81" s="5">
        <v>732.0</v>
      </c>
      <c r="C81" s="5">
        <v>27.1</v>
      </c>
      <c r="D81" s="5">
        <v>22.0</v>
      </c>
      <c r="F81" s="5">
        <v>7.23</v>
      </c>
      <c r="H81" s="5">
        <v>1.19</v>
      </c>
    </row>
    <row r="82">
      <c r="A82" s="4" t="s">
        <v>1239</v>
      </c>
      <c r="B82" s="5">
        <v>734.0</v>
      </c>
      <c r="C82" s="5">
        <v>22.7</v>
      </c>
      <c r="D82" s="5">
        <v>30.4</v>
      </c>
      <c r="F82" s="5">
        <v>5.06</v>
      </c>
      <c r="H82" s="5">
        <v>0.13</v>
      </c>
    </row>
    <row r="83">
      <c r="A83" s="4" t="s">
        <v>131</v>
      </c>
      <c r="B83" s="5">
        <v>739.0</v>
      </c>
      <c r="C83" s="5">
        <v>26.5</v>
      </c>
      <c r="D83" s="5">
        <v>23.5</v>
      </c>
      <c r="F83" s="5">
        <v>6.87</v>
      </c>
      <c r="H83" s="5">
        <v>1.18</v>
      </c>
    </row>
    <row r="84">
      <c r="A84" s="4" t="s">
        <v>137</v>
      </c>
      <c r="B84" s="5">
        <v>725.0</v>
      </c>
      <c r="C84" s="5">
        <v>20.7</v>
      </c>
      <c r="D84" s="5">
        <v>17.7</v>
      </c>
      <c r="F84" s="5">
        <v>6.49</v>
      </c>
      <c r="H84" s="5">
        <v>0.99</v>
      </c>
    </row>
    <row r="85">
      <c r="A85" s="4" t="s">
        <v>139</v>
      </c>
      <c r="B85" s="5">
        <v>724.0</v>
      </c>
      <c r="C85" s="5">
        <v>14.4</v>
      </c>
      <c r="D85" s="5">
        <v>16.5</v>
      </c>
      <c r="F85" s="5">
        <v>5.77</v>
      </c>
      <c r="H85" s="5">
        <v>0.42</v>
      </c>
    </row>
    <row r="86">
      <c r="A86" s="4" t="s">
        <v>138</v>
      </c>
      <c r="B86" s="5">
        <v>737.0</v>
      </c>
      <c r="C86" s="5">
        <v>25.0</v>
      </c>
      <c r="D86" s="5">
        <v>20.6</v>
      </c>
      <c r="F86" s="5">
        <v>5.81</v>
      </c>
      <c r="H86" s="5">
        <v>0.53</v>
      </c>
    </row>
    <row r="87">
      <c r="A87" s="4" t="s">
        <v>141</v>
      </c>
      <c r="B87" s="5">
        <v>736.0</v>
      </c>
      <c r="C87" s="5">
        <v>16.5</v>
      </c>
      <c r="D87" s="5">
        <v>16.2</v>
      </c>
      <c r="F87" s="5">
        <v>4.21</v>
      </c>
      <c r="H87" s="5">
        <v>0.31</v>
      </c>
    </row>
    <row r="88">
      <c r="A88" s="4" t="s">
        <v>1240</v>
      </c>
      <c r="B88" s="5">
        <v>733.0</v>
      </c>
      <c r="C88" s="5">
        <v>23.5</v>
      </c>
      <c r="D88" s="5">
        <v>13.6</v>
      </c>
      <c r="F88" s="5">
        <v>4.6</v>
      </c>
      <c r="H88" s="5">
        <v>0.68</v>
      </c>
    </row>
    <row r="89">
      <c r="A89" s="4" t="s">
        <v>132</v>
      </c>
      <c r="B89" s="5">
        <v>731.0</v>
      </c>
      <c r="C89" s="5">
        <v>21.8</v>
      </c>
      <c r="D89" s="5">
        <v>14.8</v>
      </c>
      <c r="F89" s="5">
        <v>6.64</v>
      </c>
      <c r="H89" s="5">
        <v>0.63</v>
      </c>
    </row>
    <row r="90">
      <c r="A90" s="4" t="s">
        <v>147</v>
      </c>
      <c r="B90" s="5">
        <v>726.0</v>
      </c>
      <c r="C90" s="5">
        <v>16.8</v>
      </c>
      <c r="D90" s="5">
        <v>15.2</v>
      </c>
      <c r="F90" s="5">
        <v>4.72</v>
      </c>
      <c r="H90" s="5">
        <v>0.27</v>
      </c>
    </row>
    <row r="91">
      <c r="A91" s="4" t="s">
        <v>149</v>
      </c>
      <c r="B91" s="5">
        <v>723.0</v>
      </c>
      <c r="C91" s="5">
        <v>12.0</v>
      </c>
      <c r="D91" s="5">
        <v>9.2</v>
      </c>
      <c r="F91" s="5">
        <v>3.14</v>
      </c>
      <c r="H91" s="5">
        <v>0.05</v>
      </c>
    </row>
    <row r="92">
      <c r="A92" s="4" t="s">
        <v>151</v>
      </c>
      <c r="B92" s="5">
        <v>735.0</v>
      </c>
      <c r="C92" s="5">
        <v>12.2</v>
      </c>
      <c r="D92" s="5">
        <v>10.2</v>
      </c>
      <c r="F92" s="5">
        <v>2.56</v>
      </c>
      <c r="H92" s="5">
        <v>0.06</v>
      </c>
    </row>
    <row r="93">
      <c r="A93" s="4" t="s">
        <v>1241</v>
      </c>
      <c r="B93" s="5">
        <v>727.0</v>
      </c>
      <c r="C93" s="5">
        <v>13.4</v>
      </c>
      <c r="D93" s="5">
        <v>13.5</v>
      </c>
      <c r="F93" s="5">
        <v>4.09</v>
      </c>
      <c r="H93" s="5">
        <v>0.12</v>
      </c>
    </row>
    <row r="94">
      <c r="A94" s="4"/>
    </row>
    <row r="95">
      <c r="A95" s="4" t="s">
        <v>162</v>
      </c>
      <c r="B95" s="5">
        <v>176.0</v>
      </c>
      <c r="C95" s="5">
        <v>16.2</v>
      </c>
      <c r="D95" s="5">
        <v>11.3</v>
      </c>
      <c r="F95" s="5">
        <v>8.97</v>
      </c>
      <c r="H95" s="5">
        <v>1.59</v>
      </c>
    </row>
    <row r="96">
      <c r="A96" s="4" t="s">
        <v>163</v>
      </c>
      <c r="B96" s="5">
        <v>174.0</v>
      </c>
      <c r="C96" s="5">
        <v>27.3</v>
      </c>
      <c r="D96" s="5">
        <v>28.5</v>
      </c>
      <c r="F96" s="5">
        <v>5.5</v>
      </c>
      <c r="H96" s="5">
        <v>0.91</v>
      </c>
    </row>
    <row r="97">
      <c r="A97" s="4" t="s">
        <v>164</v>
      </c>
      <c r="B97" s="5">
        <v>175.0</v>
      </c>
      <c r="C97" s="5">
        <v>26.1</v>
      </c>
      <c r="D97" s="5">
        <v>19.0</v>
      </c>
      <c r="F97" s="5">
        <v>6.6</v>
      </c>
      <c r="H97" s="5">
        <v>0.54</v>
      </c>
    </row>
    <row r="98">
      <c r="A98" s="4" t="s">
        <v>165</v>
      </c>
      <c r="B98" s="5">
        <v>173.0</v>
      </c>
      <c r="C98" s="5">
        <v>24.6</v>
      </c>
      <c r="D98" s="5">
        <v>21.9</v>
      </c>
      <c r="F98" s="5">
        <v>7.16</v>
      </c>
      <c r="H98" s="5">
        <v>0.77</v>
      </c>
    </row>
    <row r="99">
      <c r="A99" s="4" t="s">
        <v>1242</v>
      </c>
      <c r="B99" s="5">
        <v>170.0</v>
      </c>
      <c r="C99" s="5">
        <v>23.9</v>
      </c>
      <c r="D99" s="5">
        <v>20.3</v>
      </c>
      <c r="F99" s="5">
        <v>7.17</v>
      </c>
      <c r="H99" s="5">
        <v>0.65</v>
      </c>
    </row>
    <row r="100">
      <c r="A100" s="4" t="s">
        <v>166</v>
      </c>
      <c r="B100" s="5">
        <v>172.0</v>
      </c>
      <c r="C100" s="5">
        <v>24.5</v>
      </c>
      <c r="D100" s="5">
        <v>15.7</v>
      </c>
      <c r="F100" s="5">
        <v>6.07</v>
      </c>
      <c r="H100" s="5">
        <v>0.99</v>
      </c>
    </row>
    <row r="101">
      <c r="A101" s="4" t="s">
        <v>170</v>
      </c>
      <c r="B101" s="5">
        <v>171.0</v>
      </c>
      <c r="C101" s="5">
        <v>17.0</v>
      </c>
      <c r="D101" s="5">
        <v>17.2</v>
      </c>
      <c r="F101" s="5">
        <v>5.75</v>
      </c>
      <c r="H101" s="5">
        <v>0.36</v>
      </c>
    </row>
    <row r="102">
      <c r="A102" s="4" t="s">
        <v>1243</v>
      </c>
      <c r="B102" s="5">
        <v>169.0</v>
      </c>
      <c r="C102" s="5">
        <v>23.9</v>
      </c>
      <c r="D102" s="5">
        <v>14.7</v>
      </c>
      <c r="F102" s="5">
        <v>5.99</v>
      </c>
      <c r="H102" s="5">
        <v>0.58</v>
      </c>
    </row>
    <row r="103">
      <c r="A103" s="4" t="s">
        <v>1244</v>
      </c>
      <c r="B103" s="5">
        <v>168.0</v>
      </c>
      <c r="C103" s="5">
        <v>18.0</v>
      </c>
      <c r="D103" s="5">
        <v>17.8</v>
      </c>
      <c r="F103" s="5">
        <v>5.42</v>
      </c>
      <c r="H103" s="5">
        <v>0.23</v>
      </c>
    </row>
    <row r="104">
      <c r="A104" s="4"/>
    </row>
    <row r="105">
      <c r="A105" s="4" t="s">
        <v>183</v>
      </c>
    </row>
    <row r="106">
      <c r="A106" s="4" t="s">
        <v>184</v>
      </c>
    </row>
    <row r="107">
      <c r="A107" s="4" t="s">
        <v>185</v>
      </c>
    </row>
    <row r="108">
      <c r="A108" s="4" t="s">
        <v>187</v>
      </c>
    </row>
    <row r="109">
      <c r="A109" s="4" t="s">
        <v>195</v>
      </c>
    </row>
    <row r="110">
      <c r="A110" s="4"/>
    </row>
    <row r="111">
      <c r="A111" s="4" t="s">
        <v>1245</v>
      </c>
      <c r="B111" s="5">
        <v>198.0</v>
      </c>
      <c r="C111" s="5">
        <v>9.2</v>
      </c>
      <c r="D111" s="5">
        <v>34.1</v>
      </c>
      <c r="E111" s="5">
        <v>11.2</v>
      </c>
      <c r="F111" s="5">
        <v>9.12</v>
      </c>
      <c r="H111" s="5">
        <v>1.4</v>
      </c>
    </row>
    <row r="112">
      <c r="A112" s="4" t="s">
        <v>202</v>
      </c>
      <c r="B112" s="5">
        <v>197.0</v>
      </c>
      <c r="C112" s="5">
        <v>33.2</v>
      </c>
      <c r="D112" s="5">
        <v>22.3</v>
      </c>
      <c r="F112" s="5">
        <v>8.14</v>
      </c>
      <c r="H112" s="5">
        <v>1.11</v>
      </c>
    </row>
    <row r="113">
      <c r="A113" s="4" t="s">
        <v>1246</v>
      </c>
      <c r="B113" s="5">
        <v>196.0</v>
      </c>
      <c r="C113" s="5">
        <v>29.6</v>
      </c>
      <c r="D113" s="5">
        <v>26.6</v>
      </c>
      <c r="F113" s="5">
        <v>8.27</v>
      </c>
      <c r="H113" s="5">
        <v>1.78</v>
      </c>
    </row>
    <row r="114">
      <c r="A114" s="4" t="s">
        <v>204</v>
      </c>
      <c r="B114" s="5">
        <v>194.0</v>
      </c>
      <c r="C114" s="5">
        <v>24.0</v>
      </c>
      <c r="D114" s="5">
        <v>22.9</v>
      </c>
      <c r="F114" s="5">
        <v>5.64</v>
      </c>
      <c r="H114" s="5">
        <v>0.54</v>
      </c>
    </row>
    <row r="115">
      <c r="A115" s="4" t="s">
        <v>1247</v>
      </c>
      <c r="B115" s="5">
        <v>195.0</v>
      </c>
      <c r="C115" s="5">
        <v>23.9</v>
      </c>
      <c r="D115" s="5">
        <v>14.5</v>
      </c>
      <c r="F115" s="5">
        <v>7.75</v>
      </c>
      <c r="H115" s="5">
        <v>0.92</v>
      </c>
    </row>
    <row r="116">
      <c r="A116" s="4" t="s">
        <v>1248</v>
      </c>
      <c r="B116" s="5">
        <v>191.0</v>
      </c>
      <c r="C116" s="5">
        <v>20.2</v>
      </c>
      <c r="D116" s="5">
        <v>16.9</v>
      </c>
      <c r="F116" s="5">
        <v>4.7</v>
      </c>
      <c r="H116" s="5">
        <v>0.32</v>
      </c>
    </row>
    <row r="117">
      <c r="A117" s="4" t="s">
        <v>1249</v>
      </c>
      <c r="B117" s="5">
        <v>193.0</v>
      </c>
      <c r="C117" s="5">
        <v>14.5</v>
      </c>
      <c r="D117" s="5">
        <v>15.2</v>
      </c>
      <c r="F117" s="5">
        <v>5.06</v>
      </c>
      <c r="H117" s="5">
        <v>0.55</v>
      </c>
    </row>
    <row r="118">
      <c r="A118" s="4" t="s">
        <v>1250</v>
      </c>
      <c r="B118" s="5">
        <v>192.0</v>
      </c>
      <c r="C118" s="5">
        <v>16.2</v>
      </c>
      <c r="D118" s="5">
        <v>11.9</v>
      </c>
      <c r="F118" s="5">
        <v>3.12</v>
      </c>
      <c r="H118" s="5">
        <v>0.11</v>
      </c>
    </row>
    <row r="119">
      <c r="A119" s="4"/>
    </row>
    <row r="120">
      <c r="A120" s="4" t="s">
        <v>1251</v>
      </c>
    </row>
    <row r="121">
      <c r="A121" s="4" t="s">
        <v>1252</v>
      </c>
    </row>
    <row r="122">
      <c r="A122" s="4" t="s">
        <v>1253</v>
      </c>
    </row>
    <row r="123">
      <c r="A123" s="4" t="s">
        <v>1254</v>
      </c>
    </row>
    <row r="124">
      <c r="A124" s="4" t="s">
        <v>1255</v>
      </c>
    </row>
    <row r="125">
      <c r="A125" s="4"/>
    </row>
    <row r="126">
      <c r="A126" s="4" t="s">
        <v>237</v>
      </c>
    </row>
    <row r="127">
      <c r="A127" s="4" t="s">
        <v>238</v>
      </c>
    </row>
    <row r="128">
      <c r="A128" s="4" t="s">
        <v>241</v>
      </c>
    </row>
    <row r="129">
      <c r="A129" s="4"/>
    </row>
    <row r="130">
      <c r="A130" s="4" t="s">
        <v>250</v>
      </c>
    </row>
    <row r="131">
      <c r="A131" s="4" t="s">
        <v>251</v>
      </c>
    </row>
    <row r="132">
      <c r="A132" s="4"/>
    </row>
    <row r="133">
      <c r="A133" s="4" t="s">
        <v>263</v>
      </c>
    </row>
    <row r="134">
      <c r="A134" s="4" t="s">
        <v>264</v>
      </c>
    </row>
    <row r="135">
      <c r="A135" s="4"/>
    </row>
    <row r="136">
      <c r="A136" s="4" t="s">
        <v>273</v>
      </c>
    </row>
    <row r="137">
      <c r="A137" s="4" t="s">
        <v>274</v>
      </c>
    </row>
    <row r="138">
      <c r="A138" s="4"/>
    </row>
    <row r="139">
      <c r="A139" s="4" t="s">
        <v>329</v>
      </c>
      <c r="G139" s="5">
        <v>1.0</v>
      </c>
      <c r="J139" s="2" t="s">
        <v>14</v>
      </c>
    </row>
    <row r="140">
      <c r="A140" s="4" t="s">
        <v>330</v>
      </c>
      <c r="J140" s="6">
        <f>counta(H140:H325)</f>
        <v>67</v>
      </c>
    </row>
    <row r="141">
      <c r="A141" s="4" t="s">
        <v>331</v>
      </c>
      <c r="J141" s="6">
        <f>sum(H140:H325)/67</f>
        <v>1.465223881</v>
      </c>
    </row>
    <row r="142">
      <c r="A142" s="4" t="s">
        <v>1256</v>
      </c>
    </row>
    <row r="143">
      <c r="A143" s="4" t="s">
        <v>1257</v>
      </c>
    </row>
    <row r="144">
      <c r="A144" s="4" t="s">
        <v>1258</v>
      </c>
    </row>
    <row r="145">
      <c r="A145" s="4" t="s">
        <v>1259</v>
      </c>
    </row>
    <row r="146">
      <c r="A146" s="4" t="s">
        <v>332</v>
      </c>
    </row>
    <row r="147">
      <c r="A147" s="4" t="s">
        <v>345</v>
      </c>
    </row>
    <row r="148">
      <c r="A148" s="4" t="s">
        <v>337</v>
      </c>
    </row>
    <row r="149">
      <c r="A149" s="4" t="s">
        <v>1260</v>
      </c>
    </row>
    <row r="150">
      <c r="A150" s="4" t="s">
        <v>1261</v>
      </c>
    </row>
    <row r="151">
      <c r="A151" s="4" t="s">
        <v>1262</v>
      </c>
    </row>
    <row r="152">
      <c r="A152" s="4" t="s">
        <v>1263</v>
      </c>
    </row>
    <row r="153">
      <c r="A153" s="4" t="s">
        <v>1264</v>
      </c>
    </row>
    <row r="154">
      <c r="A154" s="4" t="s">
        <v>344</v>
      </c>
    </row>
    <row r="155">
      <c r="A155" s="4" t="s">
        <v>348</v>
      </c>
    </row>
    <row r="156">
      <c r="A156" s="4" t="s">
        <v>1265</v>
      </c>
    </row>
    <row r="157">
      <c r="A157" s="4" t="s">
        <v>1266</v>
      </c>
    </row>
    <row r="158">
      <c r="A158" s="4" t="s">
        <v>1267</v>
      </c>
    </row>
    <row r="159">
      <c r="A159" s="4" t="s">
        <v>1268</v>
      </c>
    </row>
    <row r="160">
      <c r="A160" s="4" t="s">
        <v>1269</v>
      </c>
    </row>
    <row r="161">
      <c r="A161" s="4" t="s">
        <v>1270</v>
      </c>
    </row>
    <row r="162">
      <c r="A162" s="4" t="s">
        <v>1271</v>
      </c>
    </row>
    <row r="163">
      <c r="A163" s="4" t="s">
        <v>1272</v>
      </c>
    </row>
    <row r="164">
      <c r="A164" s="4" t="s">
        <v>1273</v>
      </c>
    </row>
    <row r="165">
      <c r="A165" s="4" t="s">
        <v>1274</v>
      </c>
    </row>
    <row r="166">
      <c r="A166" s="4" t="s">
        <v>1275</v>
      </c>
    </row>
    <row r="167">
      <c r="A167" s="4" t="s">
        <v>347</v>
      </c>
    </row>
    <row r="168">
      <c r="A168" s="4" t="s">
        <v>1276</v>
      </c>
    </row>
    <row r="169">
      <c r="A169" s="4" t="s">
        <v>1277</v>
      </c>
    </row>
    <row r="170">
      <c r="A170" s="4" t="s">
        <v>1278</v>
      </c>
    </row>
    <row r="171">
      <c r="A171" s="4" t="s">
        <v>1279</v>
      </c>
    </row>
    <row r="172">
      <c r="A172" s="4" t="s">
        <v>1280</v>
      </c>
    </row>
    <row r="173">
      <c r="A173" s="4"/>
    </row>
    <row r="174">
      <c r="A174" s="4"/>
    </row>
    <row r="175">
      <c r="A175" s="4" t="s">
        <v>356</v>
      </c>
      <c r="B175" s="5">
        <v>159.0</v>
      </c>
      <c r="C175" s="5">
        <v>28.2</v>
      </c>
      <c r="D175" s="5">
        <v>18.0</v>
      </c>
      <c r="F175" s="5">
        <v>11.79</v>
      </c>
      <c r="H175" s="5">
        <v>4.61</v>
      </c>
    </row>
    <row r="176">
      <c r="A176" s="4" t="s">
        <v>357</v>
      </c>
      <c r="B176" s="5">
        <v>166.0</v>
      </c>
      <c r="C176" s="5">
        <v>16.0</v>
      </c>
      <c r="D176" s="5">
        <v>19.3</v>
      </c>
      <c r="F176" s="5">
        <v>10.86</v>
      </c>
      <c r="H176" s="5">
        <v>3.44</v>
      </c>
    </row>
    <row r="177">
      <c r="A177" s="4" t="s">
        <v>358</v>
      </c>
      <c r="B177" s="5">
        <v>167.0</v>
      </c>
      <c r="C177" s="5">
        <v>18.1</v>
      </c>
      <c r="D177" s="5">
        <v>15.7</v>
      </c>
      <c r="F177" s="5">
        <v>10.78</v>
      </c>
      <c r="H177" s="5">
        <v>2.96</v>
      </c>
    </row>
    <row r="178">
      <c r="A178" s="4" t="s">
        <v>359</v>
      </c>
      <c r="B178" s="5">
        <v>165.0</v>
      </c>
      <c r="C178" s="5">
        <v>26.5</v>
      </c>
      <c r="D178" s="5">
        <v>20.6</v>
      </c>
      <c r="F178" s="5">
        <v>10.05</v>
      </c>
      <c r="H178" s="5">
        <v>3.99</v>
      </c>
    </row>
    <row r="179">
      <c r="A179" s="4" t="s">
        <v>375</v>
      </c>
    </row>
    <row r="180">
      <c r="A180" s="4" t="s">
        <v>1281</v>
      </c>
    </row>
    <row r="181">
      <c r="A181" s="4" t="s">
        <v>1282</v>
      </c>
      <c r="B181" s="5">
        <v>164.0</v>
      </c>
      <c r="C181" s="5">
        <v>29.3</v>
      </c>
      <c r="D181" s="5">
        <v>22.1</v>
      </c>
      <c r="F181" s="5">
        <v>7.39</v>
      </c>
      <c r="H181" s="5">
        <v>0.88</v>
      </c>
    </row>
    <row r="182">
      <c r="A182" s="4" t="s">
        <v>362</v>
      </c>
      <c r="B182" s="5">
        <v>160.0</v>
      </c>
      <c r="C182" s="5">
        <v>23.9</v>
      </c>
      <c r="D182" s="5">
        <v>21.5</v>
      </c>
      <c r="F182" s="5">
        <v>10.77</v>
      </c>
      <c r="H182" s="5">
        <v>2.78</v>
      </c>
    </row>
    <row r="183">
      <c r="A183" s="4" t="s">
        <v>1283</v>
      </c>
    </row>
    <row r="184">
      <c r="A184" s="4" t="s">
        <v>1284</v>
      </c>
    </row>
    <row r="185">
      <c r="A185" s="4" t="s">
        <v>1285</v>
      </c>
    </row>
    <row r="186">
      <c r="A186" s="4" t="s">
        <v>1286</v>
      </c>
      <c r="B186" s="5">
        <v>162.0</v>
      </c>
      <c r="C186" s="5">
        <v>26.3</v>
      </c>
      <c r="D186" s="5">
        <v>22.7</v>
      </c>
      <c r="F186" s="5">
        <v>6.38</v>
      </c>
      <c r="H186" s="5">
        <v>0.64</v>
      </c>
    </row>
    <row r="187">
      <c r="A187" s="4" t="s">
        <v>1287</v>
      </c>
      <c r="B187" s="5">
        <v>163.0</v>
      </c>
      <c r="C187" s="5">
        <v>20.5</v>
      </c>
      <c r="D187" s="5">
        <v>19.2</v>
      </c>
      <c r="F187" s="5">
        <v>6.42</v>
      </c>
      <c r="H187" s="5">
        <v>1.02</v>
      </c>
    </row>
    <row r="188">
      <c r="A188" s="4" t="s">
        <v>1288</v>
      </c>
    </row>
    <row r="189">
      <c r="A189" s="4" t="s">
        <v>366</v>
      </c>
      <c r="B189" s="5">
        <v>161.0</v>
      </c>
      <c r="C189" s="5">
        <v>26.8</v>
      </c>
      <c r="D189" s="5">
        <v>22.1</v>
      </c>
      <c r="F189" s="5">
        <v>7.22</v>
      </c>
      <c r="H189" s="5">
        <v>1.06</v>
      </c>
    </row>
    <row r="190">
      <c r="A190" s="4" t="s">
        <v>372</v>
      </c>
    </row>
    <row r="191">
      <c r="A191" s="4" t="s">
        <v>1289</v>
      </c>
    </row>
    <row r="192">
      <c r="A192" s="4" t="s">
        <v>1290</v>
      </c>
    </row>
    <row r="193">
      <c r="A193" s="4" t="s">
        <v>1291</v>
      </c>
    </row>
    <row r="194">
      <c r="A194" s="4" t="s">
        <v>1292</v>
      </c>
    </row>
    <row r="195">
      <c r="A195" s="4" t="s">
        <v>1293</v>
      </c>
    </row>
    <row r="196">
      <c r="A196" s="4" t="s">
        <v>1294</v>
      </c>
    </row>
    <row r="197">
      <c r="A197" s="4"/>
    </row>
    <row r="198">
      <c r="A198" s="4" t="s">
        <v>386</v>
      </c>
      <c r="B198" s="5">
        <v>158.0</v>
      </c>
      <c r="C198" s="5">
        <v>24.5</v>
      </c>
      <c r="D198" s="5">
        <v>14.2</v>
      </c>
      <c r="F198" s="5">
        <v>12.17</v>
      </c>
      <c r="H198" s="5">
        <v>5.03</v>
      </c>
    </row>
    <row r="199">
      <c r="A199" s="4" t="s">
        <v>389</v>
      </c>
      <c r="B199" s="5">
        <v>157.0</v>
      </c>
      <c r="C199" s="5">
        <v>30.6</v>
      </c>
      <c r="D199" s="5">
        <v>22.9</v>
      </c>
      <c r="F199" s="5">
        <v>10.23</v>
      </c>
      <c r="H199" s="5">
        <v>2.81</v>
      </c>
    </row>
    <row r="200">
      <c r="A200" s="4" t="s">
        <v>387</v>
      </c>
      <c r="B200" s="5">
        <v>156.0</v>
      </c>
      <c r="C200" s="5">
        <v>27.2</v>
      </c>
      <c r="D200" s="5">
        <v>27.2</v>
      </c>
      <c r="F200" s="5">
        <v>11.4</v>
      </c>
      <c r="H200" s="5">
        <v>3.54</v>
      </c>
    </row>
    <row r="201">
      <c r="A201" s="4" t="s">
        <v>388</v>
      </c>
      <c r="B201" s="5">
        <v>155.0</v>
      </c>
      <c r="C201" s="5">
        <v>26.7</v>
      </c>
      <c r="D201" s="5">
        <v>20.0</v>
      </c>
      <c r="F201" s="5">
        <v>8.29</v>
      </c>
      <c r="H201" s="5">
        <v>2.75</v>
      </c>
    </row>
    <row r="202">
      <c r="A202" s="4" t="s">
        <v>1295</v>
      </c>
      <c r="B202" s="5">
        <v>152.0</v>
      </c>
      <c r="C202" s="5">
        <v>31.2</v>
      </c>
      <c r="D202" s="5">
        <v>19.8</v>
      </c>
      <c r="F202" s="5">
        <v>6.98</v>
      </c>
      <c r="H202" s="5">
        <v>1.47</v>
      </c>
    </row>
    <row r="203">
      <c r="A203" s="4" t="s">
        <v>393</v>
      </c>
      <c r="B203" s="5">
        <v>153.0</v>
      </c>
      <c r="C203" s="5">
        <v>26.7</v>
      </c>
      <c r="D203" s="5">
        <v>22.5</v>
      </c>
      <c r="F203" s="5">
        <v>8.18</v>
      </c>
      <c r="H203" s="5">
        <v>1.39</v>
      </c>
    </row>
    <row r="204">
      <c r="A204" s="4" t="s">
        <v>390</v>
      </c>
    </row>
    <row r="205">
      <c r="A205" s="4" t="s">
        <v>391</v>
      </c>
      <c r="B205" s="5">
        <v>154.0</v>
      </c>
      <c r="C205" s="5">
        <v>32.5</v>
      </c>
      <c r="D205" s="5">
        <v>28.7</v>
      </c>
      <c r="F205" s="5">
        <v>8.41</v>
      </c>
      <c r="H205" s="5">
        <v>1.54</v>
      </c>
    </row>
    <row r="206">
      <c r="A206" s="4" t="s">
        <v>1296</v>
      </c>
    </row>
    <row r="207">
      <c r="A207" s="4" t="s">
        <v>396</v>
      </c>
      <c r="B207" s="5">
        <v>151.0</v>
      </c>
      <c r="C207" s="5">
        <v>25.0</v>
      </c>
      <c r="D207" s="5">
        <v>21.4</v>
      </c>
      <c r="F207" s="5">
        <v>7.85</v>
      </c>
      <c r="H207" s="5">
        <v>1.49</v>
      </c>
    </row>
    <row r="208">
      <c r="A208" s="4" t="s">
        <v>400</v>
      </c>
    </row>
    <row r="209">
      <c r="A209" s="4" t="s">
        <v>399</v>
      </c>
      <c r="B209" s="5">
        <v>147.0</v>
      </c>
      <c r="C209" s="5">
        <v>23.3</v>
      </c>
      <c r="D209" s="5">
        <v>25.0</v>
      </c>
      <c r="F209" s="5">
        <v>6.85</v>
      </c>
      <c r="H209" s="5">
        <v>0.82</v>
      </c>
    </row>
    <row r="210">
      <c r="A210" s="4" t="s">
        <v>397</v>
      </c>
      <c r="B210" s="5">
        <v>148.0</v>
      </c>
      <c r="C210" s="5">
        <v>24.9</v>
      </c>
      <c r="D210" s="5">
        <v>13.3</v>
      </c>
      <c r="F210" s="5">
        <v>5.96</v>
      </c>
      <c r="H210" s="5">
        <v>0.75</v>
      </c>
    </row>
    <row r="211">
      <c r="A211" s="4" t="s">
        <v>1297</v>
      </c>
    </row>
    <row r="212">
      <c r="A212" s="4" t="s">
        <v>395</v>
      </c>
    </row>
    <row r="213">
      <c r="A213" s="4" t="s">
        <v>1298</v>
      </c>
    </row>
    <row r="214">
      <c r="A214" s="4" t="s">
        <v>1299</v>
      </c>
    </row>
    <row r="215">
      <c r="A215" s="4" t="s">
        <v>1300</v>
      </c>
    </row>
    <row r="216">
      <c r="A216" s="4" t="s">
        <v>402</v>
      </c>
    </row>
    <row r="217">
      <c r="A217" s="4" t="s">
        <v>1301</v>
      </c>
      <c r="B217" s="5">
        <v>150.0</v>
      </c>
      <c r="C217" s="5">
        <v>22.0</v>
      </c>
      <c r="D217" s="5">
        <v>13.2</v>
      </c>
      <c r="F217" s="5">
        <v>5.93</v>
      </c>
      <c r="H217" s="5">
        <v>0.98</v>
      </c>
    </row>
    <row r="218">
      <c r="A218" s="4" t="s">
        <v>404</v>
      </c>
    </row>
    <row r="219">
      <c r="A219" s="4" t="s">
        <v>1302</v>
      </c>
      <c r="B219" s="5">
        <v>149.0</v>
      </c>
      <c r="C219" s="5">
        <v>13.2</v>
      </c>
      <c r="D219" s="5">
        <v>12.0</v>
      </c>
      <c r="F219" s="5">
        <v>3.01</v>
      </c>
      <c r="H219" s="5">
        <v>0.08</v>
      </c>
    </row>
    <row r="220">
      <c r="A220" s="4"/>
    </row>
    <row r="221">
      <c r="A221" s="4" t="s">
        <v>406</v>
      </c>
      <c r="B221" s="5">
        <v>124.0</v>
      </c>
      <c r="C221" s="5">
        <v>25.6</v>
      </c>
      <c r="D221" s="5">
        <v>24.6</v>
      </c>
      <c r="F221" s="5">
        <v>13.1</v>
      </c>
      <c r="H221" s="5">
        <v>5.07</v>
      </c>
    </row>
    <row r="222">
      <c r="A222" s="4" t="s">
        <v>1303</v>
      </c>
      <c r="B222" s="5">
        <v>122.0</v>
      </c>
      <c r="C222" s="5">
        <v>34.2</v>
      </c>
      <c r="D222" s="5">
        <v>23.2</v>
      </c>
      <c r="F222" s="5">
        <v>9.3</v>
      </c>
      <c r="H222" s="5">
        <v>2.95</v>
      </c>
    </row>
    <row r="223">
      <c r="A223" s="4" t="s">
        <v>407</v>
      </c>
      <c r="B223" s="5">
        <v>123.0</v>
      </c>
      <c r="C223" s="5">
        <v>27.9</v>
      </c>
      <c r="D223" s="5">
        <v>26.5</v>
      </c>
      <c r="F223" s="5">
        <v>11.72</v>
      </c>
      <c r="H223" s="5">
        <v>3.7</v>
      </c>
    </row>
    <row r="224">
      <c r="A224" s="4" t="s">
        <v>1304</v>
      </c>
      <c r="B224" s="5">
        <v>118.0</v>
      </c>
      <c r="C224" s="5">
        <v>32.0</v>
      </c>
      <c r="D224" s="5">
        <v>21.8</v>
      </c>
      <c r="F224" s="5">
        <v>8.43</v>
      </c>
      <c r="H224" s="5">
        <v>1.15</v>
      </c>
    </row>
    <row r="225">
      <c r="A225" s="4" t="s">
        <v>1305</v>
      </c>
      <c r="B225" s="5">
        <v>119.0</v>
      </c>
      <c r="C225" s="5">
        <v>27.0</v>
      </c>
      <c r="D225" s="5">
        <v>23.6</v>
      </c>
      <c r="F225" s="5">
        <v>8.14</v>
      </c>
      <c r="H225" s="5">
        <v>1.97</v>
      </c>
    </row>
    <row r="226">
      <c r="A226" s="4" t="s">
        <v>408</v>
      </c>
      <c r="B226" s="5">
        <v>121.0</v>
      </c>
      <c r="C226" s="5">
        <v>27.1</v>
      </c>
      <c r="D226" s="5">
        <v>21.1</v>
      </c>
      <c r="F226" s="5">
        <v>9.36</v>
      </c>
      <c r="H226" s="5">
        <v>2.3</v>
      </c>
    </row>
    <row r="227">
      <c r="A227" s="4" t="s">
        <v>411</v>
      </c>
    </row>
    <row r="228">
      <c r="A228" s="4" t="s">
        <v>1306</v>
      </c>
      <c r="B228" s="5">
        <v>120.0</v>
      </c>
      <c r="C228" s="5">
        <v>23.8</v>
      </c>
      <c r="D228" s="5">
        <v>28.4</v>
      </c>
      <c r="F228" s="5">
        <v>7.05</v>
      </c>
      <c r="H228" s="5">
        <v>0.79</v>
      </c>
    </row>
    <row r="229">
      <c r="A229" s="4" t="s">
        <v>1307</v>
      </c>
      <c r="B229" s="5">
        <v>114.0</v>
      </c>
      <c r="C229" s="5">
        <v>20.5</v>
      </c>
      <c r="D229" s="5">
        <v>17.1</v>
      </c>
      <c r="F229" s="5">
        <v>6.82</v>
      </c>
      <c r="H229" s="5">
        <v>0.8</v>
      </c>
    </row>
    <row r="230">
      <c r="A230" s="4" t="s">
        <v>1308</v>
      </c>
    </row>
    <row r="231">
      <c r="A231" s="4" t="s">
        <v>415</v>
      </c>
    </row>
    <row r="232">
      <c r="A232" s="4" t="s">
        <v>413</v>
      </c>
    </row>
    <row r="233">
      <c r="A233" s="4" t="s">
        <v>1309</v>
      </c>
      <c r="B233" s="5">
        <v>117.0</v>
      </c>
      <c r="C233" s="5">
        <v>16.0</v>
      </c>
      <c r="D233" s="5">
        <v>16.4</v>
      </c>
      <c r="F233" s="5">
        <v>4.93</v>
      </c>
      <c r="H233" s="5">
        <v>0.53</v>
      </c>
    </row>
    <row r="234">
      <c r="A234" s="4" t="s">
        <v>1310</v>
      </c>
      <c r="B234" s="5">
        <v>112.0</v>
      </c>
      <c r="C234" s="5">
        <v>14.9</v>
      </c>
      <c r="D234" s="5">
        <v>13.1</v>
      </c>
      <c r="F234" s="5">
        <v>5.11</v>
      </c>
      <c r="H234" s="5">
        <v>0.46</v>
      </c>
    </row>
    <row r="235">
      <c r="A235" s="4" t="s">
        <v>1311</v>
      </c>
      <c r="B235" s="5">
        <v>113.0</v>
      </c>
      <c r="C235" s="5">
        <v>14.2</v>
      </c>
      <c r="D235" s="5">
        <v>15.6</v>
      </c>
      <c r="F235" s="5">
        <v>5.0</v>
      </c>
      <c r="H235" s="5">
        <v>0.57</v>
      </c>
    </row>
    <row r="236">
      <c r="A236" s="4" t="s">
        <v>416</v>
      </c>
    </row>
    <row r="237">
      <c r="A237" s="4" t="s">
        <v>1312</v>
      </c>
      <c r="B237" s="5">
        <v>115.0</v>
      </c>
      <c r="C237" s="5">
        <v>20.1</v>
      </c>
      <c r="D237" s="5">
        <v>14.6</v>
      </c>
      <c r="F237" s="5">
        <v>6.13</v>
      </c>
      <c r="H237" s="5">
        <v>1.18</v>
      </c>
    </row>
    <row r="238">
      <c r="A238" s="4" t="s">
        <v>1313</v>
      </c>
    </row>
    <row r="239">
      <c r="A239" s="4" t="s">
        <v>1314</v>
      </c>
    </row>
    <row r="240">
      <c r="A240" s="4" t="s">
        <v>1315</v>
      </c>
      <c r="B240" s="5">
        <v>116.0</v>
      </c>
      <c r="C240" s="5">
        <v>17.6</v>
      </c>
      <c r="D240" s="5">
        <v>18.3</v>
      </c>
      <c r="F240" s="5">
        <v>3.98</v>
      </c>
      <c r="H240" s="5">
        <v>0.15</v>
      </c>
    </row>
    <row r="241">
      <c r="A241" s="4"/>
    </row>
    <row r="242">
      <c r="A242" s="4" t="s">
        <v>425</v>
      </c>
      <c r="B242" s="5">
        <v>146.0</v>
      </c>
      <c r="C242" s="5">
        <v>28.4</v>
      </c>
      <c r="D242" s="5">
        <v>33.0</v>
      </c>
      <c r="F242" s="5">
        <v>10.37</v>
      </c>
      <c r="H242" s="5">
        <v>2.64</v>
      </c>
    </row>
    <row r="243">
      <c r="A243" s="4" t="s">
        <v>426</v>
      </c>
      <c r="B243" s="5">
        <v>142.0</v>
      </c>
      <c r="C243" s="5">
        <v>33.5</v>
      </c>
      <c r="D243" s="5">
        <v>25.2</v>
      </c>
      <c r="F243" s="5">
        <v>7.34</v>
      </c>
      <c r="H243" s="5">
        <v>1.62</v>
      </c>
    </row>
    <row r="244">
      <c r="A244" s="4" t="s">
        <v>1316</v>
      </c>
      <c r="B244" s="5">
        <v>143.0</v>
      </c>
      <c r="C244" s="5">
        <v>33.8</v>
      </c>
      <c r="D244" s="5">
        <v>27.8</v>
      </c>
      <c r="F244" s="5">
        <v>8.24</v>
      </c>
      <c r="H244" s="5">
        <v>0.95</v>
      </c>
    </row>
    <row r="245">
      <c r="A245" s="4" t="s">
        <v>427</v>
      </c>
      <c r="B245" s="5">
        <v>141.0</v>
      </c>
      <c r="C245" s="5">
        <v>24.2</v>
      </c>
      <c r="D245" s="5">
        <v>19.2</v>
      </c>
      <c r="F245" s="5">
        <v>7.17</v>
      </c>
      <c r="H245" s="5">
        <v>1.4</v>
      </c>
    </row>
    <row r="246">
      <c r="A246" s="4" t="s">
        <v>1317</v>
      </c>
      <c r="B246" s="5">
        <v>140.0</v>
      </c>
      <c r="C246" s="5">
        <v>30.6</v>
      </c>
      <c r="D246" s="5">
        <v>16.5</v>
      </c>
      <c r="F246" s="5">
        <v>5.83</v>
      </c>
      <c r="H246" s="5">
        <v>0.41</v>
      </c>
    </row>
    <row r="247">
      <c r="A247" s="11" t="s">
        <v>1318</v>
      </c>
      <c r="B247" s="12">
        <v>145.0</v>
      </c>
      <c r="C247" s="12">
        <v>34.0</v>
      </c>
      <c r="D247" s="12">
        <v>33.0</v>
      </c>
      <c r="E247" s="13"/>
      <c r="F247" s="12">
        <v>7.19</v>
      </c>
      <c r="G247" s="13"/>
      <c r="H247" s="12">
        <v>0.97</v>
      </c>
      <c r="I247" s="12" t="s">
        <v>1319</v>
      </c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>
      <c r="A248" s="4" t="s">
        <v>1320</v>
      </c>
      <c r="B248" s="5">
        <v>144.0</v>
      </c>
      <c r="C248" s="5">
        <v>22.7</v>
      </c>
      <c r="D248" s="5">
        <v>22.0</v>
      </c>
      <c r="F248" s="5">
        <v>7.55</v>
      </c>
      <c r="H248" s="5">
        <v>1.22</v>
      </c>
    </row>
    <row r="249">
      <c r="A249" s="4" t="s">
        <v>428</v>
      </c>
    </row>
    <row r="250">
      <c r="A250" s="4" t="s">
        <v>429</v>
      </c>
      <c r="B250" s="5">
        <v>136.0</v>
      </c>
      <c r="C250" s="5">
        <v>23.8</v>
      </c>
      <c r="D250" s="5">
        <v>17.6</v>
      </c>
      <c r="F250" s="5">
        <v>4.47</v>
      </c>
      <c r="H250" s="5">
        <v>0.3</v>
      </c>
    </row>
    <row r="251">
      <c r="A251" s="4" t="s">
        <v>1321</v>
      </c>
      <c r="B251" s="5">
        <v>139.0</v>
      </c>
      <c r="C251" s="5">
        <v>17.2</v>
      </c>
      <c r="D251" s="5">
        <v>12.0</v>
      </c>
      <c r="F251" s="5">
        <v>4.7</v>
      </c>
      <c r="H251" s="5">
        <v>0.41</v>
      </c>
    </row>
    <row r="252">
      <c r="A252" s="4" t="s">
        <v>1322</v>
      </c>
      <c r="B252" s="5">
        <v>138.0</v>
      </c>
      <c r="C252" s="5">
        <v>23.5</v>
      </c>
      <c r="D252" s="5">
        <v>18.0</v>
      </c>
      <c r="F252" s="5">
        <v>7.92</v>
      </c>
      <c r="H252" s="5">
        <v>0.87</v>
      </c>
    </row>
    <row r="253">
      <c r="A253" s="4" t="s">
        <v>1323</v>
      </c>
      <c r="B253" s="5">
        <v>134.0</v>
      </c>
      <c r="C253" s="5">
        <v>17.8</v>
      </c>
      <c r="D253" s="5">
        <v>17.3</v>
      </c>
      <c r="F253" s="5">
        <v>3.96</v>
      </c>
      <c r="H253" s="5">
        <v>0.21</v>
      </c>
    </row>
    <row r="254">
      <c r="A254" s="4" t="s">
        <v>433</v>
      </c>
    </row>
    <row r="255">
      <c r="A255" s="4" t="s">
        <v>431</v>
      </c>
    </row>
    <row r="256">
      <c r="A256" s="4" t="s">
        <v>430</v>
      </c>
      <c r="B256" s="5">
        <v>135.0</v>
      </c>
      <c r="C256" s="5">
        <v>17.2</v>
      </c>
      <c r="D256" s="5">
        <v>13.2</v>
      </c>
      <c r="F256" s="5">
        <v>2.44</v>
      </c>
      <c r="H256" s="5">
        <v>0.12</v>
      </c>
    </row>
    <row r="257">
      <c r="A257" s="4" t="s">
        <v>1324</v>
      </c>
    </row>
    <row r="258">
      <c r="A258" s="4" t="s">
        <v>1325</v>
      </c>
      <c r="B258" s="5">
        <v>137.0</v>
      </c>
      <c r="C258" s="5">
        <v>16.6</v>
      </c>
      <c r="D258" s="5">
        <v>16.2</v>
      </c>
      <c r="F258" s="5">
        <v>6.8</v>
      </c>
      <c r="H258" s="5">
        <v>0.48</v>
      </c>
    </row>
    <row r="259">
      <c r="A259" s="4" t="s">
        <v>1326</v>
      </c>
    </row>
    <row r="260">
      <c r="A260" s="4"/>
    </row>
    <row r="261">
      <c r="A261" s="4" t="s">
        <v>438</v>
      </c>
      <c r="B261" s="5">
        <v>133.0</v>
      </c>
      <c r="C261" s="5">
        <v>25.7</v>
      </c>
      <c r="D261" s="5">
        <v>32.5</v>
      </c>
      <c r="F261" s="5">
        <v>10.68</v>
      </c>
      <c r="H261" s="5">
        <v>4.24</v>
      </c>
    </row>
    <row r="262">
      <c r="A262" s="4" t="s">
        <v>439</v>
      </c>
      <c r="B262" s="5">
        <v>130.0</v>
      </c>
      <c r="C262" s="5">
        <v>28.9</v>
      </c>
      <c r="D262" s="5">
        <v>23.5</v>
      </c>
      <c r="F262" s="5">
        <v>9.93</v>
      </c>
      <c r="H262" s="5">
        <v>2.58</v>
      </c>
    </row>
    <row r="263">
      <c r="A263" s="4" t="s">
        <v>441</v>
      </c>
      <c r="B263" s="5">
        <v>129.0</v>
      </c>
      <c r="C263" s="5">
        <v>24.1</v>
      </c>
      <c r="D263" s="5">
        <v>18.4</v>
      </c>
      <c r="F263" s="5">
        <v>6.68</v>
      </c>
      <c r="H263" s="5">
        <v>1.67</v>
      </c>
    </row>
    <row r="264">
      <c r="A264" s="4" t="s">
        <v>1327</v>
      </c>
      <c r="B264" s="5">
        <v>128.0</v>
      </c>
      <c r="C264" s="5">
        <v>30.9</v>
      </c>
      <c r="D264" s="5">
        <v>17.7</v>
      </c>
      <c r="F264" s="5">
        <v>3.38</v>
      </c>
      <c r="H264" s="5">
        <v>0.17</v>
      </c>
    </row>
    <row r="265">
      <c r="A265" s="4" t="s">
        <v>1328</v>
      </c>
      <c r="B265" s="5">
        <v>132.0</v>
      </c>
      <c r="C265" s="5">
        <v>31.5</v>
      </c>
      <c r="D265" s="5">
        <v>29.2</v>
      </c>
      <c r="F265" s="5">
        <v>8.56</v>
      </c>
      <c r="H265" s="5">
        <v>1.35</v>
      </c>
    </row>
    <row r="266">
      <c r="A266" s="4" t="s">
        <v>442</v>
      </c>
    </row>
    <row r="267">
      <c r="A267" s="4" t="s">
        <v>448</v>
      </c>
    </row>
    <row r="268">
      <c r="A268" s="4" t="s">
        <v>1329</v>
      </c>
      <c r="B268" s="5">
        <v>125.0</v>
      </c>
      <c r="C268" s="5">
        <v>20.4</v>
      </c>
      <c r="D268" s="5">
        <v>10.7</v>
      </c>
      <c r="F268" s="5">
        <v>2.69</v>
      </c>
      <c r="H268" s="5">
        <v>0.1</v>
      </c>
    </row>
    <row r="269">
      <c r="A269" s="4" t="s">
        <v>1330</v>
      </c>
      <c r="B269" s="5">
        <v>131.0</v>
      </c>
      <c r="C269" s="5">
        <v>25.9</v>
      </c>
      <c r="D269" s="5">
        <v>17.0</v>
      </c>
      <c r="F269" s="5">
        <v>6.99</v>
      </c>
      <c r="H269" s="5">
        <v>0.87</v>
      </c>
    </row>
    <row r="270">
      <c r="A270" s="4" t="s">
        <v>447</v>
      </c>
    </row>
    <row r="271">
      <c r="A271" s="4" t="s">
        <v>1331</v>
      </c>
      <c r="B271" s="5">
        <v>126.0</v>
      </c>
      <c r="C271" s="5">
        <v>21.5</v>
      </c>
      <c r="D271" s="5">
        <v>14.2</v>
      </c>
      <c r="F271" s="5">
        <v>5.59</v>
      </c>
      <c r="H271" s="5">
        <v>0.37</v>
      </c>
    </row>
    <row r="272">
      <c r="A272" s="4" t="s">
        <v>445</v>
      </c>
      <c r="B272" s="5">
        <v>127.0</v>
      </c>
      <c r="C272" s="5">
        <v>20.1</v>
      </c>
      <c r="D272" s="5">
        <v>17.1</v>
      </c>
      <c r="F272" s="5">
        <v>4.43</v>
      </c>
      <c r="H272" s="5">
        <v>0.23</v>
      </c>
    </row>
    <row r="273">
      <c r="A273" s="4"/>
    </row>
    <row r="274">
      <c r="A274" s="4" t="s">
        <v>463</v>
      </c>
      <c r="B274" s="5">
        <v>111.0</v>
      </c>
      <c r="C274" s="5">
        <v>20.4</v>
      </c>
      <c r="D274" s="5">
        <v>34.1</v>
      </c>
      <c r="F274" s="5">
        <v>9.83</v>
      </c>
      <c r="H274" s="5">
        <v>3.07</v>
      </c>
    </row>
    <row r="275">
      <c r="A275" s="4" t="s">
        <v>464</v>
      </c>
      <c r="B275" s="5">
        <v>110.0</v>
      </c>
      <c r="C275" s="5">
        <v>32.2</v>
      </c>
      <c r="D275" s="5">
        <v>22.6</v>
      </c>
      <c r="F275" s="5">
        <v>8.55</v>
      </c>
      <c r="H275" s="5">
        <v>1.96</v>
      </c>
    </row>
    <row r="276">
      <c r="A276" s="4" t="s">
        <v>1332</v>
      </c>
      <c r="B276" s="5">
        <v>105.0</v>
      </c>
      <c r="C276" s="5">
        <v>27.8</v>
      </c>
      <c r="D276" s="5">
        <v>19.8</v>
      </c>
      <c r="F276" s="5">
        <v>5.66</v>
      </c>
      <c r="H276" s="5">
        <v>0.37</v>
      </c>
    </row>
    <row r="277">
      <c r="A277" s="4" t="s">
        <v>466</v>
      </c>
      <c r="B277" s="5">
        <v>109.0</v>
      </c>
      <c r="C277" s="5">
        <v>27.7</v>
      </c>
      <c r="D277" s="5">
        <v>25.7</v>
      </c>
      <c r="F277" s="5">
        <v>7.14</v>
      </c>
      <c r="H277" s="5">
        <v>0.69</v>
      </c>
    </row>
    <row r="278">
      <c r="A278" s="4" t="s">
        <v>465</v>
      </c>
      <c r="B278" s="5">
        <v>108.0</v>
      </c>
      <c r="C278" s="5">
        <v>24.1</v>
      </c>
      <c r="D278" s="5">
        <v>19.5</v>
      </c>
      <c r="F278" s="5">
        <v>7.16</v>
      </c>
      <c r="H278" s="5">
        <v>0.94</v>
      </c>
    </row>
    <row r="279">
      <c r="A279" s="4" t="s">
        <v>467</v>
      </c>
      <c r="B279" s="5">
        <v>107.0</v>
      </c>
      <c r="C279" s="5">
        <v>21.2</v>
      </c>
      <c r="D279" s="5">
        <v>19.0</v>
      </c>
      <c r="F279" s="5">
        <v>5.61</v>
      </c>
      <c r="H279" s="5">
        <v>0.61</v>
      </c>
    </row>
    <row r="280">
      <c r="A280" s="4" t="s">
        <v>1333</v>
      </c>
      <c r="B280" s="5">
        <v>106.0</v>
      </c>
      <c r="C280" s="5">
        <v>24.7</v>
      </c>
      <c r="D280" s="5">
        <v>23.4</v>
      </c>
      <c r="F280" s="5">
        <v>4.84</v>
      </c>
      <c r="H280" s="5">
        <v>0.38</v>
      </c>
    </row>
    <row r="281">
      <c r="A281" s="4" t="s">
        <v>1334</v>
      </c>
      <c r="B281" s="5">
        <v>104.0</v>
      </c>
      <c r="C281" s="5">
        <v>17.2</v>
      </c>
      <c r="D281" s="5">
        <v>16.6</v>
      </c>
      <c r="F281" s="5">
        <v>3.77</v>
      </c>
      <c r="H281" s="5">
        <v>0.23</v>
      </c>
    </row>
    <row r="282">
      <c r="A282" s="4" t="s">
        <v>468</v>
      </c>
      <c r="B282" s="5">
        <v>102.0</v>
      </c>
      <c r="C282" s="5">
        <v>19.1</v>
      </c>
      <c r="D282" s="5">
        <v>22.1</v>
      </c>
      <c r="F282" s="5">
        <v>7.5</v>
      </c>
      <c r="H282" s="5">
        <v>0.7</v>
      </c>
    </row>
    <row r="283">
      <c r="A283" s="4" t="s">
        <v>469</v>
      </c>
      <c r="B283" s="5">
        <v>103.0</v>
      </c>
      <c r="C283" s="5">
        <v>16.7</v>
      </c>
      <c r="D283" s="5">
        <v>10.9</v>
      </c>
      <c r="F283" s="5">
        <v>3.55</v>
      </c>
      <c r="H283" s="5">
        <v>0.16</v>
      </c>
    </row>
    <row r="284">
      <c r="A284" s="4" t="s">
        <v>470</v>
      </c>
      <c r="B284" s="5">
        <v>101.0</v>
      </c>
      <c r="C284" s="5">
        <v>19.9</v>
      </c>
      <c r="D284" s="5">
        <v>14.3</v>
      </c>
      <c r="F284" s="5">
        <v>5.0</v>
      </c>
      <c r="H284" s="5">
        <v>0.23</v>
      </c>
    </row>
    <row r="285">
      <c r="A285" s="4"/>
    </row>
    <row r="286">
      <c r="A286" s="4" t="s">
        <v>475</v>
      </c>
    </row>
    <row r="287">
      <c r="A287" s="4" t="s">
        <v>476</v>
      </c>
    </row>
    <row r="288">
      <c r="A288" s="4" t="s">
        <v>477</v>
      </c>
    </row>
    <row r="289">
      <c r="A289" s="4" t="s">
        <v>478</v>
      </c>
    </row>
    <row r="290">
      <c r="A290" s="4" t="s">
        <v>480</v>
      </c>
    </row>
    <row r="291">
      <c r="A291" s="4" t="s">
        <v>488</v>
      </c>
    </row>
    <row r="292">
      <c r="A292" s="4" t="s">
        <v>482</v>
      </c>
    </row>
    <row r="293">
      <c r="A293" s="4" t="s">
        <v>493</v>
      </c>
    </row>
    <row r="294">
      <c r="A294" s="4"/>
    </row>
    <row r="295">
      <c r="A295" s="4" t="s">
        <v>496</v>
      </c>
    </row>
    <row r="296">
      <c r="A296" s="4" t="s">
        <v>497</v>
      </c>
    </row>
    <row r="297">
      <c r="A297" s="4" t="s">
        <v>1335</v>
      </c>
    </row>
    <row r="298">
      <c r="A298" s="4"/>
    </row>
    <row r="299">
      <c r="A299" s="4" t="s">
        <v>517</v>
      </c>
    </row>
    <row r="300">
      <c r="A300" s="4" t="s">
        <v>518</v>
      </c>
    </row>
    <row r="301">
      <c r="A301" s="4" t="s">
        <v>519</v>
      </c>
    </row>
    <row r="302">
      <c r="A302" s="4" t="s">
        <v>521</v>
      </c>
    </row>
    <row r="303">
      <c r="A303" s="4" t="s">
        <v>520</v>
      </c>
    </row>
    <row r="304">
      <c r="A304" s="4" t="s">
        <v>522</v>
      </c>
    </row>
    <row r="305">
      <c r="A305" s="4"/>
    </row>
    <row r="306">
      <c r="A306" s="4" t="s">
        <v>537</v>
      </c>
    </row>
    <row r="307">
      <c r="A307" s="4" t="s">
        <v>538</v>
      </c>
    </row>
    <row r="308">
      <c r="A308" s="4" t="s">
        <v>1336</v>
      </c>
    </row>
    <row r="309">
      <c r="A309" s="4"/>
    </row>
    <row r="310">
      <c r="A310" s="4" t="s">
        <v>557</v>
      </c>
    </row>
    <row r="311">
      <c r="A311" s="4" t="s">
        <v>558</v>
      </c>
    </row>
    <row r="312">
      <c r="A312" s="4" t="s">
        <v>560</v>
      </c>
    </row>
    <row r="313">
      <c r="A313" s="4" t="s">
        <v>566</v>
      </c>
    </row>
    <row r="314">
      <c r="A314" s="4"/>
    </row>
    <row r="315">
      <c r="A315" s="4" t="s">
        <v>572</v>
      </c>
    </row>
    <row r="316">
      <c r="A316" s="4" t="s">
        <v>573</v>
      </c>
    </row>
    <row r="317">
      <c r="A317" s="4" t="s">
        <v>575</v>
      </c>
    </row>
    <row r="318">
      <c r="A318" s="4"/>
    </row>
    <row r="319">
      <c r="A319" s="4" t="s">
        <v>584</v>
      </c>
    </row>
    <row r="320">
      <c r="A320" s="4" t="s">
        <v>585</v>
      </c>
    </row>
    <row r="321">
      <c r="A321" s="4"/>
    </row>
    <row r="322">
      <c r="A322" s="4" t="s">
        <v>601</v>
      </c>
    </row>
    <row r="323">
      <c r="A323" s="4" t="s">
        <v>602</v>
      </c>
    </row>
    <row r="324">
      <c r="A324" s="4"/>
    </row>
    <row r="325">
      <c r="A325" s="4" t="s">
        <v>620</v>
      </c>
    </row>
    <row r="326">
      <c r="A326" s="4"/>
    </row>
    <row r="327">
      <c r="A327" s="4" t="s">
        <v>754</v>
      </c>
      <c r="G327" s="5">
        <v>0.0</v>
      </c>
      <c r="J327" s="2" t="s">
        <v>14</v>
      </c>
    </row>
    <row r="328">
      <c r="A328" s="4" t="s">
        <v>755</v>
      </c>
      <c r="J328" s="6">
        <f>counta(H327:H496)</f>
        <v>77</v>
      </c>
    </row>
    <row r="329">
      <c r="A329" s="4" t="s">
        <v>756</v>
      </c>
      <c r="J329" s="6">
        <f>sum(H327:H496)/J328</f>
        <v>1.149350649</v>
      </c>
    </row>
    <row r="330">
      <c r="A330" s="4" t="s">
        <v>757</v>
      </c>
    </row>
    <row r="331">
      <c r="A331" s="4" t="s">
        <v>1337</v>
      </c>
    </row>
    <row r="332">
      <c r="A332" s="4" t="s">
        <v>758</v>
      </c>
    </row>
    <row r="333">
      <c r="A333" s="4" t="s">
        <v>1338</v>
      </c>
    </row>
    <row r="334">
      <c r="A334" s="4" t="s">
        <v>770</v>
      </c>
    </row>
    <row r="335">
      <c r="A335" s="4" t="s">
        <v>759</v>
      </c>
    </row>
    <row r="336">
      <c r="A336" s="8" t="s">
        <v>764</v>
      </c>
    </row>
    <row r="337">
      <c r="A337" s="4" t="s">
        <v>1339</v>
      </c>
    </row>
    <row r="338">
      <c r="A338" s="4" t="s">
        <v>1340</v>
      </c>
    </row>
    <row r="339">
      <c r="A339" s="4" t="s">
        <v>760</v>
      </c>
    </row>
    <row r="340">
      <c r="A340" s="4" t="s">
        <v>762</v>
      </c>
    </row>
    <row r="341">
      <c r="A341" s="4" t="s">
        <v>761</v>
      </c>
    </row>
    <row r="342">
      <c r="A342" s="4" t="s">
        <v>1341</v>
      </c>
    </row>
    <row r="343">
      <c r="A343" s="4" t="s">
        <v>1342</v>
      </c>
    </row>
    <row r="344">
      <c r="A344" s="4" t="s">
        <v>1343</v>
      </c>
    </row>
    <row r="345">
      <c r="A345" s="4" t="s">
        <v>1344</v>
      </c>
    </row>
    <row r="346">
      <c r="A346" s="4" t="s">
        <v>763</v>
      </c>
    </row>
    <row r="347">
      <c r="A347" s="4" t="s">
        <v>1345</v>
      </c>
    </row>
    <row r="348">
      <c r="A348" s="4" t="s">
        <v>1346</v>
      </c>
    </row>
    <row r="349">
      <c r="A349" s="4" t="s">
        <v>1347</v>
      </c>
    </row>
    <row r="350">
      <c r="A350" s="4" t="s">
        <v>769</v>
      </c>
    </row>
    <row r="351">
      <c r="A351" s="4" t="s">
        <v>1348</v>
      </c>
    </row>
    <row r="352">
      <c r="A352" s="4" t="s">
        <v>1349</v>
      </c>
    </row>
    <row r="353">
      <c r="A353" s="4" t="s">
        <v>1350</v>
      </c>
    </row>
    <row r="354">
      <c r="A354" s="4" t="s">
        <v>1351</v>
      </c>
    </row>
    <row r="355">
      <c r="A355" s="4" t="s">
        <v>1352</v>
      </c>
    </row>
    <row r="356">
      <c r="A356" s="4"/>
    </row>
    <row r="357">
      <c r="A357" s="4" t="s">
        <v>771</v>
      </c>
    </row>
    <row r="358">
      <c r="A358" s="4" t="s">
        <v>772</v>
      </c>
    </row>
    <row r="359">
      <c r="A359" s="4" t="s">
        <v>774</v>
      </c>
    </row>
    <row r="360">
      <c r="A360" s="4" t="s">
        <v>773</v>
      </c>
    </row>
    <row r="361">
      <c r="A361" s="4" t="s">
        <v>1353</v>
      </c>
    </row>
    <row r="362">
      <c r="A362" s="4" t="s">
        <v>1354</v>
      </c>
    </row>
    <row r="363">
      <c r="A363" s="4" t="s">
        <v>779</v>
      </c>
    </row>
    <row r="364">
      <c r="A364" s="4" t="s">
        <v>1355</v>
      </c>
    </row>
    <row r="365">
      <c r="A365" s="4" t="s">
        <v>1356</v>
      </c>
    </row>
    <row r="366">
      <c r="A366" s="4" t="s">
        <v>778</v>
      </c>
    </row>
    <row r="367">
      <c r="A367" s="4" t="s">
        <v>785</v>
      </c>
    </row>
    <row r="368">
      <c r="A368" s="4" t="s">
        <v>780</v>
      </c>
    </row>
    <row r="369">
      <c r="A369" s="4" t="s">
        <v>781</v>
      </c>
    </row>
    <row r="370">
      <c r="A370" s="4" t="s">
        <v>1357</v>
      </c>
    </row>
    <row r="371">
      <c r="A371" s="4" t="s">
        <v>1358</v>
      </c>
    </row>
    <row r="372">
      <c r="A372" s="4" t="s">
        <v>1359</v>
      </c>
    </row>
    <row r="373">
      <c r="A373" s="4" t="s">
        <v>786</v>
      </c>
    </row>
    <row r="374">
      <c r="A374" s="4" t="s">
        <v>1360</v>
      </c>
    </row>
    <row r="375">
      <c r="A375" s="4" t="s">
        <v>794</v>
      </c>
    </row>
    <row r="376">
      <c r="A376" s="4" t="s">
        <v>1361</v>
      </c>
    </row>
    <row r="377">
      <c r="A377" s="4" t="s">
        <v>1362</v>
      </c>
    </row>
    <row r="378">
      <c r="A378" s="4" t="s">
        <v>1363</v>
      </c>
    </row>
    <row r="379">
      <c r="A379" s="4" t="s">
        <v>791</v>
      </c>
    </row>
    <row r="380">
      <c r="A380" s="4" t="s">
        <v>1364</v>
      </c>
    </row>
    <row r="381">
      <c r="A381" s="4"/>
    </row>
    <row r="382">
      <c r="A382" s="4" t="s">
        <v>796</v>
      </c>
    </row>
    <row r="383">
      <c r="A383" s="4" t="s">
        <v>1365</v>
      </c>
      <c r="B383" s="5">
        <v>893.0</v>
      </c>
      <c r="C383" s="5">
        <v>25.0</v>
      </c>
      <c r="D383" s="5">
        <v>9.4</v>
      </c>
      <c r="E383" s="5">
        <v>14.3</v>
      </c>
      <c r="F383" s="5">
        <v>10.57</v>
      </c>
      <c r="H383" s="5">
        <v>3.02</v>
      </c>
    </row>
    <row r="384">
      <c r="A384" s="4" t="s">
        <v>1366</v>
      </c>
    </row>
    <row r="385">
      <c r="A385" s="4" t="s">
        <v>1367</v>
      </c>
      <c r="B385" s="5">
        <v>892.0</v>
      </c>
      <c r="C385" s="5">
        <v>29.0</v>
      </c>
      <c r="D385" s="5">
        <v>28.7</v>
      </c>
      <c r="F385" s="5">
        <v>8.9</v>
      </c>
      <c r="H385" s="5">
        <v>1.82</v>
      </c>
    </row>
    <row r="386">
      <c r="A386" s="4" t="s">
        <v>1368</v>
      </c>
      <c r="B386" s="5">
        <v>889.0</v>
      </c>
      <c r="C386" s="5">
        <v>30.2</v>
      </c>
      <c r="D386" s="5">
        <v>22.4</v>
      </c>
      <c r="F386" s="5">
        <v>8.9</v>
      </c>
      <c r="H386" s="5">
        <v>2.17</v>
      </c>
    </row>
    <row r="387">
      <c r="A387" s="4" t="s">
        <v>1369</v>
      </c>
    </row>
    <row r="388">
      <c r="A388" s="4" t="s">
        <v>1370</v>
      </c>
      <c r="B388" s="5">
        <v>887.0</v>
      </c>
      <c r="C388" s="5">
        <v>25.7</v>
      </c>
      <c r="D388" s="5">
        <v>18.3</v>
      </c>
      <c r="F388" s="5">
        <v>7.41</v>
      </c>
      <c r="H388" s="5">
        <v>1.63</v>
      </c>
    </row>
    <row r="389">
      <c r="A389" s="4" t="s">
        <v>1371</v>
      </c>
      <c r="B389" s="5">
        <v>891.0</v>
      </c>
      <c r="C389" s="5">
        <v>34.0</v>
      </c>
      <c r="D389" s="5">
        <v>27.2</v>
      </c>
      <c r="F389" s="5">
        <v>7.44</v>
      </c>
      <c r="H389" s="5">
        <v>0.95</v>
      </c>
    </row>
    <row r="390">
      <c r="A390" s="4" t="s">
        <v>1372</v>
      </c>
      <c r="B390" s="5">
        <v>886.0</v>
      </c>
      <c r="C390" s="5">
        <v>26.2</v>
      </c>
      <c r="D390" s="5">
        <v>21.3</v>
      </c>
      <c r="F390" s="5">
        <v>6.67</v>
      </c>
      <c r="H390" s="5">
        <v>0.92</v>
      </c>
    </row>
    <row r="391">
      <c r="A391" s="4" t="s">
        <v>1373</v>
      </c>
    </row>
    <row r="392">
      <c r="A392" s="4" t="s">
        <v>1374</v>
      </c>
    </row>
    <row r="393">
      <c r="A393" s="4" t="s">
        <v>1375</v>
      </c>
      <c r="B393" s="5">
        <v>890.0</v>
      </c>
      <c r="C393" s="5">
        <v>20.0</v>
      </c>
      <c r="D393" s="5">
        <v>18.2</v>
      </c>
      <c r="F393" s="5">
        <v>6.8</v>
      </c>
      <c r="H393" s="5">
        <v>0.71</v>
      </c>
    </row>
    <row r="394">
      <c r="A394" s="4" t="s">
        <v>1376</v>
      </c>
      <c r="B394" s="5">
        <v>884.0</v>
      </c>
      <c r="C394" s="5">
        <v>14.3</v>
      </c>
      <c r="D394" s="5">
        <v>14.7</v>
      </c>
      <c r="F394" s="5">
        <v>6.15</v>
      </c>
      <c r="H394" s="5">
        <v>0.78</v>
      </c>
    </row>
    <row r="395">
      <c r="A395" s="4" t="s">
        <v>1377</v>
      </c>
      <c r="B395" s="5">
        <v>888.0</v>
      </c>
      <c r="C395" s="5">
        <v>23.0</v>
      </c>
      <c r="D395" s="5">
        <v>20.0</v>
      </c>
      <c r="F395" s="5">
        <v>5.78</v>
      </c>
      <c r="H395" s="5">
        <v>0.69</v>
      </c>
    </row>
    <row r="396">
      <c r="A396" s="4" t="s">
        <v>1378</v>
      </c>
    </row>
    <row r="397">
      <c r="A397" s="4" t="s">
        <v>1379</v>
      </c>
    </row>
    <row r="398">
      <c r="A398" s="4" t="s">
        <v>1380</v>
      </c>
    </row>
    <row r="399">
      <c r="A399" s="4" t="s">
        <v>1381</v>
      </c>
    </row>
    <row r="400">
      <c r="A400" s="4" t="s">
        <v>1382</v>
      </c>
      <c r="B400" s="5">
        <v>883.0</v>
      </c>
      <c r="C400" s="5">
        <v>13.4</v>
      </c>
      <c r="D400" s="5">
        <v>9.5</v>
      </c>
      <c r="F400" s="5">
        <v>3.59</v>
      </c>
    </row>
    <row r="401">
      <c r="A401" s="4" t="s">
        <v>1383</v>
      </c>
      <c r="B401" s="5">
        <v>885.0</v>
      </c>
      <c r="C401" s="5">
        <v>12.6</v>
      </c>
      <c r="D401" s="5">
        <v>12.2</v>
      </c>
      <c r="F401" s="5">
        <v>5.33</v>
      </c>
      <c r="H401" s="5">
        <v>0.56</v>
      </c>
    </row>
    <row r="402">
      <c r="A402" s="4"/>
    </row>
    <row r="403">
      <c r="A403" s="4" t="s">
        <v>808</v>
      </c>
      <c r="B403" s="5">
        <v>831.0</v>
      </c>
      <c r="C403" s="5">
        <v>22.7</v>
      </c>
      <c r="D403" s="5">
        <v>22.3</v>
      </c>
      <c r="F403" s="5">
        <v>12.59</v>
      </c>
      <c r="H403" s="5">
        <v>4.59</v>
      </c>
    </row>
    <row r="404">
      <c r="A404" s="4" t="s">
        <v>809</v>
      </c>
      <c r="B404" s="5">
        <v>830.0</v>
      </c>
      <c r="C404" s="5">
        <v>28.3</v>
      </c>
      <c r="D404" s="5">
        <v>25.5</v>
      </c>
      <c r="F404" s="5">
        <v>12.6</v>
      </c>
      <c r="H404" s="5">
        <v>3.67</v>
      </c>
    </row>
    <row r="405">
      <c r="A405" s="4" t="s">
        <v>810</v>
      </c>
      <c r="B405" s="5">
        <v>829.0</v>
      </c>
      <c r="C405" s="5">
        <v>29.0</v>
      </c>
      <c r="D405" s="5">
        <v>23.7</v>
      </c>
      <c r="F405" s="5">
        <v>9.89</v>
      </c>
      <c r="H405" s="5">
        <v>2.06</v>
      </c>
    </row>
    <row r="406">
      <c r="A406" s="4" t="s">
        <v>1384</v>
      </c>
    </row>
    <row r="407">
      <c r="A407" s="4" t="s">
        <v>812</v>
      </c>
      <c r="B407" s="5">
        <v>828.0</v>
      </c>
      <c r="C407" s="5">
        <v>35.5</v>
      </c>
      <c r="D407" s="5">
        <v>23.9</v>
      </c>
      <c r="F407" s="5">
        <v>9.69</v>
      </c>
      <c r="H407" s="5">
        <v>1.96</v>
      </c>
    </row>
    <row r="408">
      <c r="A408" s="4" t="s">
        <v>813</v>
      </c>
      <c r="B408" s="5">
        <v>765.0</v>
      </c>
      <c r="C408" s="5">
        <v>28.1</v>
      </c>
      <c r="D408" s="5">
        <v>27.3</v>
      </c>
      <c r="F408" s="5">
        <v>10.49</v>
      </c>
      <c r="H408" s="5">
        <v>0.89</v>
      </c>
    </row>
    <row r="409">
      <c r="A409" s="4" t="s">
        <v>818</v>
      </c>
      <c r="B409" s="5">
        <v>761.0</v>
      </c>
      <c r="C409" s="5">
        <v>20.9</v>
      </c>
      <c r="D409" s="5">
        <v>19.2</v>
      </c>
      <c r="F409" s="5">
        <v>9.27</v>
      </c>
      <c r="H409" s="5">
        <v>1.26</v>
      </c>
    </row>
    <row r="410">
      <c r="A410" s="4" t="s">
        <v>1385</v>
      </c>
      <c r="B410" s="5">
        <v>824.0</v>
      </c>
      <c r="C410" s="5">
        <v>37.3</v>
      </c>
      <c r="D410" s="5">
        <v>27.2</v>
      </c>
      <c r="F410" s="5">
        <v>8.52</v>
      </c>
      <c r="H410" s="5">
        <v>1.15</v>
      </c>
    </row>
    <row r="411">
      <c r="A411" s="4" t="s">
        <v>816</v>
      </c>
      <c r="B411" s="5">
        <v>762.0</v>
      </c>
      <c r="C411" s="5">
        <v>20.5</v>
      </c>
      <c r="D411" s="5">
        <v>17.2</v>
      </c>
      <c r="F411" s="5">
        <v>8.71</v>
      </c>
      <c r="H411" s="5">
        <v>1.32</v>
      </c>
    </row>
    <row r="412">
      <c r="A412" s="4" t="s">
        <v>1386</v>
      </c>
      <c r="B412" s="5">
        <v>760.0</v>
      </c>
      <c r="C412" s="5">
        <v>17.0</v>
      </c>
      <c r="D412" s="5">
        <v>16.2</v>
      </c>
      <c r="F412" s="5">
        <v>7.33</v>
      </c>
      <c r="H412" s="5">
        <v>0.77</v>
      </c>
    </row>
    <row r="413">
      <c r="A413" s="4" t="s">
        <v>1387</v>
      </c>
      <c r="B413" s="5">
        <v>826.0</v>
      </c>
      <c r="C413" s="5">
        <v>20.5</v>
      </c>
      <c r="D413" s="5">
        <v>20.9</v>
      </c>
      <c r="F413" s="5">
        <v>8.25</v>
      </c>
      <c r="H413" s="5">
        <v>1.03</v>
      </c>
    </row>
    <row r="414">
      <c r="A414" s="4" t="s">
        <v>1388</v>
      </c>
      <c r="B414" s="5">
        <v>764.0</v>
      </c>
      <c r="C414" s="5">
        <v>14.8</v>
      </c>
      <c r="D414" s="5">
        <v>15.1</v>
      </c>
      <c r="F414" s="5">
        <v>6.64</v>
      </c>
      <c r="H414" s="5">
        <v>0.78</v>
      </c>
    </row>
    <row r="415">
      <c r="A415" s="4" t="s">
        <v>822</v>
      </c>
      <c r="B415" s="5">
        <v>759.0</v>
      </c>
      <c r="C415" s="5">
        <v>16.4</v>
      </c>
      <c r="D415" s="5">
        <v>16.4</v>
      </c>
      <c r="F415" s="5">
        <v>7.93</v>
      </c>
      <c r="H415" s="5">
        <v>1.0</v>
      </c>
    </row>
    <row r="416">
      <c r="A416" s="4" t="s">
        <v>827</v>
      </c>
      <c r="B416" s="5">
        <v>758.0</v>
      </c>
      <c r="C416" s="5">
        <v>13.7</v>
      </c>
      <c r="D416" s="5">
        <v>12.1</v>
      </c>
      <c r="F416" s="5">
        <v>7.02</v>
      </c>
      <c r="H416" s="5">
        <v>0.42</v>
      </c>
    </row>
    <row r="417">
      <c r="A417" s="4" t="s">
        <v>1389</v>
      </c>
      <c r="B417" s="5">
        <v>825.0</v>
      </c>
      <c r="C417" s="5">
        <v>14.7</v>
      </c>
      <c r="D417" s="5">
        <v>15.3</v>
      </c>
      <c r="F417" s="5">
        <v>6.69</v>
      </c>
      <c r="H417" s="5">
        <v>0.62</v>
      </c>
    </row>
    <row r="418">
      <c r="A418" s="4" t="s">
        <v>1390</v>
      </c>
      <c r="B418" s="5">
        <v>763.0</v>
      </c>
      <c r="C418" s="5">
        <v>14.8</v>
      </c>
      <c r="D418" s="5">
        <v>11.2</v>
      </c>
      <c r="F418" s="5">
        <v>5.81</v>
      </c>
      <c r="H418" s="5">
        <v>0.39</v>
      </c>
    </row>
    <row r="419">
      <c r="A419" s="4"/>
    </row>
    <row r="420">
      <c r="A420" s="4" t="s">
        <v>837</v>
      </c>
      <c r="B420" s="5">
        <v>866.0</v>
      </c>
      <c r="C420" s="5">
        <v>33.9</v>
      </c>
      <c r="D420" s="5">
        <v>22.6</v>
      </c>
      <c r="F420" s="5">
        <v>10.26</v>
      </c>
      <c r="H420" s="5">
        <v>3.55</v>
      </c>
    </row>
    <row r="421">
      <c r="A421" s="4" t="s">
        <v>1391</v>
      </c>
      <c r="B421" s="5">
        <v>864.0</v>
      </c>
      <c r="C421" s="5">
        <v>25.0</v>
      </c>
      <c r="D421" s="5">
        <v>31.1</v>
      </c>
      <c r="E421" s="5">
        <v>5.0</v>
      </c>
      <c r="F421" s="5">
        <v>12.4</v>
      </c>
      <c r="H421" s="5">
        <v>3.08</v>
      </c>
    </row>
    <row r="422">
      <c r="A422" s="4" t="s">
        <v>1392</v>
      </c>
      <c r="B422" s="5">
        <v>865.0</v>
      </c>
      <c r="C422" s="5">
        <v>37.2</v>
      </c>
      <c r="D422" s="5">
        <v>25.2</v>
      </c>
      <c r="F422" s="5">
        <v>9.29</v>
      </c>
      <c r="H422" s="5">
        <v>1.73</v>
      </c>
    </row>
    <row r="423">
      <c r="A423" s="4" t="s">
        <v>1393</v>
      </c>
      <c r="B423" s="5">
        <v>857.0</v>
      </c>
      <c r="C423" s="5">
        <v>23.6</v>
      </c>
      <c r="D423" s="5">
        <v>26.2</v>
      </c>
      <c r="F423" s="5">
        <v>9.53</v>
      </c>
      <c r="H423" s="5">
        <v>1.64</v>
      </c>
    </row>
    <row r="424">
      <c r="A424" s="4" t="s">
        <v>1394</v>
      </c>
      <c r="B424" s="5">
        <v>860.0</v>
      </c>
      <c r="C424" s="5">
        <v>26.7</v>
      </c>
      <c r="D424" s="5">
        <v>19.0</v>
      </c>
      <c r="F424" s="5">
        <v>7.03</v>
      </c>
      <c r="H424" s="5">
        <v>0.72</v>
      </c>
    </row>
    <row r="425">
      <c r="A425" s="4" t="s">
        <v>1395</v>
      </c>
      <c r="B425" s="5">
        <v>863.0</v>
      </c>
      <c r="C425" s="5">
        <v>34.4</v>
      </c>
      <c r="D425" s="5">
        <v>21.7</v>
      </c>
      <c r="F425" s="5">
        <v>7.95</v>
      </c>
      <c r="H425" s="5">
        <v>0.75</v>
      </c>
    </row>
    <row r="426">
      <c r="A426" s="4" t="s">
        <v>1396</v>
      </c>
      <c r="B426" s="5">
        <v>862.0</v>
      </c>
      <c r="C426" s="5">
        <v>30.4</v>
      </c>
      <c r="D426" s="5">
        <v>20.2</v>
      </c>
      <c r="F426" s="5">
        <v>10.26</v>
      </c>
      <c r="H426" s="5">
        <v>1.28</v>
      </c>
    </row>
    <row r="427">
      <c r="A427" s="4" t="s">
        <v>1397</v>
      </c>
      <c r="B427" s="5">
        <v>850.0</v>
      </c>
      <c r="C427" s="5">
        <v>18.4</v>
      </c>
      <c r="D427" s="5">
        <v>18.7</v>
      </c>
      <c r="F427" s="5">
        <v>9.12</v>
      </c>
      <c r="H427" s="5">
        <v>1.01</v>
      </c>
    </row>
    <row r="428">
      <c r="A428" s="4" t="s">
        <v>1398</v>
      </c>
      <c r="B428" s="5">
        <v>859.0</v>
      </c>
      <c r="C428" s="5">
        <v>17.9</v>
      </c>
      <c r="D428" s="5">
        <v>11.2</v>
      </c>
      <c r="F428" s="5">
        <v>5.56</v>
      </c>
      <c r="H428" s="5">
        <v>0.42</v>
      </c>
    </row>
    <row r="429">
      <c r="A429" s="4" t="s">
        <v>1399</v>
      </c>
      <c r="B429" s="5">
        <v>858.0</v>
      </c>
      <c r="C429" s="5">
        <v>18.1</v>
      </c>
      <c r="D429" s="5">
        <v>17.0</v>
      </c>
      <c r="F429" s="5">
        <v>5.51</v>
      </c>
      <c r="H429" s="5">
        <v>0.74</v>
      </c>
    </row>
    <row r="430">
      <c r="A430" s="4" t="s">
        <v>1400</v>
      </c>
      <c r="B430" s="5">
        <v>861.0</v>
      </c>
      <c r="C430" s="5">
        <v>21.4</v>
      </c>
      <c r="D430" s="5">
        <v>19.6</v>
      </c>
      <c r="F430" s="5">
        <v>8.56</v>
      </c>
      <c r="H430" s="5">
        <v>1.33</v>
      </c>
    </row>
    <row r="431">
      <c r="A431" s="9" t="s">
        <v>1401</v>
      </c>
      <c r="B431" s="5">
        <v>848.0</v>
      </c>
      <c r="C431" s="5">
        <v>17.4</v>
      </c>
      <c r="D431" s="5">
        <v>17.4</v>
      </c>
      <c r="F431" s="5">
        <v>7.23</v>
      </c>
      <c r="H431" s="5">
        <v>0.73</v>
      </c>
    </row>
    <row r="432">
      <c r="A432" s="4" t="s">
        <v>1402</v>
      </c>
      <c r="B432" s="5">
        <v>849.0</v>
      </c>
      <c r="C432" s="5">
        <v>11.3</v>
      </c>
      <c r="D432" s="5">
        <v>12.3</v>
      </c>
      <c r="F432" s="5">
        <v>4.48</v>
      </c>
      <c r="H432" s="5">
        <v>0.17</v>
      </c>
    </row>
    <row r="433">
      <c r="A433" s="4" t="s">
        <v>1403</v>
      </c>
      <c r="B433" s="5">
        <v>846.0</v>
      </c>
      <c r="C433" s="5">
        <v>18.3</v>
      </c>
      <c r="D433" s="5">
        <v>14.0</v>
      </c>
      <c r="F433" s="5">
        <v>5.97</v>
      </c>
      <c r="H433" s="5">
        <v>0.41</v>
      </c>
    </row>
    <row r="434">
      <c r="A434" s="4" t="s">
        <v>1404</v>
      </c>
      <c r="B434" s="5">
        <v>856.0</v>
      </c>
      <c r="C434" s="5">
        <v>19.5</v>
      </c>
      <c r="D434" s="5">
        <v>18.3</v>
      </c>
      <c r="F434" s="5">
        <v>5.06</v>
      </c>
      <c r="H434" s="5">
        <v>0.28</v>
      </c>
    </row>
    <row r="435">
      <c r="A435" s="9" t="s">
        <v>1405</v>
      </c>
      <c r="B435" s="5">
        <v>847.0</v>
      </c>
      <c r="C435" s="5">
        <v>18.8</v>
      </c>
      <c r="D435" s="5">
        <v>16.5</v>
      </c>
      <c r="F435" s="5">
        <v>5.77</v>
      </c>
      <c r="H435" s="5">
        <v>0.35</v>
      </c>
    </row>
    <row r="436">
      <c r="A436" s="4"/>
    </row>
    <row r="437">
      <c r="A437" s="4" t="s">
        <v>857</v>
      </c>
      <c r="B437" s="5">
        <v>882.0</v>
      </c>
      <c r="C437" s="5">
        <v>24.9</v>
      </c>
      <c r="D437" s="5">
        <v>29.0</v>
      </c>
      <c r="F437" s="5">
        <v>10.18</v>
      </c>
      <c r="H437" s="5">
        <v>2.23</v>
      </c>
    </row>
    <row r="438">
      <c r="A438" s="4" t="s">
        <v>858</v>
      </c>
      <c r="B438" s="5">
        <v>879.0</v>
      </c>
      <c r="C438" s="5">
        <v>30.2</v>
      </c>
      <c r="D438" s="5">
        <v>27.2</v>
      </c>
      <c r="F438" s="5">
        <v>9.8</v>
      </c>
      <c r="H438" s="5">
        <v>2.8</v>
      </c>
    </row>
    <row r="439">
      <c r="A439" s="4" t="s">
        <v>861</v>
      </c>
      <c r="B439" s="5">
        <v>881.0</v>
      </c>
      <c r="C439" s="5">
        <v>38.0</v>
      </c>
      <c r="D439" s="5">
        <v>37.0</v>
      </c>
      <c r="F439" s="5">
        <v>6.6</v>
      </c>
      <c r="H439" s="5">
        <v>0.91</v>
      </c>
    </row>
    <row r="440">
      <c r="A440" s="4" t="s">
        <v>859</v>
      </c>
      <c r="B440" s="5">
        <v>878.0</v>
      </c>
      <c r="C440" s="5">
        <v>24.4</v>
      </c>
      <c r="D440" s="5">
        <v>18.0</v>
      </c>
      <c r="F440" s="5">
        <v>9.56</v>
      </c>
      <c r="H440" s="5">
        <v>1.76</v>
      </c>
    </row>
    <row r="441">
      <c r="A441" s="4" t="s">
        <v>1406</v>
      </c>
      <c r="B441" s="5">
        <v>876.0</v>
      </c>
      <c r="C441" s="5">
        <v>35.2</v>
      </c>
      <c r="D441" s="5">
        <v>19.2</v>
      </c>
      <c r="F441" s="5">
        <v>9.25</v>
      </c>
      <c r="H441" s="5">
        <v>1.54</v>
      </c>
    </row>
    <row r="442">
      <c r="A442" s="4" t="s">
        <v>860</v>
      </c>
      <c r="B442" s="5">
        <v>875.0</v>
      </c>
      <c r="C442" s="5">
        <v>32.3</v>
      </c>
      <c r="D442" s="5">
        <v>26.7</v>
      </c>
      <c r="F442" s="5">
        <v>8.23</v>
      </c>
      <c r="H442" s="5">
        <v>1.03</v>
      </c>
    </row>
    <row r="443">
      <c r="A443" s="4" t="s">
        <v>862</v>
      </c>
      <c r="B443" s="5">
        <v>880.0</v>
      </c>
      <c r="C443" s="5">
        <v>21.7</v>
      </c>
      <c r="D443" s="5">
        <v>19.8</v>
      </c>
      <c r="F443" s="5">
        <v>8.36</v>
      </c>
      <c r="H443" s="5">
        <v>0.82</v>
      </c>
    </row>
    <row r="444">
      <c r="A444" s="4" t="s">
        <v>867</v>
      </c>
      <c r="B444" s="5">
        <v>877.0</v>
      </c>
      <c r="C444" s="5">
        <v>21.8</v>
      </c>
      <c r="D444" s="5">
        <v>18.5</v>
      </c>
      <c r="F444" s="5">
        <v>5.89</v>
      </c>
      <c r="H444" s="5">
        <v>0.58</v>
      </c>
    </row>
    <row r="445">
      <c r="A445" s="4" t="s">
        <v>864</v>
      </c>
      <c r="B445" s="5">
        <v>873.0</v>
      </c>
      <c r="C445" s="5">
        <v>25.5</v>
      </c>
      <c r="D445" s="5">
        <v>18.2</v>
      </c>
      <c r="F445" s="5">
        <v>4.95</v>
      </c>
      <c r="H445" s="5">
        <v>0.34</v>
      </c>
    </row>
    <row r="446">
      <c r="A446" s="4" t="s">
        <v>866</v>
      </c>
      <c r="B446" s="5">
        <v>874.0</v>
      </c>
      <c r="C446" s="5">
        <v>23.9</v>
      </c>
      <c r="D446" s="5">
        <v>17.4</v>
      </c>
      <c r="F446" s="5">
        <v>6.99</v>
      </c>
      <c r="H446" s="5">
        <v>0.78</v>
      </c>
    </row>
    <row r="447">
      <c r="A447" s="9" t="s">
        <v>872</v>
      </c>
      <c r="B447" s="5">
        <v>871.0</v>
      </c>
      <c r="C447" s="5">
        <v>18.1</v>
      </c>
      <c r="D447" s="5">
        <v>19.0</v>
      </c>
      <c r="F447" s="5">
        <v>6.93</v>
      </c>
      <c r="H447" s="5">
        <v>0.59</v>
      </c>
    </row>
    <row r="448">
      <c r="A448" s="4" t="s">
        <v>865</v>
      </c>
      <c r="B448" s="5">
        <v>872.0</v>
      </c>
      <c r="C448" s="5">
        <v>17.8</v>
      </c>
      <c r="D448" s="5">
        <v>13.1</v>
      </c>
      <c r="F448" s="5">
        <v>6.28</v>
      </c>
      <c r="H448" s="5">
        <v>0.91</v>
      </c>
    </row>
    <row r="449">
      <c r="A449" s="4" t="s">
        <v>871</v>
      </c>
      <c r="B449" s="5">
        <v>869.0</v>
      </c>
      <c r="C449" s="5">
        <v>19.2</v>
      </c>
      <c r="D449" s="5">
        <v>22.5</v>
      </c>
      <c r="F449" s="5">
        <v>5.83</v>
      </c>
      <c r="H449" s="5">
        <v>0.43</v>
      </c>
    </row>
    <row r="450">
      <c r="A450" s="4" t="s">
        <v>1407</v>
      </c>
      <c r="B450" s="5">
        <v>870.0</v>
      </c>
      <c r="C450" s="5">
        <v>16.2</v>
      </c>
      <c r="D450" s="5">
        <v>16.2</v>
      </c>
      <c r="F450" s="5">
        <v>4.6</v>
      </c>
      <c r="H450" s="5">
        <v>0.29</v>
      </c>
    </row>
    <row r="451">
      <c r="A451" s="4" t="s">
        <v>869</v>
      </c>
      <c r="B451" s="5">
        <v>868.0</v>
      </c>
      <c r="C451" s="5">
        <v>17.6</v>
      </c>
      <c r="D451" s="5">
        <v>15.4</v>
      </c>
      <c r="F451" s="5">
        <v>3.73</v>
      </c>
      <c r="H451" s="5">
        <v>0.2</v>
      </c>
    </row>
    <row r="452">
      <c r="A452" s="4" t="s">
        <v>868</v>
      </c>
      <c r="B452" s="5">
        <v>867.0</v>
      </c>
      <c r="C452" s="5">
        <v>15.9</v>
      </c>
      <c r="D452" s="5">
        <v>16.1</v>
      </c>
      <c r="F452" s="5">
        <v>4.67</v>
      </c>
      <c r="H452" s="5">
        <v>0.25</v>
      </c>
    </row>
    <row r="453">
      <c r="A453" s="4" t="s">
        <v>872</v>
      </c>
    </row>
    <row r="454">
      <c r="A454" s="4"/>
    </row>
    <row r="455">
      <c r="A455" s="4" t="s">
        <v>882</v>
      </c>
      <c r="B455" s="5">
        <v>845.0</v>
      </c>
      <c r="C455" s="5">
        <v>30.0</v>
      </c>
      <c r="D455" s="5">
        <v>31.2</v>
      </c>
      <c r="F455" s="5">
        <v>8.0</v>
      </c>
      <c r="H455" s="5">
        <v>2.23</v>
      </c>
    </row>
    <row r="456">
      <c r="A456" s="4" t="s">
        <v>883</v>
      </c>
      <c r="B456" s="5">
        <v>844.0</v>
      </c>
      <c r="C456" s="5">
        <v>29.2</v>
      </c>
      <c r="D456" s="5">
        <v>24.8</v>
      </c>
      <c r="F456" s="5">
        <v>9.29</v>
      </c>
      <c r="H456" s="5">
        <v>2.0</v>
      </c>
    </row>
    <row r="457">
      <c r="A457" s="4" t="s">
        <v>884</v>
      </c>
      <c r="B457" s="5">
        <v>843.0</v>
      </c>
      <c r="C457" s="5">
        <v>24.9</v>
      </c>
      <c r="D457" s="5">
        <v>20.7</v>
      </c>
      <c r="F457" s="5">
        <v>9.19</v>
      </c>
      <c r="H457" s="5">
        <v>1.03</v>
      </c>
    </row>
    <row r="458">
      <c r="A458" s="4" t="s">
        <v>885</v>
      </c>
      <c r="B458" s="5">
        <v>840.0</v>
      </c>
      <c r="C458" s="5">
        <v>39.8</v>
      </c>
      <c r="D458" s="5">
        <v>21.8</v>
      </c>
      <c r="F458" s="5">
        <v>7.06</v>
      </c>
      <c r="H458" s="5">
        <v>0.93</v>
      </c>
    </row>
    <row r="459">
      <c r="A459" s="4" t="s">
        <v>886</v>
      </c>
      <c r="B459" s="5">
        <v>835.0</v>
      </c>
      <c r="C459" s="5">
        <v>20.0</v>
      </c>
      <c r="D459" s="5">
        <v>21.2</v>
      </c>
      <c r="F459" s="5">
        <v>7.37</v>
      </c>
      <c r="H459" s="5">
        <v>0.9</v>
      </c>
    </row>
    <row r="460">
      <c r="A460" s="4" t="s">
        <v>887</v>
      </c>
      <c r="B460" s="5">
        <v>842.0</v>
      </c>
      <c r="C460" s="5">
        <v>20.7</v>
      </c>
      <c r="D460" s="5">
        <v>22.8</v>
      </c>
      <c r="F460" s="5">
        <v>7.48</v>
      </c>
      <c r="H460" s="5">
        <v>0.8</v>
      </c>
    </row>
    <row r="461">
      <c r="A461" s="4" t="s">
        <v>1408</v>
      </c>
      <c r="B461" s="5">
        <v>839.0</v>
      </c>
      <c r="C461" s="5">
        <v>28.7</v>
      </c>
      <c r="D461" s="5">
        <v>16.4</v>
      </c>
      <c r="F461" s="5">
        <v>7.89</v>
      </c>
      <c r="H461" s="5">
        <v>0.85</v>
      </c>
    </row>
    <row r="462">
      <c r="A462" s="4" t="s">
        <v>888</v>
      </c>
      <c r="B462" s="5">
        <v>838.0</v>
      </c>
      <c r="C462" s="5">
        <v>24.5</v>
      </c>
      <c r="D462" s="5">
        <v>23.2</v>
      </c>
      <c r="F462" s="5">
        <v>7.5</v>
      </c>
      <c r="H462" s="5">
        <v>0.96</v>
      </c>
    </row>
    <row r="463">
      <c r="A463" s="4" t="s">
        <v>891</v>
      </c>
      <c r="B463" s="5">
        <v>832.0</v>
      </c>
      <c r="C463" s="5">
        <v>19.3</v>
      </c>
      <c r="D463" s="5">
        <v>16.3</v>
      </c>
      <c r="F463" s="5">
        <v>6.51</v>
      </c>
      <c r="H463" s="5">
        <v>0.53</v>
      </c>
    </row>
    <row r="464">
      <c r="A464" s="4" t="s">
        <v>1409</v>
      </c>
      <c r="B464" s="5">
        <v>836.0</v>
      </c>
      <c r="C464" s="5">
        <v>18.2</v>
      </c>
      <c r="D464" s="5">
        <v>19.1</v>
      </c>
      <c r="F464" s="5">
        <v>6.38</v>
      </c>
      <c r="H464" s="5">
        <v>0.53</v>
      </c>
    </row>
    <row r="465">
      <c r="A465" s="9" t="s">
        <v>1410</v>
      </c>
      <c r="B465" s="5">
        <v>833.0</v>
      </c>
      <c r="C465" s="5">
        <v>17.7</v>
      </c>
      <c r="D465" s="5">
        <v>17.7</v>
      </c>
      <c r="F465" s="5">
        <v>4.75</v>
      </c>
      <c r="H465" s="5">
        <v>0.25</v>
      </c>
    </row>
    <row r="466">
      <c r="A466" s="4" t="s">
        <v>889</v>
      </c>
      <c r="B466" s="5">
        <v>841.0</v>
      </c>
      <c r="C466" s="5">
        <v>25.3</v>
      </c>
      <c r="D466" s="5">
        <v>19.2</v>
      </c>
      <c r="F466" s="5">
        <v>5.94</v>
      </c>
      <c r="H466" s="5">
        <v>0.48</v>
      </c>
    </row>
    <row r="467">
      <c r="A467" s="4" t="s">
        <v>890</v>
      </c>
      <c r="B467" s="5">
        <v>837.0</v>
      </c>
      <c r="C467" s="5">
        <v>17.0</v>
      </c>
      <c r="D467" s="5">
        <v>21.6</v>
      </c>
      <c r="F467" s="5">
        <v>6.74</v>
      </c>
      <c r="H467" s="5">
        <v>0.62</v>
      </c>
    </row>
    <row r="468">
      <c r="A468" s="4" t="s">
        <v>893</v>
      </c>
      <c r="B468" s="5">
        <v>834.0</v>
      </c>
      <c r="F468" s="5">
        <v>5.49</v>
      </c>
      <c r="H468" s="5">
        <v>0.28</v>
      </c>
    </row>
    <row r="469">
      <c r="A469" s="4"/>
    </row>
    <row r="470">
      <c r="A470" s="4" t="s">
        <v>895</v>
      </c>
    </row>
    <row r="471">
      <c r="A471" s="4" t="s">
        <v>896</v>
      </c>
    </row>
    <row r="472">
      <c r="A472" s="4" t="s">
        <v>897</v>
      </c>
    </row>
    <row r="473">
      <c r="A473" s="4" t="s">
        <v>1411</v>
      </c>
    </row>
    <row r="474">
      <c r="A474" s="4" t="s">
        <v>1412</v>
      </c>
    </row>
    <row r="475">
      <c r="A475" s="4" t="s">
        <v>1413</v>
      </c>
    </row>
    <row r="476">
      <c r="A476" s="4" t="s">
        <v>1414</v>
      </c>
    </row>
    <row r="477">
      <c r="A477" s="4"/>
    </row>
    <row r="478">
      <c r="A478" s="4" t="s">
        <v>915</v>
      </c>
      <c r="B478" s="5">
        <v>757.0</v>
      </c>
      <c r="C478" s="5">
        <v>29.1</v>
      </c>
      <c r="D478" s="5">
        <v>25.6</v>
      </c>
      <c r="F478" s="5">
        <v>10.41</v>
      </c>
      <c r="H478" s="5">
        <v>2.62</v>
      </c>
    </row>
    <row r="479">
      <c r="A479" s="4" t="s">
        <v>916</v>
      </c>
      <c r="B479" s="5">
        <v>756.0</v>
      </c>
      <c r="C479" s="5">
        <v>24.6</v>
      </c>
      <c r="D479" s="5">
        <v>23.2</v>
      </c>
      <c r="F479" s="5">
        <v>9.53</v>
      </c>
      <c r="H479" s="5">
        <v>1.97</v>
      </c>
    </row>
    <row r="480">
      <c r="A480" s="4" t="s">
        <v>917</v>
      </c>
      <c r="B480" s="5">
        <v>754.0</v>
      </c>
      <c r="C480" s="5">
        <v>21.6</v>
      </c>
      <c r="D480" s="5">
        <v>18.5</v>
      </c>
      <c r="F480" s="5">
        <v>7.75</v>
      </c>
      <c r="H480" s="5">
        <v>1.03</v>
      </c>
    </row>
    <row r="481">
      <c r="A481" s="4" t="s">
        <v>920</v>
      </c>
      <c r="B481" s="5">
        <v>752.0</v>
      </c>
      <c r="C481" s="5">
        <v>24.7</v>
      </c>
      <c r="D481" s="5">
        <v>19.3</v>
      </c>
      <c r="F481" s="5">
        <v>8.18</v>
      </c>
      <c r="H481" s="5">
        <v>0.77</v>
      </c>
    </row>
    <row r="482">
      <c r="A482" s="4" t="s">
        <v>918</v>
      </c>
      <c r="B482" s="5">
        <v>755.0</v>
      </c>
      <c r="C482" s="5">
        <v>20.1</v>
      </c>
      <c r="D482" s="5">
        <v>26.8</v>
      </c>
      <c r="F482" s="5">
        <v>5.13</v>
      </c>
      <c r="H482" s="5">
        <v>0.35</v>
      </c>
    </row>
    <row r="483">
      <c r="A483" s="4" t="s">
        <v>1415</v>
      </c>
      <c r="B483" s="5">
        <v>753.0</v>
      </c>
      <c r="C483" s="5">
        <v>24.3</v>
      </c>
      <c r="D483" s="5">
        <v>26.1</v>
      </c>
      <c r="F483" s="5">
        <v>6.97</v>
      </c>
      <c r="H483" s="5">
        <v>0.56</v>
      </c>
    </row>
    <row r="484">
      <c r="A484" s="4"/>
    </row>
    <row r="485">
      <c r="A485" s="4" t="s">
        <v>930</v>
      </c>
    </row>
    <row r="486">
      <c r="A486" s="4" t="s">
        <v>931</v>
      </c>
    </row>
    <row r="487">
      <c r="A487" s="4" t="s">
        <v>932</v>
      </c>
    </row>
    <row r="488">
      <c r="A488" s="4"/>
    </row>
    <row r="489">
      <c r="A489" s="4" t="s">
        <v>961</v>
      </c>
    </row>
    <row r="490">
      <c r="A490" s="4" t="s">
        <v>962</v>
      </c>
    </row>
    <row r="491">
      <c r="A491" s="4"/>
    </row>
    <row r="492">
      <c r="A492" s="4" t="s">
        <v>983</v>
      </c>
    </row>
    <row r="493">
      <c r="A493" s="4"/>
    </row>
    <row r="494">
      <c r="A494" s="4" t="s">
        <v>1010</v>
      </c>
    </row>
    <row r="495">
      <c r="A495" s="4"/>
    </row>
    <row r="496">
      <c r="A496" s="4" t="s">
        <v>1025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1416</v>
      </c>
      <c r="G1" s="2" t="s">
        <v>5</v>
      </c>
      <c r="H1" s="2" t="s">
        <v>6</v>
      </c>
      <c r="I1" s="2" t="s">
        <v>7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A2" s="4"/>
    </row>
    <row r="3">
      <c r="A3" s="4" t="s">
        <v>8</v>
      </c>
      <c r="B3" s="5">
        <v>287.0</v>
      </c>
      <c r="C3" s="5">
        <v>34.6</v>
      </c>
      <c r="D3" s="5">
        <v>16.0</v>
      </c>
      <c r="E3" s="5" t="s">
        <v>1417</v>
      </c>
      <c r="F3" s="5"/>
      <c r="G3" s="5">
        <v>15.46</v>
      </c>
      <c r="H3" s="5">
        <v>0.0</v>
      </c>
      <c r="I3" s="5">
        <v>6.41</v>
      </c>
      <c r="K3" s="2" t="s">
        <v>10</v>
      </c>
    </row>
    <row r="4">
      <c r="A4" s="4" t="s">
        <v>12</v>
      </c>
      <c r="B4" s="5">
        <v>267.0</v>
      </c>
      <c r="C4" s="5">
        <v>20.6</v>
      </c>
      <c r="D4" s="5">
        <v>17.4</v>
      </c>
      <c r="E4" s="5" t="s">
        <v>1417</v>
      </c>
      <c r="F4" s="5"/>
      <c r="G4" s="5">
        <v>14.65</v>
      </c>
      <c r="I4" s="5">
        <v>3.0</v>
      </c>
      <c r="K4" s="6">
        <f>counta(I3:I1001)</f>
        <v>427</v>
      </c>
    </row>
    <row r="5">
      <c r="A5" s="4" t="s">
        <v>9</v>
      </c>
      <c r="B5" s="5">
        <v>286.0</v>
      </c>
      <c r="C5" s="5">
        <v>25.4</v>
      </c>
      <c r="D5" s="5">
        <v>15.8</v>
      </c>
      <c r="E5" s="5" t="s">
        <v>1417</v>
      </c>
      <c r="G5" s="5">
        <v>14.84</v>
      </c>
      <c r="I5" s="5">
        <v>3.91</v>
      </c>
    </row>
    <row r="6">
      <c r="A6" s="4" t="s">
        <v>11</v>
      </c>
      <c r="B6" s="5">
        <v>285.0</v>
      </c>
      <c r="C6" s="5">
        <v>25.2</v>
      </c>
      <c r="D6" s="5">
        <v>19.0</v>
      </c>
      <c r="E6" s="5" t="s">
        <v>1417</v>
      </c>
      <c r="G6" s="5">
        <v>12.16</v>
      </c>
      <c r="I6" s="5">
        <v>2.39</v>
      </c>
      <c r="K6" s="2" t="s">
        <v>14</v>
      </c>
    </row>
    <row r="7">
      <c r="A7" s="4" t="s">
        <v>19</v>
      </c>
      <c r="B7" s="5">
        <v>266.0</v>
      </c>
      <c r="C7" s="5">
        <v>21.5</v>
      </c>
      <c r="D7" s="5">
        <v>20.7</v>
      </c>
      <c r="E7" s="5" t="s">
        <v>1417</v>
      </c>
      <c r="G7" s="5">
        <v>11.66</v>
      </c>
      <c r="I7" s="5">
        <v>2.21</v>
      </c>
      <c r="K7" s="6">
        <f>counta(I3:I196)</f>
        <v>137</v>
      </c>
    </row>
    <row r="8">
      <c r="A8" s="4" t="s">
        <v>15</v>
      </c>
      <c r="B8" s="5">
        <v>284.0</v>
      </c>
      <c r="C8" s="5">
        <v>21.8</v>
      </c>
      <c r="D8" s="5">
        <v>13.1</v>
      </c>
      <c r="E8" s="5" t="s">
        <v>1417</v>
      </c>
      <c r="G8" s="5">
        <v>12.43</v>
      </c>
      <c r="I8" s="5">
        <v>2.01</v>
      </c>
      <c r="K8" s="6">
        <f>sum(I3:I196)/K7</f>
        <v>1.024744526</v>
      </c>
    </row>
    <row r="9">
      <c r="A9" s="4" t="s">
        <v>30</v>
      </c>
      <c r="B9" s="5">
        <v>283.0</v>
      </c>
      <c r="C9" s="5">
        <v>20.7</v>
      </c>
      <c r="D9" s="5">
        <v>13.6</v>
      </c>
      <c r="E9" s="5" t="s">
        <v>1417</v>
      </c>
      <c r="G9" s="5">
        <v>9.51</v>
      </c>
      <c r="I9" s="5">
        <v>1.21</v>
      </c>
    </row>
    <row r="10">
      <c r="A10" s="4" t="s">
        <v>1203</v>
      </c>
      <c r="B10" s="5">
        <v>280.0</v>
      </c>
      <c r="C10" s="5">
        <v>26.3</v>
      </c>
      <c r="D10" s="5">
        <v>17.9</v>
      </c>
      <c r="E10" s="5" t="s">
        <v>1417</v>
      </c>
      <c r="G10" s="5">
        <v>11.14</v>
      </c>
      <c r="I10" s="5">
        <v>0.92</v>
      </c>
    </row>
    <row r="11">
      <c r="A11" s="4" t="s">
        <v>16</v>
      </c>
      <c r="B11" s="5">
        <v>277.0</v>
      </c>
      <c r="C11" s="5">
        <v>28.0</v>
      </c>
      <c r="D11" s="5">
        <v>20.2</v>
      </c>
      <c r="E11" s="5" t="s">
        <v>1417</v>
      </c>
      <c r="G11" s="5">
        <v>10.79</v>
      </c>
      <c r="I11" s="5">
        <v>0.97</v>
      </c>
    </row>
    <row r="12">
      <c r="A12" s="4" t="s">
        <v>13</v>
      </c>
      <c r="B12" s="5">
        <v>271.0</v>
      </c>
      <c r="C12" s="5">
        <v>21.9</v>
      </c>
      <c r="D12" s="5">
        <v>24.0</v>
      </c>
      <c r="E12" s="5" t="s">
        <v>1417</v>
      </c>
      <c r="G12" s="5">
        <v>11.8</v>
      </c>
      <c r="I12" s="5">
        <v>0.92</v>
      </c>
    </row>
    <row r="13">
      <c r="A13" s="4" t="s">
        <v>18</v>
      </c>
      <c r="B13" s="5">
        <v>274.0</v>
      </c>
      <c r="C13" s="5">
        <v>19.8</v>
      </c>
      <c r="D13" s="5">
        <v>22.2</v>
      </c>
      <c r="E13" s="5" t="s">
        <v>1417</v>
      </c>
      <c r="F13" s="5"/>
      <c r="G13" s="5">
        <v>11.88</v>
      </c>
      <c r="I13" s="5">
        <v>0.96</v>
      </c>
    </row>
    <row r="14">
      <c r="A14" s="4" t="s">
        <v>28</v>
      </c>
      <c r="B14" s="5">
        <v>265.0</v>
      </c>
      <c r="C14" s="5">
        <v>21.7</v>
      </c>
      <c r="D14" s="5">
        <v>15.0</v>
      </c>
      <c r="E14" s="5" t="s">
        <v>1417</v>
      </c>
      <c r="F14" s="5"/>
      <c r="G14" s="5">
        <v>12.88</v>
      </c>
      <c r="I14" s="5">
        <v>1.86</v>
      </c>
    </row>
    <row r="15">
      <c r="A15" s="4" t="s">
        <v>26</v>
      </c>
      <c r="B15" s="5">
        <v>273.0</v>
      </c>
      <c r="C15" s="5">
        <v>22.4</v>
      </c>
      <c r="D15" s="5">
        <v>20.6</v>
      </c>
      <c r="E15" s="5" t="s">
        <v>1417</v>
      </c>
      <c r="F15" s="5"/>
      <c r="G15" s="5">
        <v>10.62</v>
      </c>
      <c r="I15" s="5">
        <v>0.7</v>
      </c>
    </row>
    <row r="16">
      <c r="A16" s="4" t="s">
        <v>17</v>
      </c>
      <c r="B16" s="5">
        <v>270.0</v>
      </c>
      <c r="C16" s="5">
        <v>18.4</v>
      </c>
      <c r="D16" s="5">
        <v>16.4</v>
      </c>
      <c r="E16" s="5" t="s">
        <v>1417</v>
      </c>
      <c r="F16" s="5"/>
      <c r="G16" s="5">
        <v>8.89</v>
      </c>
      <c r="I16" s="5">
        <v>0.65</v>
      </c>
    </row>
    <row r="17">
      <c r="A17" s="4" t="s">
        <v>20</v>
      </c>
      <c r="B17" s="5">
        <v>276.0</v>
      </c>
      <c r="C17" s="5">
        <v>17.7</v>
      </c>
      <c r="D17" s="5">
        <v>12.5</v>
      </c>
      <c r="E17" s="5" t="s">
        <v>1417</v>
      </c>
      <c r="F17" s="5"/>
      <c r="G17" s="5">
        <v>11.36</v>
      </c>
      <c r="I17" s="5">
        <v>0.86</v>
      </c>
    </row>
    <row r="18">
      <c r="A18" s="4" t="s">
        <v>1207</v>
      </c>
      <c r="B18" s="5">
        <v>282.0</v>
      </c>
      <c r="C18" s="5">
        <v>19.1</v>
      </c>
      <c r="D18" s="5">
        <v>11.6</v>
      </c>
      <c r="E18" s="5" t="s">
        <v>1417</v>
      </c>
      <c r="F18" s="5"/>
      <c r="G18" s="5">
        <v>10.77</v>
      </c>
      <c r="I18" s="5">
        <v>0.85</v>
      </c>
    </row>
    <row r="19">
      <c r="A19" s="4" t="s">
        <v>1208</v>
      </c>
      <c r="B19" s="5">
        <v>279.0</v>
      </c>
      <c r="C19" s="5">
        <v>18.1</v>
      </c>
      <c r="D19" s="5">
        <v>12.3</v>
      </c>
      <c r="E19" s="5" t="s">
        <v>1417</v>
      </c>
      <c r="F19" s="5"/>
      <c r="G19" s="5">
        <v>9.88</v>
      </c>
      <c r="I19" s="5">
        <v>0.71</v>
      </c>
    </row>
    <row r="20">
      <c r="A20" s="4" t="s">
        <v>1418</v>
      </c>
      <c r="B20" s="5">
        <v>281.0</v>
      </c>
      <c r="C20" s="5">
        <v>13.0</v>
      </c>
      <c r="D20" s="5">
        <v>6.5</v>
      </c>
      <c r="E20" s="5" t="s">
        <v>1417</v>
      </c>
      <c r="F20" s="5"/>
      <c r="G20" s="5">
        <v>6.71</v>
      </c>
      <c r="I20" s="5">
        <v>0.32</v>
      </c>
    </row>
    <row r="21">
      <c r="A21" s="4" t="s">
        <v>39</v>
      </c>
      <c r="B21" s="5">
        <v>272.0</v>
      </c>
      <c r="C21" s="5">
        <v>16.6</v>
      </c>
      <c r="D21" s="5">
        <v>13.5</v>
      </c>
      <c r="E21" s="5" t="s">
        <v>1417</v>
      </c>
      <c r="F21" s="5"/>
      <c r="G21" s="5">
        <v>8.16</v>
      </c>
      <c r="I21" s="5">
        <v>0.8</v>
      </c>
    </row>
    <row r="22">
      <c r="A22" s="4" t="s">
        <v>24</v>
      </c>
      <c r="B22" s="5">
        <v>269.0</v>
      </c>
      <c r="C22" s="5">
        <v>18.7</v>
      </c>
      <c r="D22" s="5">
        <v>11.4</v>
      </c>
      <c r="E22" s="5" t="s">
        <v>1417</v>
      </c>
      <c r="F22" s="5"/>
      <c r="G22" s="5">
        <v>8.23</v>
      </c>
      <c r="I22" s="5">
        <v>0.58</v>
      </c>
    </row>
    <row r="23">
      <c r="A23" s="4" t="s">
        <v>1209</v>
      </c>
      <c r="B23" s="5">
        <v>275.0</v>
      </c>
      <c r="C23" s="5">
        <v>19.8</v>
      </c>
      <c r="D23" s="5">
        <v>10.3</v>
      </c>
      <c r="E23" s="5" t="s">
        <v>1417</v>
      </c>
      <c r="F23" s="5"/>
      <c r="G23" s="5">
        <v>8.64</v>
      </c>
      <c r="I23" s="5">
        <v>0.81</v>
      </c>
    </row>
    <row r="24">
      <c r="A24" s="4" t="s">
        <v>1216</v>
      </c>
      <c r="B24" s="5">
        <v>278.0</v>
      </c>
      <c r="C24" s="5">
        <v>13.0</v>
      </c>
      <c r="D24" s="5">
        <v>7.4</v>
      </c>
      <c r="E24" s="5" t="s">
        <v>1417</v>
      </c>
      <c r="F24" s="5"/>
      <c r="G24" s="5">
        <v>7.29</v>
      </c>
      <c r="I24" s="5">
        <v>0.38</v>
      </c>
    </row>
    <row r="25">
      <c r="A25" s="4" t="s">
        <v>41</v>
      </c>
      <c r="B25" s="5">
        <v>264.0</v>
      </c>
      <c r="C25" s="5">
        <v>18.5</v>
      </c>
      <c r="D25" s="5">
        <v>14.6</v>
      </c>
      <c r="E25" s="5" t="s">
        <v>1417</v>
      </c>
      <c r="F25" s="5"/>
      <c r="G25" s="5">
        <v>8.89</v>
      </c>
      <c r="I25" s="5">
        <v>0.61</v>
      </c>
    </row>
    <row r="26">
      <c r="A26" s="4" t="s">
        <v>34</v>
      </c>
      <c r="B26" s="5">
        <v>268.0</v>
      </c>
      <c r="C26" s="5">
        <v>16.2</v>
      </c>
      <c r="D26" s="5">
        <v>10.1</v>
      </c>
      <c r="E26" s="5" t="s">
        <v>1417</v>
      </c>
      <c r="F26" s="5"/>
      <c r="G26" s="5">
        <v>5.67</v>
      </c>
      <c r="I26" s="5">
        <v>0.29</v>
      </c>
    </row>
    <row r="27">
      <c r="A27" s="4" t="s">
        <v>46</v>
      </c>
      <c r="B27" s="5">
        <v>263.0</v>
      </c>
      <c r="C27" s="5">
        <v>13.0</v>
      </c>
      <c r="D27" s="5">
        <v>6.2</v>
      </c>
      <c r="E27" s="5" t="s">
        <v>1417</v>
      </c>
      <c r="F27" s="5"/>
      <c r="G27" s="5">
        <v>5.47</v>
      </c>
      <c r="I27" s="5">
        <v>0.21</v>
      </c>
    </row>
    <row r="28">
      <c r="A28" s="4"/>
    </row>
    <row r="29">
      <c r="A29" s="4" t="s">
        <v>50</v>
      </c>
      <c r="B29" s="5">
        <v>414.0</v>
      </c>
      <c r="C29" s="5">
        <v>32.0</v>
      </c>
      <c r="D29" s="5">
        <v>14.5</v>
      </c>
      <c r="E29" s="5" t="s">
        <v>1417</v>
      </c>
      <c r="F29" s="5"/>
      <c r="G29" s="5">
        <v>12.89</v>
      </c>
      <c r="I29" s="5">
        <v>4.52</v>
      </c>
    </row>
    <row r="30">
      <c r="A30" s="4" t="s">
        <v>51</v>
      </c>
      <c r="B30" s="5">
        <v>413.0</v>
      </c>
      <c r="C30" s="5">
        <v>24.2</v>
      </c>
      <c r="D30" s="5">
        <v>12.1</v>
      </c>
      <c r="E30" s="5" t="s">
        <v>1417</v>
      </c>
      <c r="F30" s="5"/>
      <c r="G30" s="5">
        <v>14.53</v>
      </c>
      <c r="I30" s="5">
        <v>4.36</v>
      </c>
    </row>
    <row r="31">
      <c r="A31" s="4" t="s">
        <v>53</v>
      </c>
      <c r="B31" s="5">
        <v>412.0</v>
      </c>
      <c r="C31" s="5">
        <v>27.4</v>
      </c>
      <c r="D31" s="5">
        <v>22.7</v>
      </c>
      <c r="E31" s="5" t="s">
        <v>1417</v>
      </c>
      <c r="F31" s="5"/>
      <c r="G31" s="5">
        <v>12.62</v>
      </c>
      <c r="I31" s="5">
        <v>2.33</v>
      </c>
    </row>
    <row r="32">
      <c r="A32" s="4" t="s">
        <v>1220</v>
      </c>
      <c r="B32" s="5">
        <v>402.0</v>
      </c>
      <c r="C32" s="5">
        <v>24.6</v>
      </c>
      <c r="D32" s="5">
        <v>22.8</v>
      </c>
      <c r="E32" s="5" t="s">
        <v>1417</v>
      </c>
      <c r="F32" s="5"/>
      <c r="G32" s="5">
        <v>11.29</v>
      </c>
      <c r="I32" s="5">
        <v>1.17</v>
      </c>
    </row>
    <row r="33">
      <c r="A33" s="4" t="s">
        <v>1221</v>
      </c>
      <c r="B33" s="5">
        <v>297.0</v>
      </c>
      <c r="C33" s="5">
        <v>30.9</v>
      </c>
      <c r="D33" s="5">
        <v>27.3</v>
      </c>
      <c r="E33" s="5" t="s">
        <v>1417</v>
      </c>
      <c r="F33" s="5"/>
      <c r="G33" s="5">
        <v>12.2</v>
      </c>
      <c r="I33" s="5">
        <v>1.4</v>
      </c>
    </row>
    <row r="34">
      <c r="A34" s="4" t="s">
        <v>52</v>
      </c>
      <c r="B34" s="5">
        <v>292.0</v>
      </c>
      <c r="C34" s="5">
        <v>20.0</v>
      </c>
      <c r="D34" s="5">
        <v>13.4</v>
      </c>
      <c r="E34" s="5" t="s">
        <v>1417</v>
      </c>
      <c r="F34" s="5"/>
      <c r="G34" s="5">
        <v>9.72</v>
      </c>
      <c r="I34" s="5">
        <v>1.68</v>
      </c>
    </row>
    <row r="35">
      <c r="A35" s="4" t="s">
        <v>1419</v>
      </c>
      <c r="B35" s="5">
        <v>409.0</v>
      </c>
      <c r="C35" s="5">
        <v>22.3</v>
      </c>
      <c r="D35" s="5">
        <v>16.2</v>
      </c>
      <c r="E35" s="5" t="s">
        <v>1417</v>
      </c>
      <c r="F35" s="5"/>
      <c r="G35" s="5">
        <v>11.14</v>
      </c>
      <c r="I35" s="5">
        <v>1.61</v>
      </c>
    </row>
    <row r="36">
      <c r="A36" s="4" t="s">
        <v>56</v>
      </c>
      <c r="B36" s="5">
        <v>406.0</v>
      </c>
      <c r="C36" s="5">
        <v>28.8</v>
      </c>
      <c r="D36" s="5">
        <v>21.6</v>
      </c>
      <c r="E36" s="5" t="s">
        <v>1417</v>
      </c>
      <c r="F36" s="5"/>
      <c r="G36" s="5">
        <v>10.93</v>
      </c>
      <c r="I36" s="5">
        <v>1.16</v>
      </c>
    </row>
    <row r="37">
      <c r="A37" s="4" t="s">
        <v>1223</v>
      </c>
      <c r="B37" s="5">
        <v>401.0</v>
      </c>
      <c r="C37" s="5">
        <v>21.6</v>
      </c>
      <c r="D37" s="5">
        <v>16.5</v>
      </c>
      <c r="E37" s="5" t="s">
        <v>1417</v>
      </c>
      <c r="F37" s="5"/>
      <c r="G37" s="5">
        <v>7.91</v>
      </c>
      <c r="I37" s="5">
        <v>0.8</v>
      </c>
    </row>
    <row r="38">
      <c r="A38" s="4" t="s">
        <v>1224</v>
      </c>
      <c r="B38" s="5">
        <v>296.0</v>
      </c>
      <c r="C38" s="5">
        <v>19.7</v>
      </c>
      <c r="D38" s="5">
        <v>18.4</v>
      </c>
      <c r="E38" s="5" t="s">
        <v>1417</v>
      </c>
      <c r="F38" s="5"/>
      <c r="G38" s="5">
        <v>11.38</v>
      </c>
      <c r="I38" s="5">
        <v>1.14</v>
      </c>
    </row>
    <row r="39">
      <c r="A39" s="4" t="s">
        <v>55</v>
      </c>
      <c r="B39" s="5">
        <v>291.0</v>
      </c>
      <c r="C39" s="5">
        <v>25.0</v>
      </c>
      <c r="D39" s="5">
        <v>23.6</v>
      </c>
      <c r="E39" s="5" t="s">
        <v>1417</v>
      </c>
      <c r="F39" s="5"/>
      <c r="G39" s="5">
        <v>10.16</v>
      </c>
      <c r="I39" s="5">
        <v>1.22</v>
      </c>
    </row>
    <row r="40">
      <c r="A40" s="4" t="s">
        <v>60</v>
      </c>
      <c r="B40" s="5">
        <v>290.0</v>
      </c>
      <c r="C40" s="5">
        <v>20.5</v>
      </c>
      <c r="D40" s="5">
        <v>19.0</v>
      </c>
      <c r="E40" s="5" t="s">
        <v>1417</v>
      </c>
      <c r="F40" s="5"/>
      <c r="G40" s="5">
        <v>11.19</v>
      </c>
      <c r="I40" s="5">
        <v>0.89</v>
      </c>
    </row>
    <row r="41">
      <c r="A41" s="4" t="s">
        <v>1420</v>
      </c>
      <c r="B41" s="5">
        <v>408.0</v>
      </c>
      <c r="C41" s="5">
        <v>20.7</v>
      </c>
      <c r="D41" s="5">
        <v>13.1</v>
      </c>
      <c r="E41" s="5" t="s">
        <v>1417</v>
      </c>
      <c r="F41" s="5"/>
      <c r="G41" s="5">
        <v>10.48</v>
      </c>
      <c r="I41" s="5">
        <v>1.28</v>
      </c>
    </row>
    <row r="42">
      <c r="A42" s="4" t="s">
        <v>1421</v>
      </c>
      <c r="B42" s="5">
        <v>411.0</v>
      </c>
      <c r="C42" s="5">
        <v>23.6</v>
      </c>
      <c r="D42" s="5">
        <v>16.6</v>
      </c>
      <c r="E42" s="5" t="s">
        <v>1417</v>
      </c>
      <c r="F42" s="5"/>
      <c r="G42" s="5">
        <v>8.63</v>
      </c>
      <c r="I42" s="5">
        <v>0.43</v>
      </c>
    </row>
    <row r="43">
      <c r="A43" s="4" t="s">
        <v>57</v>
      </c>
      <c r="B43" s="5">
        <v>405.0</v>
      </c>
      <c r="C43" s="5">
        <v>19.7</v>
      </c>
      <c r="D43" s="5">
        <v>13.4</v>
      </c>
      <c r="E43" s="5" t="s">
        <v>1417</v>
      </c>
      <c r="F43" s="5"/>
      <c r="G43" s="5">
        <v>10.9</v>
      </c>
      <c r="I43" s="5">
        <v>0.93</v>
      </c>
    </row>
    <row r="44">
      <c r="A44" s="4" t="s">
        <v>1228</v>
      </c>
      <c r="B44" s="5">
        <v>300.0</v>
      </c>
      <c r="C44" s="5">
        <v>17.0</v>
      </c>
      <c r="D44" s="5">
        <v>11.2</v>
      </c>
      <c r="E44" s="5" t="s">
        <v>1417</v>
      </c>
      <c r="F44" s="5"/>
      <c r="G44" s="5">
        <v>9.1</v>
      </c>
      <c r="I44" s="5">
        <v>0.64</v>
      </c>
    </row>
    <row r="45">
      <c r="A45" s="4" t="s">
        <v>1226</v>
      </c>
      <c r="B45" s="5">
        <v>295.0</v>
      </c>
      <c r="C45" s="5">
        <v>21.9</v>
      </c>
      <c r="D45" s="5">
        <v>15.5</v>
      </c>
      <c r="E45" s="5" t="s">
        <v>1417</v>
      </c>
      <c r="F45" s="5"/>
      <c r="G45" s="5">
        <v>10.68</v>
      </c>
      <c r="I45" s="5">
        <v>0.86</v>
      </c>
    </row>
    <row r="46">
      <c r="A46" s="4" t="s">
        <v>61</v>
      </c>
      <c r="B46" s="5">
        <v>289.0</v>
      </c>
      <c r="C46" s="5">
        <v>19.6</v>
      </c>
      <c r="D46" s="5">
        <v>16.0</v>
      </c>
      <c r="E46" s="5" t="s">
        <v>1417</v>
      </c>
      <c r="F46" s="5"/>
      <c r="G46" s="5">
        <v>8.23</v>
      </c>
      <c r="I46" s="5">
        <v>0.47</v>
      </c>
    </row>
    <row r="47">
      <c r="A47" s="4" t="s">
        <v>84</v>
      </c>
      <c r="B47" s="5">
        <v>288.0</v>
      </c>
      <c r="C47" s="5">
        <v>17.5</v>
      </c>
      <c r="D47" s="5">
        <v>9.9</v>
      </c>
      <c r="E47" s="5" t="s">
        <v>1417</v>
      </c>
      <c r="F47" s="5"/>
      <c r="G47" s="5">
        <v>7.87</v>
      </c>
      <c r="I47" s="5">
        <v>0.45</v>
      </c>
    </row>
    <row r="48">
      <c r="A48" s="4" t="s">
        <v>73</v>
      </c>
      <c r="B48" s="5">
        <v>404.0</v>
      </c>
      <c r="C48" s="5">
        <v>18.4</v>
      </c>
      <c r="D48" s="5">
        <v>12.8</v>
      </c>
      <c r="E48" s="5" t="s">
        <v>1417</v>
      </c>
      <c r="F48" s="5"/>
      <c r="G48" s="5">
        <v>9.66</v>
      </c>
      <c r="I48" s="5">
        <v>0.75</v>
      </c>
    </row>
    <row r="49">
      <c r="A49" s="4" t="s">
        <v>1422</v>
      </c>
      <c r="B49" s="5">
        <v>410.0</v>
      </c>
      <c r="C49" s="5">
        <v>12.3</v>
      </c>
      <c r="D49" s="5">
        <v>8.7</v>
      </c>
      <c r="E49" s="5" t="s">
        <v>1417</v>
      </c>
      <c r="F49" s="5"/>
      <c r="G49" s="5">
        <v>6.73</v>
      </c>
      <c r="I49" s="5">
        <v>0.39</v>
      </c>
    </row>
    <row r="50">
      <c r="A50" s="4" t="s">
        <v>1423</v>
      </c>
      <c r="B50" s="5">
        <v>407.0</v>
      </c>
      <c r="C50" s="5">
        <v>16.7</v>
      </c>
      <c r="D50" s="5">
        <v>9.9</v>
      </c>
      <c r="E50" s="5" t="s">
        <v>1417</v>
      </c>
      <c r="F50" s="5"/>
      <c r="G50" s="5">
        <v>7.79</v>
      </c>
      <c r="I50" s="5">
        <v>0.88</v>
      </c>
    </row>
    <row r="51">
      <c r="A51" s="4" t="s">
        <v>1424</v>
      </c>
      <c r="B51" s="5">
        <v>299.0</v>
      </c>
      <c r="C51" s="5">
        <v>17.3</v>
      </c>
      <c r="D51" s="5">
        <v>8.6</v>
      </c>
      <c r="E51" s="5" t="s">
        <v>1417</v>
      </c>
      <c r="F51" s="5"/>
      <c r="G51" s="5">
        <v>6.6</v>
      </c>
      <c r="I51" s="5">
        <v>0.47</v>
      </c>
    </row>
    <row r="52">
      <c r="A52" s="4" t="s">
        <v>1425</v>
      </c>
      <c r="B52" s="5">
        <v>294.0</v>
      </c>
      <c r="C52" s="5">
        <v>17.8</v>
      </c>
      <c r="D52" s="5">
        <v>8.6</v>
      </c>
      <c r="E52" s="5" t="s">
        <v>1417</v>
      </c>
      <c r="F52" s="5"/>
      <c r="G52" s="5">
        <v>7.26</v>
      </c>
      <c r="I52" s="5">
        <v>0.69</v>
      </c>
    </row>
    <row r="53">
      <c r="A53" s="4" t="s">
        <v>78</v>
      </c>
      <c r="B53" s="5">
        <v>403.0</v>
      </c>
      <c r="C53" s="5">
        <v>13.8</v>
      </c>
      <c r="D53" s="5">
        <v>7.9</v>
      </c>
      <c r="E53" s="5" t="s">
        <v>1417</v>
      </c>
      <c r="F53" s="5"/>
      <c r="G53" s="5">
        <v>6.63</v>
      </c>
      <c r="I53" s="5">
        <v>0.41</v>
      </c>
    </row>
    <row r="54">
      <c r="A54" s="4" t="s">
        <v>1426</v>
      </c>
      <c r="B54" s="5">
        <v>298.0</v>
      </c>
      <c r="C54" s="5">
        <v>10.4</v>
      </c>
      <c r="D54" s="5">
        <v>5.7</v>
      </c>
      <c r="E54" s="5" t="s">
        <v>1417</v>
      </c>
      <c r="F54" s="5"/>
      <c r="G54" s="5">
        <v>4.12</v>
      </c>
      <c r="I54" s="5">
        <v>0.15</v>
      </c>
    </row>
    <row r="55">
      <c r="A55" s="4" t="s">
        <v>1427</v>
      </c>
      <c r="B55" s="5">
        <v>293.0</v>
      </c>
      <c r="C55" s="5">
        <v>15.2</v>
      </c>
      <c r="D55" s="5">
        <v>8.4</v>
      </c>
      <c r="E55" s="5" t="s">
        <v>1417</v>
      </c>
      <c r="F55" s="5"/>
      <c r="G55" s="5">
        <v>6.44</v>
      </c>
      <c r="I55" s="5">
        <v>0.25</v>
      </c>
    </row>
    <row r="56">
      <c r="A56" s="4"/>
    </row>
    <row r="57">
      <c r="A57" s="4" t="s">
        <v>93</v>
      </c>
      <c r="B57" s="5">
        <v>239.0</v>
      </c>
      <c r="C57" s="5">
        <v>26.6</v>
      </c>
      <c r="D57" s="5">
        <v>14.5</v>
      </c>
      <c r="E57" s="5" t="s">
        <v>1417</v>
      </c>
      <c r="F57" s="5"/>
      <c r="G57" s="5">
        <v>15.18</v>
      </c>
      <c r="I57" s="5">
        <v>5.92</v>
      </c>
    </row>
    <row r="58">
      <c r="A58" s="4" t="s">
        <v>1231</v>
      </c>
      <c r="B58" s="5">
        <v>238.0</v>
      </c>
      <c r="C58" s="5">
        <v>21.7</v>
      </c>
      <c r="D58" s="5">
        <v>19.0</v>
      </c>
      <c r="E58" s="5" t="s">
        <v>1417</v>
      </c>
      <c r="F58" s="5"/>
      <c r="G58" s="5">
        <v>13.2</v>
      </c>
      <c r="I58" s="5">
        <v>3.91</v>
      </c>
    </row>
    <row r="59">
      <c r="A59" s="4" t="s">
        <v>97</v>
      </c>
      <c r="B59" s="5">
        <v>219.0</v>
      </c>
      <c r="C59" s="5">
        <v>19.9</v>
      </c>
      <c r="D59" s="5">
        <v>24.5</v>
      </c>
      <c r="E59" s="5" t="s">
        <v>1417</v>
      </c>
      <c r="F59" s="5"/>
      <c r="G59" s="5">
        <v>10.62</v>
      </c>
      <c r="I59" s="5">
        <v>2.14</v>
      </c>
    </row>
    <row r="60">
      <c r="A60" s="4" t="s">
        <v>1233</v>
      </c>
      <c r="B60" s="5">
        <v>237.0</v>
      </c>
      <c r="C60" s="5">
        <v>32.6</v>
      </c>
      <c r="D60" s="5">
        <v>21.5</v>
      </c>
      <c r="E60" s="5" t="s">
        <v>1417</v>
      </c>
      <c r="F60" s="5"/>
      <c r="G60" s="5">
        <v>12.21</v>
      </c>
      <c r="I60" s="5">
        <v>3.02</v>
      </c>
    </row>
    <row r="61">
      <c r="A61" s="4" t="s">
        <v>1232</v>
      </c>
      <c r="B61" s="5">
        <v>224.0</v>
      </c>
      <c r="C61" s="5">
        <v>29.0</v>
      </c>
      <c r="D61" s="5">
        <v>25.3</v>
      </c>
      <c r="E61" s="5" t="s">
        <v>1417</v>
      </c>
      <c r="F61" s="5"/>
      <c r="G61" s="5">
        <v>10.04</v>
      </c>
      <c r="I61" s="5">
        <v>1.29</v>
      </c>
    </row>
    <row r="62">
      <c r="A62" s="4" t="s">
        <v>1428</v>
      </c>
      <c r="B62" s="5">
        <v>214.0</v>
      </c>
      <c r="C62" s="5">
        <v>39.7</v>
      </c>
      <c r="D62" s="5">
        <v>31.8</v>
      </c>
      <c r="E62" s="5" t="s">
        <v>1417</v>
      </c>
      <c r="F62" s="5"/>
      <c r="G62" s="5">
        <v>7.43</v>
      </c>
      <c r="I62" s="5">
        <v>1.14</v>
      </c>
    </row>
    <row r="63">
      <c r="A63" s="4" t="s">
        <v>104</v>
      </c>
      <c r="B63" s="5">
        <v>218.0</v>
      </c>
      <c r="C63" s="5">
        <v>26.1</v>
      </c>
      <c r="D63" s="5">
        <v>19.4</v>
      </c>
      <c r="E63" s="5" t="s">
        <v>1417</v>
      </c>
      <c r="F63" s="5"/>
      <c r="G63" s="5">
        <v>10.75</v>
      </c>
      <c r="I63" s="5">
        <v>1.22</v>
      </c>
    </row>
    <row r="64">
      <c r="A64" s="4" t="s">
        <v>105</v>
      </c>
      <c r="B64" s="5">
        <v>217.0</v>
      </c>
      <c r="C64" s="5">
        <v>24.5</v>
      </c>
      <c r="D64" s="5">
        <v>19.6</v>
      </c>
      <c r="E64" s="5" t="s">
        <v>1417</v>
      </c>
      <c r="F64" s="5"/>
      <c r="G64" s="5">
        <v>10.9</v>
      </c>
      <c r="I64" s="5">
        <v>0.92</v>
      </c>
    </row>
    <row r="65">
      <c r="A65" s="8" t="s">
        <v>1429</v>
      </c>
    </row>
    <row r="66">
      <c r="A66" s="4" t="s">
        <v>1236</v>
      </c>
      <c r="B66" s="5">
        <v>223.0</v>
      </c>
      <c r="C66" s="5">
        <v>25.6</v>
      </c>
      <c r="D66" s="5">
        <v>18.4</v>
      </c>
      <c r="E66" s="5" t="s">
        <v>1417</v>
      </c>
      <c r="F66" s="5"/>
      <c r="G66" s="5">
        <v>8.67</v>
      </c>
      <c r="I66" s="5">
        <v>0.96</v>
      </c>
    </row>
    <row r="67">
      <c r="A67" s="4" t="s">
        <v>1430</v>
      </c>
      <c r="B67" s="5">
        <v>230.0</v>
      </c>
      <c r="C67" s="5">
        <v>35.3</v>
      </c>
      <c r="D67" s="5">
        <v>20.2</v>
      </c>
      <c r="E67" s="5" t="s">
        <v>1417</v>
      </c>
      <c r="F67" s="5"/>
      <c r="G67" s="5">
        <v>11.09</v>
      </c>
      <c r="I67" s="5">
        <v>0.96</v>
      </c>
    </row>
    <row r="68">
      <c r="A68" s="4" t="s">
        <v>1235</v>
      </c>
      <c r="B68" s="5">
        <v>235.0</v>
      </c>
      <c r="C68" s="5">
        <v>24.4</v>
      </c>
      <c r="D68" s="5">
        <v>18.1</v>
      </c>
      <c r="E68" s="5" t="s">
        <v>1417</v>
      </c>
      <c r="F68" s="5"/>
      <c r="G68" s="5">
        <v>9.79</v>
      </c>
      <c r="I68" s="5">
        <v>0.96</v>
      </c>
    </row>
    <row r="69">
      <c r="A69" s="4" t="s">
        <v>1234</v>
      </c>
      <c r="B69" s="5">
        <v>236.0</v>
      </c>
      <c r="C69" s="5">
        <v>31.3</v>
      </c>
      <c r="D69" s="5">
        <v>19.6</v>
      </c>
      <c r="E69" s="5" t="s">
        <v>1417</v>
      </c>
      <c r="F69" s="5"/>
      <c r="G69" s="5">
        <v>10.21</v>
      </c>
      <c r="I69" s="5">
        <v>1.39</v>
      </c>
    </row>
    <row r="70">
      <c r="A70" s="4" t="s">
        <v>95</v>
      </c>
      <c r="B70" s="5">
        <v>228.0</v>
      </c>
      <c r="C70" s="5">
        <v>40.4</v>
      </c>
      <c r="D70" s="5">
        <v>22.6</v>
      </c>
      <c r="E70" s="5" t="s">
        <v>1417</v>
      </c>
      <c r="F70" s="5"/>
      <c r="G70" s="5">
        <v>9.69</v>
      </c>
      <c r="I70" s="5">
        <v>0.92</v>
      </c>
    </row>
    <row r="71">
      <c r="A71" s="4" t="s">
        <v>101</v>
      </c>
      <c r="B71" s="5">
        <v>227.0</v>
      </c>
      <c r="C71" s="5">
        <v>23.4</v>
      </c>
      <c r="D71" s="5">
        <v>18.1</v>
      </c>
      <c r="E71" s="5" t="s">
        <v>1417</v>
      </c>
      <c r="F71" s="5"/>
      <c r="G71" s="5">
        <v>10.19</v>
      </c>
      <c r="I71" s="5">
        <v>0.74</v>
      </c>
    </row>
    <row r="72">
      <c r="A72" s="4" t="s">
        <v>114</v>
      </c>
      <c r="B72" s="5">
        <v>216.0</v>
      </c>
      <c r="C72" s="5">
        <v>24.2</v>
      </c>
      <c r="D72" s="5">
        <v>12.9</v>
      </c>
      <c r="E72" s="5" t="s">
        <v>1417</v>
      </c>
      <c r="F72" s="5"/>
      <c r="G72" s="5">
        <v>9.18</v>
      </c>
      <c r="I72" s="5">
        <v>0.64</v>
      </c>
    </row>
    <row r="73">
      <c r="A73" s="4" t="s">
        <v>1237</v>
      </c>
      <c r="B73" s="5">
        <v>222.0</v>
      </c>
      <c r="C73" s="5">
        <v>23.8</v>
      </c>
      <c r="D73" s="5">
        <v>17.1</v>
      </c>
      <c r="E73" s="5" t="s">
        <v>1417</v>
      </c>
      <c r="F73" s="5"/>
      <c r="G73" s="5">
        <v>8.79</v>
      </c>
      <c r="I73" s="5">
        <v>0.65</v>
      </c>
    </row>
    <row r="74">
      <c r="A74" s="8" t="s">
        <v>1431</v>
      </c>
    </row>
    <row r="75">
      <c r="A75" s="8" t="s">
        <v>1432</v>
      </c>
    </row>
    <row r="76">
      <c r="A76" s="8" t="s">
        <v>1433</v>
      </c>
    </row>
    <row r="77">
      <c r="A77" s="4" t="s">
        <v>109</v>
      </c>
      <c r="B77" s="5">
        <v>226.0</v>
      </c>
      <c r="C77" s="5">
        <v>17.0</v>
      </c>
      <c r="D77" s="5">
        <v>12.4</v>
      </c>
      <c r="E77" s="5" t="s">
        <v>1417</v>
      </c>
      <c r="F77" s="5"/>
      <c r="G77" s="5">
        <v>7.8</v>
      </c>
      <c r="I77" s="5">
        <v>0.66</v>
      </c>
    </row>
    <row r="78">
      <c r="A78" s="4" t="s">
        <v>1238</v>
      </c>
      <c r="B78" s="5">
        <v>234.0</v>
      </c>
      <c r="C78" s="5">
        <v>19.9</v>
      </c>
      <c r="D78" s="5">
        <v>12.3</v>
      </c>
      <c r="E78" s="5" t="s">
        <v>1417</v>
      </c>
      <c r="F78" s="5"/>
      <c r="G78" s="5">
        <v>8.29</v>
      </c>
      <c r="I78" s="5">
        <v>0.73</v>
      </c>
    </row>
    <row r="79">
      <c r="A79" s="4" t="s">
        <v>1434</v>
      </c>
      <c r="B79" s="5">
        <v>232.0</v>
      </c>
      <c r="C79" s="5">
        <v>26.5</v>
      </c>
      <c r="D79" s="5">
        <v>15.2</v>
      </c>
      <c r="E79" s="5" t="s">
        <v>1417</v>
      </c>
      <c r="F79" s="5"/>
      <c r="G79" s="5">
        <v>6.4</v>
      </c>
      <c r="I79" s="5">
        <v>0.37</v>
      </c>
    </row>
    <row r="80">
      <c r="A80" s="4" t="s">
        <v>1435</v>
      </c>
      <c r="B80" s="5">
        <v>229.0</v>
      </c>
      <c r="C80" s="5">
        <v>20.6</v>
      </c>
      <c r="D80" s="5">
        <v>12.8</v>
      </c>
      <c r="E80" s="5" t="s">
        <v>1417</v>
      </c>
      <c r="F80" s="5"/>
      <c r="G80" s="5">
        <v>8.06</v>
      </c>
      <c r="I80" s="5">
        <v>1.04</v>
      </c>
    </row>
    <row r="81">
      <c r="A81" s="4" t="s">
        <v>1436</v>
      </c>
      <c r="B81" s="5">
        <v>233.0</v>
      </c>
      <c r="C81" s="5">
        <v>17.4</v>
      </c>
      <c r="D81" s="5">
        <v>11.0</v>
      </c>
      <c r="E81" s="5" t="s">
        <v>1417</v>
      </c>
      <c r="G81" s="5">
        <v>5.77</v>
      </c>
      <c r="I81" s="5">
        <v>0.27</v>
      </c>
    </row>
    <row r="82">
      <c r="A82" s="4" t="s">
        <v>1437</v>
      </c>
      <c r="B82" s="5">
        <v>231.0</v>
      </c>
      <c r="C82" s="5">
        <v>15.9</v>
      </c>
      <c r="D82" s="5">
        <v>11.5</v>
      </c>
      <c r="E82" s="5" t="s">
        <v>1417</v>
      </c>
      <c r="G82" s="5">
        <v>5.03</v>
      </c>
      <c r="I82" s="5">
        <v>0.2</v>
      </c>
    </row>
    <row r="83">
      <c r="A83" s="4" t="s">
        <v>121</v>
      </c>
      <c r="B83" s="5">
        <v>225.0</v>
      </c>
      <c r="C83" s="5">
        <v>15.4</v>
      </c>
      <c r="D83" s="5">
        <v>10.5</v>
      </c>
      <c r="E83" s="5" t="s">
        <v>1417</v>
      </c>
      <c r="G83" s="5">
        <v>5.36</v>
      </c>
      <c r="I83" s="5">
        <v>0.31</v>
      </c>
    </row>
    <row r="84">
      <c r="A84" s="4" t="s">
        <v>1438</v>
      </c>
      <c r="B84" s="5">
        <v>220.0</v>
      </c>
      <c r="C84" s="5">
        <v>13.1</v>
      </c>
      <c r="D84" s="5">
        <v>6.2</v>
      </c>
      <c r="E84" s="5" t="s">
        <v>1417</v>
      </c>
      <c r="F84" s="5"/>
      <c r="G84" s="5">
        <v>3.85</v>
      </c>
      <c r="I84" s="5">
        <v>0.14</v>
      </c>
    </row>
    <row r="85">
      <c r="A85" s="4" t="s">
        <v>1439</v>
      </c>
      <c r="B85" s="5">
        <v>221.0</v>
      </c>
      <c r="C85" s="5">
        <v>18.0</v>
      </c>
      <c r="D85" s="5">
        <v>12.8</v>
      </c>
      <c r="E85" s="5" t="s">
        <v>1417</v>
      </c>
      <c r="F85" s="5"/>
      <c r="G85" s="5">
        <v>6.75</v>
      </c>
      <c r="I85" s="5">
        <v>0.55</v>
      </c>
    </row>
    <row r="86">
      <c r="A86" s="4" t="s">
        <v>118</v>
      </c>
      <c r="B86" s="5">
        <v>215.0</v>
      </c>
      <c r="C86" s="5">
        <v>16.8</v>
      </c>
      <c r="D86" s="5">
        <v>8.7</v>
      </c>
      <c r="E86" s="5" t="s">
        <v>1417</v>
      </c>
      <c r="F86" s="5"/>
      <c r="G86" s="5">
        <v>6.84</v>
      </c>
      <c r="I86" s="5">
        <v>0.36</v>
      </c>
    </row>
    <row r="87">
      <c r="A87" s="4"/>
    </row>
    <row r="88">
      <c r="A88" s="4" t="s">
        <v>128</v>
      </c>
      <c r="B88" s="5">
        <v>262.0</v>
      </c>
      <c r="C88" s="5">
        <v>30.5</v>
      </c>
      <c r="D88" s="5">
        <v>14.9</v>
      </c>
      <c r="E88" s="5" t="s">
        <v>1417</v>
      </c>
      <c r="F88" s="5"/>
      <c r="G88" s="5">
        <v>14.42</v>
      </c>
      <c r="I88" s="5">
        <v>3.89</v>
      </c>
    </row>
    <row r="89">
      <c r="A89" s="4" t="s">
        <v>130</v>
      </c>
      <c r="B89" s="5">
        <v>249.0</v>
      </c>
      <c r="C89" s="5">
        <v>28.4</v>
      </c>
      <c r="D89" s="5">
        <v>22.4</v>
      </c>
      <c r="E89" s="5" t="s">
        <v>1417</v>
      </c>
      <c r="F89" s="5"/>
      <c r="G89" s="5">
        <v>12.61</v>
      </c>
      <c r="I89" s="5">
        <v>2.12</v>
      </c>
    </row>
    <row r="90">
      <c r="A90" s="4" t="s">
        <v>129</v>
      </c>
      <c r="B90" s="5">
        <v>261.0</v>
      </c>
      <c r="C90" s="5">
        <v>33.2</v>
      </c>
      <c r="D90" s="5">
        <v>20.1</v>
      </c>
      <c r="E90" s="5" t="s">
        <v>1417</v>
      </c>
      <c r="F90" s="5"/>
      <c r="G90" s="5">
        <v>12.22</v>
      </c>
      <c r="I90" s="5">
        <v>3.06</v>
      </c>
    </row>
    <row r="91">
      <c r="A91" s="4" t="s">
        <v>1440</v>
      </c>
      <c r="B91" s="5">
        <v>253.0</v>
      </c>
      <c r="C91" s="5">
        <v>31.1</v>
      </c>
      <c r="D91" s="5">
        <v>18.2</v>
      </c>
      <c r="E91" s="5" t="s">
        <v>1417</v>
      </c>
      <c r="F91" s="5"/>
      <c r="G91" s="5">
        <v>9.27</v>
      </c>
      <c r="I91" s="5">
        <v>0.92</v>
      </c>
    </row>
    <row r="92">
      <c r="A92" s="4" t="s">
        <v>131</v>
      </c>
      <c r="B92" s="5">
        <v>248.0</v>
      </c>
      <c r="C92" s="5">
        <v>32.8</v>
      </c>
      <c r="D92" s="5">
        <v>21.5</v>
      </c>
      <c r="E92" s="5" t="s">
        <v>1417</v>
      </c>
      <c r="F92" s="5"/>
      <c r="G92" s="5">
        <v>9.15</v>
      </c>
      <c r="I92" s="5">
        <v>1.32</v>
      </c>
    </row>
    <row r="93">
      <c r="A93" s="4" t="s">
        <v>136</v>
      </c>
      <c r="B93" s="5">
        <v>260.0</v>
      </c>
      <c r="C93" s="5">
        <v>34.4</v>
      </c>
      <c r="D93" s="5">
        <v>23.9</v>
      </c>
      <c r="E93" s="5" t="s">
        <v>1417</v>
      </c>
      <c r="F93" s="5"/>
      <c r="G93" s="5">
        <v>10.98</v>
      </c>
      <c r="I93" s="5">
        <v>0.88</v>
      </c>
    </row>
    <row r="94">
      <c r="A94" s="4" t="s">
        <v>1441</v>
      </c>
      <c r="B94" s="5">
        <v>252.0</v>
      </c>
      <c r="C94" s="5">
        <v>22.3</v>
      </c>
      <c r="D94" s="5">
        <v>19.0</v>
      </c>
      <c r="E94" s="5" t="s">
        <v>1417</v>
      </c>
      <c r="F94" s="5"/>
      <c r="G94" s="5">
        <v>8.49</v>
      </c>
      <c r="I94" s="5">
        <v>0.46</v>
      </c>
    </row>
    <row r="95">
      <c r="A95" s="4" t="s">
        <v>132</v>
      </c>
      <c r="B95" s="5">
        <v>247.0</v>
      </c>
      <c r="C95" s="5">
        <v>25.2</v>
      </c>
      <c r="D95" s="5">
        <v>19.3</v>
      </c>
      <c r="E95" s="5" t="s">
        <v>1417</v>
      </c>
      <c r="F95" s="5"/>
      <c r="G95" s="5">
        <v>10.1</v>
      </c>
      <c r="I95" s="5">
        <v>0.9</v>
      </c>
    </row>
    <row r="96">
      <c r="A96" s="4" t="s">
        <v>1442</v>
      </c>
      <c r="B96" s="5">
        <v>242.0</v>
      </c>
      <c r="C96" s="5">
        <v>26.6</v>
      </c>
      <c r="D96" s="5">
        <v>13.3</v>
      </c>
      <c r="E96" s="5" t="s">
        <v>1417</v>
      </c>
      <c r="G96" s="5">
        <v>10.04</v>
      </c>
      <c r="I96" s="5">
        <v>0.56</v>
      </c>
    </row>
    <row r="97">
      <c r="A97" s="4" t="s">
        <v>137</v>
      </c>
      <c r="B97" s="5">
        <v>259.0</v>
      </c>
      <c r="C97" s="5">
        <v>21.6</v>
      </c>
      <c r="D97" s="5">
        <v>14.2</v>
      </c>
      <c r="E97" s="5" t="s">
        <v>1417</v>
      </c>
      <c r="F97" s="5"/>
      <c r="G97" s="5">
        <v>8.91</v>
      </c>
      <c r="I97" s="5">
        <v>0.68</v>
      </c>
    </row>
    <row r="98">
      <c r="A98" s="4" t="s">
        <v>1443</v>
      </c>
      <c r="B98" s="5">
        <v>257.0</v>
      </c>
      <c r="C98" s="5">
        <v>31.2</v>
      </c>
      <c r="D98" s="5">
        <v>20.2</v>
      </c>
      <c r="E98" s="5">
        <v>11.0</v>
      </c>
      <c r="F98" s="5"/>
      <c r="G98" s="5">
        <v>10.25</v>
      </c>
      <c r="I98" s="5">
        <v>0.92</v>
      </c>
    </row>
    <row r="99">
      <c r="A99" s="4" t="s">
        <v>1444</v>
      </c>
      <c r="B99" s="5">
        <v>251.0</v>
      </c>
      <c r="C99" s="5">
        <v>18.1</v>
      </c>
      <c r="D99" s="5">
        <v>13.7</v>
      </c>
      <c r="E99" s="5" t="s">
        <v>1417</v>
      </c>
      <c r="F99" s="5"/>
      <c r="G99" s="5">
        <v>7.22</v>
      </c>
      <c r="I99" s="5">
        <v>0.46</v>
      </c>
    </row>
    <row r="100">
      <c r="A100" s="4" t="s">
        <v>147</v>
      </c>
      <c r="B100" s="5">
        <v>246.0</v>
      </c>
      <c r="C100" s="5">
        <v>22.8</v>
      </c>
      <c r="D100" s="5">
        <v>16.8</v>
      </c>
      <c r="E100" s="5" t="s">
        <v>1417</v>
      </c>
      <c r="F100" s="5"/>
      <c r="G100" s="5">
        <v>8.49</v>
      </c>
      <c r="I100" s="5">
        <v>0.79</v>
      </c>
    </row>
    <row r="101">
      <c r="A101" s="4" t="s">
        <v>146</v>
      </c>
      <c r="B101" s="5">
        <v>244.0</v>
      </c>
      <c r="C101" s="5">
        <v>30.3</v>
      </c>
      <c r="D101" s="5">
        <v>17.2</v>
      </c>
      <c r="E101" s="5" t="s">
        <v>1417</v>
      </c>
      <c r="G101" s="5">
        <v>6.84</v>
      </c>
      <c r="I101" s="5">
        <v>0.47</v>
      </c>
    </row>
    <row r="102">
      <c r="A102" s="4" t="s">
        <v>1445</v>
      </c>
      <c r="B102" s="5">
        <v>241.0</v>
      </c>
      <c r="C102" s="5">
        <v>19.0</v>
      </c>
      <c r="D102" s="5">
        <v>15.9</v>
      </c>
      <c r="E102" s="5" t="s">
        <v>1417</v>
      </c>
      <c r="F102" s="5"/>
      <c r="G102" s="5">
        <v>6.01</v>
      </c>
      <c r="I102" s="5">
        <v>0.3</v>
      </c>
    </row>
    <row r="103">
      <c r="A103" s="4" t="s">
        <v>1446</v>
      </c>
      <c r="B103" s="5">
        <v>256.0</v>
      </c>
      <c r="C103" s="5">
        <v>22.6</v>
      </c>
      <c r="D103" s="5">
        <v>15.4</v>
      </c>
      <c r="E103" s="5" t="s">
        <v>1417</v>
      </c>
      <c r="F103" s="5"/>
      <c r="G103" s="5">
        <v>7.47</v>
      </c>
      <c r="I103" s="5">
        <v>0.83</v>
      </c>
    </row>
    <row r="104">
      <c r="A104" s="4" t="s">
        <v>139</v>
      </c>
      <c r="B104" s="5">
        <v>258.0</v>
      </c>
      <c r="C104" s="5">
        <v>19.9</v>
      </c>
      <c r="D104" s="5">
        <v>12.8</v>
      </c>
      <c r="E104" s="5" t="s">
        <v>1417</v>
      </c>
      <c r="F104" s="5"/>
      <c r="G104" s="5">
        <v>7.92</v>
      </c>
      <c r="I104" s="5">
        <v>0.43</v>
      </c>
    </row>
    <row r="105">
      <c r="A105" s="4" t="s">
        <v>142</v>
      </c>
      <c r="B105" s="5">
        <v>254.0</v>
      </c>
      <c r="C105" s="5">
        <v>20.5</v>
      </c>
      <c r="D105" s="5">
        <v>16.4</v>
      </c>
      <c r="E105" s="5" t="s">
        <v>1417</v>
      </c>
      <c r="F105" s="5"/>
      <c r="G105" s="5">
        <v>8.56</v>
      </c>
      <c r="I105" s="5">
        <v>0.46</v>
      </c>
    </row>
    <row r="106">
      <c r="A106" s="4" t="s">
        <v>1447</v>
      </c>
      <c r="B106" s="5">
        <v>255.0</v>
      </c>
      <c r="C106" s="5">
        <v>11.9</v>
      </c>
      <c r="D106" s="5">
        <v>8.3</v>
      </c>
      <c r="E106" s="5" t="s">
        <v>1417</v>
      </c>
      <c r="F106" s="5"/>
      <c r="G106" s="5">
        <v>6.62</v>
      </c>
      <c r="I106" s="5">
        <v>0.32</v>
      </c>
    </row>
    <row r="107">
      <c r="A107" s="4" t="s">
        <v>1448</v>
      </c>
      <c r="B107" s="5">
        <v>250.0</v>
      </c>
      <c r="C107" s="5">
        <v>15.4</v>
      </c>
      <c r="D107" s="5">
        <v>9.5</v>
      </c>
      <c r="E107" s="5" t="s">
        <v>1417</v>
      </c>
      <c r="F107" s="5"/>
      <c r="G107" s="5">
        <v>5.66</v>
      </c>
      <c r="I107" s="5">
        <v>0.19</v>
      </c>
    </row>
    <row r="108">
      <c r="A108" s="4" t="s">
        <v>155</v>
      </c>
      <c r="B108" s="5">
        <v>245.0</v>
      </c>
      <c r="C108" s="5">
        <v>17.1</v>
      </c>
      <c r="D108" s="5">
        <v>5.0</v>
      </c>
      <c r="E108" s="5" t="s">
        <v>1417</v>
      </c>
      <c r="F108" s="5"/>
      <c r="G108" s="5">
        <v>6.2</v>
      </c>
      <c r="I108" s="5">
        <v>0.27</v>
      </c>
    </row>
    <row r="109">
      <c r="A109" s="4" t="s">
        <v>158</v>
      </c>
      <c r="B109" s="5">
        <v>243.0</v>
      </c>
      <c r="C109" s="5">
        <v>18.9</v>
      </c>
      <c r="D109" s="5">
        <v>11.7</v>
      </c>
      <c r="E109" s="5" t="s">
        <v>1417</v>
      </c>
      <c r="F109" s="5"/>
      <c r="G109" s="5">
        <v>5.91</v>
      </c>
      <c r="I109" s="5">
        <v>0.29</v>
      </c>
    </row>
    <row r="110">
      <c r="A110" s="4" t="s">
        <v>1449</v>
      </c>
      <c r="B110" s="5">
        <v>240.0</v>
      </c>
      <c r="C110" s="5">
        <v>18.1</v>
      </c>
      <c r="D110" s="5">
        <v>13.4</v>
      </c>
      <c r="E110" s="5" t="s">
        <v>1417</v>
      </c>
      <c r="F110" s="5"/>
      <c r="G110" s="5">
        <v>5.89</v>
      </c>
      <c r="I110" s="5">
        <v>0.26</v>
      </c>
    </row>
    <row r="111">
      <c r="A111" s="4"/>
    </row>
    <row r="112">
      <c r="A112" s="4" t="s">
        <v>162</v>
      </c>
    </row>
    <row r="113">
      <c r="A113" s="4" t="s">
        <v>1450</v>
      </c>
    </row>
    <row r="114">
      <c r="A114" s="4" t="s">
        <v>164</v>
      </c>
    </row>
    <row r="115">
      <c r="A115" s="4" t="s">
        <v>167</v>
      </c>
    </row>
    <row r="116">
      <c r="A116" s="4" t="s">
        <v>1451</v>
      </c>
    </row>
    <row r="117">
      <c r="A117" s="4" t="s">
        <v>1242</v>
      </c>
    </row>
    <row r="118">
      <c r="A118" s="4" t="s">
        <v>168</v>
      </c>
    </row>
    <row r="119">
      <c r="A119" s="4" t="s">
        <v>172</v>
      </c>
    </row>
    <row r="120">
      <c r="A120" s="4" t="s">
        <v>169</v>
      </c>
    </row>
    <row r="121">
      <c r="A121" s="4" t="s">
        <v>1452</v>
      </c>
    </row>
    <row r="122">
      <c r="A122" s="4" t="s">
        <v>171</v>
      </c>
    </row>
    <row r="123">
      <c r="A123" s="4" t="s">
        <v>1453</v>
      </c>
    </row>
    <row r="124">
      <c r="A124" s="4" t="s">
        <v>1454</v>
      </c>
    </row>
    <row r="125">
      <c r="A125" s="4" t="s">
        <v>1455</v>
      </c>
    </row>
    <row r="126">
      <c r="A126" s="4" t="s">
        <v>1456</v>
      </c>
    </row>
    <row r="127">
      <c r="A127" s="4" t="s">
        <v>177</v>
      </c>
    </row>
    <row r="128">
      <c r="A128" s="4" t="s">
        <v>1457</v>
      </c>
    </row>
    <row r="129">
      <c r="A129" s="4" t="s">
        <v>173</v>
      </c>
    </row>
    <row r="130">
      <c r="A130" s="4"/>
    </row>
    <row r="131">
      <c r="A131" s="4" t="s">
        <v>183</v>
      </c>
      <c r="B131" s="5">
        <v>438.0</v>
      </c>
      <c r="C131" s="5">
        <v>32.3</v>
      </c>
      <c r="D131" s="5">
        <v>21.0</v>
      </c>
      <c r="E131" s="5" t="s">
        <v>1417</v>
      </c>
      <c r="F131" s="5"/>
      <c r="G131" s="5">
        <v>12.78</v>
      </c>
      <c r="I131" s="5">
        <v>2.53</v>
      </c>
    </row>
    <row r="132">
      <c r="A132" s="4" t="s">
        <v>1458</v>
      </c>
      <c r="B132" s="5">
        <v>419.0</v>
      </c>
      <c r="C132" s="5">
        <v>33.9</v>
      </c>
      <c r="D132" s="5">
        <v>21.1</v>
      </c>
      <c r="E132" s="5" t="s">
        <v>1417</v>
      </c>
      <c r="F132" s="5"/>
      <c r="G132" s="5">
        <v>9.9</v>
      </c>
      <c r="I132" s="5">
        <v>1.42</v>
      </c>
    </row>
    <row r="133">
      <c r="A133" s="4" t="s">
        <v>1459</v>
      </c>
      <c r="B133" s="5">
        <v>437.0</v>
      </c>
      <c r="C133" s="5">
        <v>32.2</v>
      </c>
      <c r="D133" s="5">
        <v>20.0</v>
      </c>
      <c r="E133" s="5">
        <v>9.6</v>
      </c>
      <c r="F133" s="5"/>
      <c r="G133" s="5">
        <v>10.41</v>
      </c>
      <c r="I133" s="5">
        <v>1.66</v>
      </c>
    </row>
    <row r="134">
      <c r="A134" s="4" t="s">
        <v>1460</v>
      </c>
      <c r="B134" s="5">
        <v>428.0</v>
      </c>
      <c r="C134" s="5">
        <v>34.4</v>
      </c>
      <c r="D134" s="5">
        <v>20.5</v>
      </c>
      <c r="E134" s="5" t="s">
        <v>1417</v>
      </c>
      <c r="F134" s="5"/>
      <c r="G134" s="5">
        <v>9.01</v>
      </c>
      <c r="I134" s="5">
        <v>0.58</v>
      </c>
    </row>
    <row r="135">
      <c r="A135" s="4" t="s">
        <v>186</v>
      </c>
      <c r="B135" s="5">
        <v>425.0</v>
      </c>
      <c r="C135" s="5">
        <v>40.3</v>
      </c>
      <c r="D135" s="5">
        <v>28.7</v>
      </c>
      <c r="E135" s="5" t="s">
        <v>1417</v>
      </c>
      <c r="F135" s="5"/>
      <c r="G135" s="5">
        <v>9.65</v>
      </c>
      <c r="I135" s="5">
        <v>1.05</v>
      </c>
    </row>
    <row r="136">
      <c r="A136" s="4" t="s">
        <v>1461</v>
      </c>
      <c r="B136" s="5">
        <v>436.0</v>
      </c>
      <c r="C136" s="5">
        <v>32.5</v>
      </c>
      <c r="D136" s="5">
        <v>18.3</v>
      </c>
      <c r="E136" s="5">
        <v>5.2</v>
      </c>
      <c r="F136" s="5"/>
      <c r="G136" s="5">
        <v>7.76</v>
      </c>
      <c r="I136" s="5">
        <v>0.85</v>
      </c>
    </row>
    <row r="137">
      <c r="A137" s="4" t="s">
        <v>189</v>
      </c>
      <c r="B137" s="5">
        <v>432.0</v>
      </c>
      <c r="C137" s="5">
        <v>35.3</v>
      </c>
      <c r="D137" s="5">
        <v>17.8</v>
      </c>
      <c r="E137" s="5" t="s">
        <v>1417</v>
      </c>
      <c r="F137" s="5"/>
      <c r="G137" s="5">
        <v>8.35</v>
      </c>
      <c r="I137" s="5">
        <v>0.86</v>
      </c>
    </row>
    <row r="138">
      <c r="A138" s="4" t="s">
        <v>190</v>
      </c>
      <c r="B138" s="5">
        <v>431.0</v>
      </c>
      <c r="C138" s="5">
        <v>22.5</v>
      </c>
      <c r="D138" s="5">
        <v>17.6</v>
      </c>
      <c r="E138" s="5" t="s">
        <v>1417</v>
      </c>
      <c r="F138" s="5"/>
      <c r="G138" s="5">
        <v>7.5</v>
      </c>
      <c r="I138" s="5">
        <v>0.63</v>
      </c>
    </row>
    <row r="139">
      <c r="A139" s="4" t="s">
        <v>1462</v>
      </c>
      <c r="B139" s="5">
        <v>427.0</v>
      </c>
      <c r="C139" s="5">
        <v>20.6</v>
      </c>
      <c r="D139" s="5">
        <v>18.1</v>
      </c>
      <c r="E139" s="5" t="s">
        <v>1417</v>
      </c>
      <c r="F139" s="5"/>
      <c r="G139" s="5">
        <v>8.21</v>
      </c>
      <c r="I139" s="5">
        <v>0.5</v>
      </c>
    </row>
    <row r="140">
      <c r="A140" s="4" t="s">
        <v>191</v>
      </c>
      <c r="B140" s="5">
        <v>424.0</v>
      </c>
      <c r="C140" s="5">
        <v>22.9</v>
      </c>
      <c r="D140" s="5">
        <v>15.0</v>
      </c>
      <c r="E140" s="5" t="s">
        <v>1417</v>
      </c>
      <c r="F140" s="5"/>
      <c r="G140" s="5">
        <v>8.67</v>
      </c>
      <c r="I140" s="5">
        <v>0.91</v>
      </c>
    </row>
    <row r="141">
      <c r="A141" s="4" t="s">
        <v>1463</v>
      </c>
      <c r="B141" s="5">
        <v>421.0</v>
      </c>
      <c r="C141" s="5">
        <v>29.7</v>
      </c>
      <c r="D141" s="5">
        <v>17.2</v>
      </c>
      <c r="E141" s="5" t="s">
        <v>1417</v>
      </c>
      <c r="F141" s="5"/>
      <c r="G141" s="5">
        <v>8.64</v>
      </c>
      <c r="I141" s="5">
        <v>0.45</v>
      </c>
    </row>
    <row r="142">
      <c r="A142" s="4" t="s">
        <v>1464</v>
      </c>
      <c r="B142" s="5">
        <v>418.0</v>
      </c>
      <c r="C142" s="5">
        <v>33.0</v>
      </c>
      <c r="D142" s="5">
        <v>23.5</v>
      </c>
      <c r="E142" s="5" t="s">
        <v>1417</v>
      </c>
      <c r="F142" s="5"/>
      <c r="G142" s="5">
        <v>8.65</v>
      </c>
      <c r="I142" s="5">
        <v>0.93</v>
      </c>
    </row>
    <row r="143">
      <c r="A143" s="4" t="s">
        <v>1465</v>
      </c>
      <c r="B143" s="5">
        <v>417.0</v>
      </c>
      <c r="C143" s="5">
        <v>21.3</v>
      </c>
      <c r="D143" s="5">
        <v>14.6</v>
      </c>
      <c r="E143" s="5" t="s">
        <v>1417</v>
      </c>
      <c r="F143" s="5"/>
      <c r="G143" s="5">
        <v>7.96</v>
      </c>
      <c r="I143" s="5">
        <v>0.64</v>
      </c>
    </row>
    <row r="144">
      <c r="A144" s="4" t="s">
        <v>1466</v>
      </c>
      <c r="B144" s="5">
        <v>435.0</v>
      </c>
      <c r="C144" s="5">
        <v>29.7</v>
      </c>
      <c r="D144" s="5">
        <v>18.4</v>
      </c>
      <c r="E144" s="5" t="s">
        <v>1417</v>
      </c>
      <c r="F144" s="5"/>
      <c r="G144" s="5">
        <v>6.14</v>
      </c>
      <c r="I144" s="5">
        <v>0.28</v>
      </c>
    </row>
    <row r="145">
      <c r="A145" s="4" t="s">
        <v>1467</v>
      </c>
      <c r="B145" s="5">
        <v>434.0</v>
      </c>
      <c r="C145" s="5">
        <v>25.8</v>
      </c>
      <c r="D145" s="5">
        <v>12.6</v>
      </c>
      <c r="E145" s="5" t="s">
        <v>1417</v>
      </c>
      <c r="F145" s="5"/>
      <c r="G145" s="5">
        <v>7.07</v>
      </c>
      <c r="I145" s="5">
        <v>0.5</v>
      </c>
    </row>
    <row r="146">
      <c r="A146" s="4" t="s">
        <v>1468</v>
      </c>
      <c r="B146" s="5">
        <v>433.0</v>
      </c>
      <c r="C146" s="5">
        <v>22.1</v>
      </c>
      <c r="D146" s="5">
        <v>13.5</v>
      </c>
      <c r="E146" s="5" t="s">
        <v>1417</v>
      </c>
      <c r="F146" s="5"/>
      <c r="G146" s="5">
        <v>5.03</v>
      </c>
      <c r="I146" s="5">
        <v>0.16</v>
      </c>
    </row>
    <row r="147">
      <c r="A147" s="4" t="s">
        <v>198</v>
      </c>
      <c r="B147" s="5">
        <v>430.0</v>
      </c>
      <c r="C147" s="5">
        <v>22.4</v>
      </c>
      <c r="D147" s="5">
        <v>17.7</v>
      </c>
      <c r="E147" s="5" t="s">
        <v>1417</v>
      </c>
      <c r="F147" s="5"/>
      <c r="G147" s="5">
        <v>5.45</v>
      </c>
      <c r="I147" s="5">
        <v>0.33</v>
      </c>
    </row>
    <row r="148">
      <c r="A148" s="4" t="s">
        <v>1469</v>
      </c>
      <c r="B148" s="5">
        <v>429.0</v>
      </c>
      <c r="C148" s="5">
        <v>25.3</v>
      </c>
      <c r="D148" s="5">
        <v>18.7</v>
      </c>
      <c r="E148" s="5" t="s">
        <v>1417</v>
      </c>
      <c r="F148" s="5"/>
      <c r="G148" s="5">
        <v>5.89</v>
      </c>
      <c r="I148" s="5">
        <v>0.25</v>
      </c>
    </row>
    <row r="149">
      <c r="A149" s="4" t="s">
        <v>1470</v>
      </c>
      <c r="B149" s="5">
        <v>426.0</v>
      </c>
      <c r="C149" s="5">
        <v>21.4</v>
      </c>
      <c r="D149" s="5">
        <v>19.3</v>
      </c>
      <c r="E149" s="5" t="s">
        <v>1417</v>
      </c>
      <c r="F149" s="5"/>
      <c r="G149" s="5">
        <v>5.05</v>
      </c>
      <c r="I149" s="5">
        <v>0.31</v>
      </c>
    </row>
    <row r="150">
      <c r="A150" s="4" t="s">
        <v>193</v>
      </c>
      <c r="B150" s="5">
        <v>423.0</v>
      </c>
      <c r="C150" s="5">
        <v>22.5</v>
      </c>
      <c r="D150" s="5">
        <v>16.4</v>
      </c>
      <c r="E150" s="5" t="s">
        <v>1417</v>
      </c>
      <c r="F150" s="5"/>
      <c r="G150" s="5">
        <v>8.54</v>
      </c>
      <c r="I150" s="5">
        <v>0.57</v>
      </c>
    </row>
    <row r="151">
      <c r="A151" s="4" t="s">
        <v>192</v>
      </c>
      <c r="B151" s="5">
        <v>422.0</v>
      </c>
      <c r="C151" s="5">
        <v>29.1</v>
      </c>
      <c r="D151" s="5">
        <v>20.6</v>
      </c>
      <c r="E151" s="5" t="s">
        <v>1417</v>
      </c>
      <c r="F151" s="5"/>
      <c r="G151" s="5">
        <v>7.41</v>
      </c>
      <c r="I151" s="5">
        <v>0.4</v>
      </c>
    </row>
    <row r="152">
      <c r="A152" s="4" t="s">
        <v>1471</v>
      </c>
      <c r="B152" s="5">
        <v>420.0</v>
      </c>
      <c r="C152" s="5">
        <v>23.9</v>
      </c>
      <c r="D152" s="5">
        <v>20.4</v>
      </c>
      <c r="E152" s="5" t="s">
        <v>1417</v>
      </c>
      <c r="F152" s="5"/>
      <c r="G152" s="5">
        <v>5.55</v>
      </c>
      <c r="I152" s="5">
        <v>0.27</v>
      </c>
    </row>
    <row r="153">
      <c r="A153" s="4" t="s">
        <v>1472</v>
      </c>
      <c r="B153" s="5">
        <v>415.0</v>
      </c>
      <c r="C153" s="5">
        <v>28.4</v>
      </c>
      <c r="D153" s="5">
        <v>19.1</v>
      </c>
      <c r="E153" s="5" t="s">
        <v>1417</v>
      </c>
      <c r="F153" s="5"/>
      <c r="G153" s="5">
        <v>7.12</v>
      </c>
      <c r="I153" s="5">
        <v>0.36</v>
      </c>
    </row>
    <row r="154">
      <c r="A154" s="4" t="s">
        <v>1473</v>
      </c>
      <c r="B154" s="5">
        <v>416.0</v>
      </c>
      <c r="C154" s="5">
        <v>20.3</v>
      </c>
      <c r="D154" s="5">
        <v>19.0</v>
      </c>
      <c r="E154" s="5" t="s">
        <v>1417</v>
      </c>
      <c r="F154" s="5"/>
      <c r="G154" s="5">
        <v>6.14</v>
      </c>
      <c r="I154" s="5">
        <v>0.44</v>
      </c>
    </row>
    <row r="155">
      <c r="A155" s="4"/>
    </row>
    <row r="156">
      <c r="A156" s="4" t="s">
        <v>199</v>
      </c>
    </row>
    <row r="157">
      <c r="A157" s="4" t="s">
        <v>1474</v>
      </c>
    </row>
    <row r="158">
      <c r="A158" s="4" t="s">
        <v>1475</v>
      </c>
    </row>
    <row r="159">
      <c r="A159" s="4" t="s">
        <v>1476</v>
      </c>
    </row>
    <row r="160">
      <c r="A160" s="4" t="s">
        <v>1246</v>
      </c>
    </row>
    <row r="161">
      <c r="A161" s="4" t="s">
        <v>1247</v>
      </c>
    </row>
    <row r="162">
      <c r="A162" s="4" t="s">
        <v>1477</v>
      </c>
    </row>
    <row r="163">
      <c r="A163" s="4" t="s">
        <v>1478</v>
      </c>
    </row>
    <row r="164">
      <c r="A164" s="4" t="s">
        <v>1479</v>
      </c>
    </row>
    <row r="165">
      <c r="A165" s="4" t="s">
        <v>1480</v>
      </c>
    </row>
    <row r="166">
      <c r="A166" s="4" t="s">
        <v>1481</v>
      </c>
    </row>
    <row r="167">
      <c r="A167" s="4" t="s">
        <v>1482</v>
      </c>
    </row>
    <row r="168">
      <c r="A168" s="4"/>
    </row>
    <row r="169">
      <c r="A169" s="4" t="s">
        <v>1251</v>
      </c>
      <c r="B169" s="5">
        <v>212.0</v>
      </c>
      <c r="C169" s="5">
        <v>27.6</v>
      </c>
      <c r="D169" s="5">
        <v>23.1</v>
      </c>
      <c r="E169" s="5" t="s">
        <v>1417</v>
      </c>
      <c r="F169" s="5"/>
      <c r="G169" s="5">
        <v>12.03</v>
      </c>
      <c r="I169" s="5">
        <v>0.77</v>
      </c>
    </row>
    <row r="170">
      <c r="A170" s="4" t="s">
        <v>1483</v>
      </c>
      <c r="B170" s="5">
        <v>211.0</v>
      </c>
      <c r="C170" s="5">
        <v>32.7</v>
      </c>
      <c r="D170" s="5">
        <v>12.5</v>
      </c>
      <c r="E170" s="5">
        <v>12.2</v>
      </c>
      <c r="F170" s="5"/>
      <c r="G170" s="5">
        <v>7.67</v>
      </c>
      <c r="I170" s="5">
        <v>1.0</v>
      </c>
    </row>
    <row r="171">
      <c r="A171" s="4" t="s">
        <v>219</v>
      </c>
      <c r="B171" s="5">
        <v>208.0</v>
      </c>
      <c r="C171" s="5">
        <v>25.0</v>
      </c>
      <c r="D171" s="5">
        <v>17.6</v>
      </c>
      <c r="E171" s="5" t="s">
        <v>1417</v>
      </c>
      <c r="F171" s="5"/>
      <c r="G171" s="5">
        <v>8.48</v>
      </c>
      <c r="I171" s="5">
        <v>0.53</v>
      </c>
    </row>
    <row r="172">
      <c r="A172" s="4" t="s">
        <v>215</v>
      </c>
      <c r="B172" s="5">
        <v>204.0</v>
      </c>
      <c r="C172" s="5">
        <v>40.7</v>
      </c>
      <c r="D172" s="5">
        <v>24.1</v>
      </c>
      <c r="E172" s="5" t="s">
        <v>1417</v>
      </c>
      <c r="F172" s="5"/>
      <c r="G172" s="5">
        <v>6.94</v>
      </c>
      <c r="I172" s="5">
        <v>0.54</v>
      </c>
    </row>
    <row r="173">
      <c r="A173" s="4" t="s">
        <v>1484</v>
      </c>
      <c r="B173" s="5">
        <v>201.0</v>
      </c>
      <c r="C173" s="5">
        <v>28.8</v>
      </c>
      <c r="D173" s="5">
        <v>18.6</v>
      </c>
      <c r="E173" s="5" t="s">
        <v>1417</v>
      </c>
      <c r="F173" s="5"/>
      <c r="G173" s="5">
        <v>8.72</v>
      </c>
      <c r="I173" s="5">
        <v>0.44</v>
      </c>
    </row>
    <row r="174">
      <c r="A174" s="4" t="s">
        <v>1485</v>
      </c>
      <c r="B174" s="5">
        <v>210.0</v>
      </c>
      <c r="C174" s="5">
        <v>31.3</v>
      </c>
      <c r="D174" s="5">
        <v>19.4</v>
      </c>
      <c r="E174" s="5" t="s">
        <v>1417</v>
      </c>
      <c r="F174" s="5"/>
      <c r="G174" s="5">
        <v>8.05</v>
      </c>
      <c r="I174" s="5">
        <v>0.46</v>
      </c>
    </row>
    <row r="175">
      <c r="A175" s="4" t="s">
        <v>228</v>
      </c>
      <c r="B175" s="5">
        <v>209.0</v>
      </c>
      <c r="C175" s="5">
        <v>25.4</v>
      </c>
      <c r="D175" s="5">
        <v>19.1</v>
      </c>
      <c r="E175" s="5" t="s">
        <v>1417</v>
      </c>
      <c r="F175" s="5"/>
      <c r="G175" s="5">
        <v>6.7</v>
      </c>
      <c r="I175" s="5">
        <v>0.44</v>
      </c>
    </row>
    <row r="176">
      <c r="A176" s="4" t="s">
        <v>1486</v>
      </c>
      <c r="B176" s="5">
        <v>207.0</v>
      </c>
      <c r="C176" s="5">
        <v>22.2</v>
      </c>
      <c r="D176" s="5">
        <v>16.4</v>
      </c>
      <c r="E176" s="5" t="s">
        <v>1417</v>
      </c>
      <c r="F176" s="5"/>
      <c r="G176" s="5">
        <v>5.91</v>
      </c>
      <c r="I176" s="5">
        <v>0.17</v>
      </c>
    </row>
    <row r="177">
      <c r="A177" s="4" t="s">
        <v>1255</v>
      </c>
      <c r="B177" s="5">
        <v>206.0</v>
      </c>
      <c r="C177" s="5">
        <v>23.0</v>
      </c>
      <c r="D177" s="5">
        <v>17.1</v>
      </c>
      <c r="E177" s="5" t="s">
        <v>1417</v>
      </c>
      <c r="F177" s="5"/>
      <c r="G177" s="5">
        <v>5.95</v>
      </c>
      <c r="I177" s="5">
        <v>0.26</v>
      </c>
    </row>
    <row r="178">
      <c r="A178" s="4" t="s">
        <v>216</v>
      </c>
      <c r="B178" s="5">
        <v>205.0</v>
      </c>
      <c r="C178" s="5">
        <v>18.6</v>
      </c>
      <c r="D178" s="5">
        <v>15.9</v>
      </c>
      <c r="E178" s="5" t="s">
        <v>1417</v>
      </c>
      <c r="F178" s="5"/>
      <c r="G178" s="5">
        <v>7.83</v>
      </c>
      <c r="I178" s="5">
        <v>0.33</v>
      </c>
    </row>
    <row r="179">
      <c r="A179" s="4" t="s">
        <v>1487</v>
      </c>
      <c r="B179" s="5">
        <v>203.0</v>
      </c>
      <c r="C179" s="5">
        <v>22.8</v>
      </c>
      <c r="D179" s="5">
        <v>18.3</v>
      </c>
      <c r="E179" s="5" t="s">
        <v>1417</v>
      </c>
      <c r="F179" s="5"/>
      <c r="G179" s="5">
        <v>5.58</v>
      </c>
      <c r="I179" s="5">
        <v>0.2</v>
      </c>
    </row>
    <row r="180">
      <c r="A180" s="4" t="s">
        <v>1488</v>
      </c>
      <c r="B180" s="5">
        <v>202.0</v>
      </c>
      <c r="C180" s="5">
        <v>25.5</v>
      </c>
      <c r="D180" s="5">
        <v>19.2</v>
      </c>
      <c r="E180" s="5" t="s">
        <v>1417</v>
      </c>
      <c r="F180" s="5"/>
      <c r="G180" s="5">
        <v>7.68</v>
      </c>
      <c r="I180" s="5">
        <v>0.31</v>
      </c>
    </row>
    <row r="181">
      <c r="A181" s="4"/>
    </row>
    <row r="182">
      <c r="A182" s="4" t="s">
        <v>237</v>
      </c>
    </row>
    <row r="183">
      <c r="A183" s="4" t="s">
        <v>239</v>
      </c>
    </row>
    <row r="184">
      <c r="A184" s="4" t="s">
        <v>238</v>
      </c>
    </row>
    <row r="185">
      <c r="A185" s="4" t="s">
        <v>241</v>
      </c>
    </row>
    <row r="186">
      <c r="A186" s="4"/>
    </row>
    <row r="187">
      <c r="A187" s="4" t="s">
        <v>250</v>
      </c>
    </row>
    <row r="188">
      <c r="A188" s="4" t="s">
        <v>1489</v>
      </c>
    </row>
    <row r="189">
      <c r="A189" s="4" t="s">
        <v>253</v>
      </c>
    </row>
    <row r="190">
      <c r="A190" s="4" t="s">
        <v>256</v>
      </c>
    </row>
    <row r="191">
      <c r="A191" s="4" t="s">
        <v>254</v>
      </c>
    </row>
    <row r="192">
      <c r="A192" s="4"/>
    </row>
    <row r="193">
      <c r="A193" s="4" t="s">
        <v>263</v>
      </c>
    </row>
    <row r="194">
      <c r="A194" s="4" t="s">
        <v>264</v>
      </c>
    </row>
    <row r="195">
      <c r="A195" s="4"/>
    </row>
    <row r="196">
      <c r="A196" s="4" t="s">
        <v>273</v>
      </c>
    </row>
    <row r="197">
      <c r="A197" s="4"/>
      <c r="K197" s="2" t="s">
        <v>14</v>
      </c>
    </row>
    <row r="198">
      <c r="A198" s="4" t="s">
        <v>329</v>
      </c>
      <c r="B198" s="5">
        <v>522.0</v>
      </c>
      <c r="C198" s="5">
        <v>27.5</v>
      </c>
      <c r="D198" s="5">
        <v>14.1</v>
      </c>
      <c r="E198" s="5" t="s">
        <v>1417</v>
      </c>
      <c r="F198" s="5"/>
      <c r="G198" s="5">
        <v>15.83</v>
      </c>
      <c r="H198" s="5">
        <v>0.0</v>
      </c>
      <c r="I198" s="5">
        <v>6.01</v>
      </c>
      <c r="K198" s="6">
        <f>counta(I198:I401)</f>
        <v>133</v>
      </c>
    </row>
    <row r="199">
      <c r="A199" s="4" t="s">
        <v>330</v>
      </c>
      <c r="B199" s="5">
        <v>521.0</v>
      </c>
      <c r="C199" s="5">
        <v>24.4</v>
      </c>
      <c r="D199" s="5">
        <v>24.9</v>
      </c>
      <c r="E199" s="5" t="s">
        <v>1417</v>
      </c>
      <c r="F199" s="5"/>
      <c r="G199" s="5">
        <v>14.15</v>
      </c>
      <c r="I199" s="5">
        <v>3.57</v>
      </c>
      <c r="K199" s="6">
        <f>sum(I198:I401)/K198</f>
        <v>0.8521052632</v>
      </c>
    </row>
    <row r="200">
      <c r="A200" s="4" t="s">
        <v>1256</v>
      </c>
      <c r="B200" s="5">
        <v>502.0</v>
      </c>
      <c r="C200" s="5">
        <v>16.7</v>
      </c>
      <c r="D200" s="5">
        <v>14.6</v>
      </c>
      <c r="E200" s="5" t="s">
        <v>1417</v>
      </c>
      <c r="F200" s="5"/>
      <c r="G200" s="5">
        <v>12.74</v>
      </c>
      <c r="I200" s="5">
        <v>2.9</v>
      </c>
    </row>
    <row r="201">
      <c r="A201" s="4" t="s">
        <v>331</v>
      </c>
      <c r="B201" s="5">
        <v>520.0</v>
      </c>
      <c r="C201" s="5">
        <v>21.0</v>
      </c>
      <c r="D201" s="5">
        <v>19.7</v>
      </c>
      <c r="E201" s="5" t="s">
        <v>1417</v>
      </c>
      <c r="F201" s="5"/>
      <c r="G201" s="5">
        <v>12.63</v>
      </c>
      <c r="I201" s="5">
        <v>2.93</v>
      </c>
    </row>
    <row r="202">
      <c r="A202" s="4" t="s">
        <v>1257</v>
      </c>
      <c r="B202" s="5">
        <v>501.0</v>
      </c>
      <c r="C202" s="5">
        <v>14.6</v>
      </c>
      <c r="D202" s="5">
        <v>14.8</v>
      </c>
      <c r="E202" s="5" t="s">
        <v>1417</v>
      </c>
      <c r="F202" s="5"/>
      <c r="G202" s="5">
        <v>12.46</v>
      </c>
      <c r="I202" s="5">
        <v>2.02</v>
      </c>
    </row>
    <row r="203">
      <c r="A203" s="4" t="s">
        <v>332</v>
      </c>
      <c r="B203" s="5">
        <v>519.0</v>
      </c>
      <c r="C203" s="5">
        <v>23.1</v>
      </c>
      <c r="D203" s="5">
        <v>14.7</v>
      </c>
      <c r="E203" s="5" t="s">
        <v>1417</v>
      </c>
      <c r="F203" s="5"/>
      <c r="G203" s="5">
        <v>11.75</v>
      </c>
      <c r="I203" s="5">
        <v>2.51</v>
      </c>
    </row>
    <row r="204">
      <c r="A204" s="8" t="s">
        <v>345</v>
      </c>
    </row>
    <row r="205">
      <c r="A205" s="4" t="s">
        <v>337</v>
      </c>
      <c r="B205" s="5">
        <v>515.0</v>
      </c>
      <c r="C205" s="5">
        <v>27.0</v>
      </c>
      <c r="D205" s="5">
        <v>19.9</v>
      </c>
      <c r="E205" s="5" t="s">
        <v>1417</v>
      </c>
      <c r="G205" s="5">
        <v>9.62</v>
      </c>
      <c r="I205" s="5">
        <v>1.01</v>
      </c>
    </row>
    <row r="206">
      <c r="A206" s="4" t="s">
        <v>333</v>
      </c>
      <c r="B206" s="5">
        <v>511.0</v>
      </c>
      <c r="C206" s="5">
        <v>25.4</v>
      </c>
      <c r="D206" s="5">
        <v>22.2</v>
      </c>
      <c r="E206" s="5" t="s">
        <v>1417</v>
      </c>
      <c r="G206" s="5">
        <v>10.6</v>
      </c>
      <c r="I206" s="5">
        <v>0.77</v>
      </c>
    </row>
    <row r="207">
      <c r="A207" s="4" t="s">
        <v>1264</v>
      </c>
      <c r="B207" s="5">
        <v>500.0</v>
      </c>
      <c r="C207" s="5">
        <v>20.1</v>
      </c>
      <c r="D207" s="5">
        <v>17.1</v>
      </c>
      <c r="E207" s="5" t="s">
        <v>1417</v>
      </c>
      <c r="G207" s="5">
        <v>11.8</v>
      </c>
      <c r="I207" s="5">
        <v>1.58</v>
      </c>
    </row>
    <row r="208">
      <c r="A208" s="4" t="s">
        <v>1270</v>
      </c>
      <c r="B208" s="5">
        <v>499.0</v>
      </c>
      <c r="C208" s="5">
        <v>21.4</v>
      </c>
      <c r="D208" s="5">
        <v>14.1</v>
      </c>
      <c r="E208" s="5" t="s">
        <v>1417</v>
      </c>
      <c r="G208" s="5">
        <v>10.51</v>
      </c>
      <c r="I208" s="5">
        <v>0.86</v>
      </c>
    </row>
    <row r="209">
      <c r="A209" s="4" t="s">
        <v>344</v>
      </c>
      <c r="B209" s="5">
        <v>518.0</v>
      </c>
      <c r="C209" s="5">
        <v>23.6</v>
      </c>
      <c r="D209" s="5">
        <v>17.2</v>
      </c>
      <c r="E209" s="5" t="s">
        <v>1417</v>
      </c>
      <c r="G209" s="5">
        <v>9.62</v>
      </c>
      <c r="I209" s="5">
        <v>0.96</v>
      </c>
    </row>
    <row r="210">
      <c r="A210" s="4" t="s">
        <v>348</v>
      </c>
      <c r="B210" s="5">
        <v>514.0</v>
      </c>
      <c r="C210" s="5">
        <v>19.3</v>
      </c>
      <c r="D210" s="5">
        <v>14.6</v>
      </c>
      <c r="E210" s="5" t="s">
        <v>1417</v>
      </c>
      <c r="G210" s="5">
        <v>8.87</v>
      </c>
      <c r="I210" s="5">
        <v>0.71</v>
      </c>
    </row>
    <row r="211">
      <c r="A211" s="4" t="s">
        <v>338</v>
      </c>
      <c r="B211" s="5">
        <v>510.0</v>
      </c>
      <c r="C211" s="5">
        <v>18.0</v>
      </c>
      <c r="D211" s="5">
        <v>14.1</v>
      </c>
      <c r="E211" s="5" t="s">
        <v>1417</v>
      </c>
      <c r="G211" s="5">
        <v>10.26</v>
      </c>
      <c r="I211" s="5">
        <v>0.83</v>
      </c>
    </row>
    <row r="212">
      <c r="A212" s="4" t="s">
        <v>1258</v>
      </c>
      <c r="B212" s="5">
        <v>507.0</v>
      </c>
      <c r="C212" s="5">
        <v>25.2</v>
      </c>
      <c r="D212" s="5">
        <v>26.0</v>
      </c>
      <c r="E212" s="5" t="s">
        <v>1417</v>
      </c>
      <c r="G212" s="5">
        <v>8.04</v>
      </c>
      <c r="I212" s="5">
        <v>0.57</v>
      </c>
    </row>
    <row r="213">
      <c r="A213" s="4" t="s">
        <v>336</v>
      </c>
      <c r="B213" s="5">
        <v>504.0</v>
      </c>
      <c r="C213" s="5">
        <v>15.4</v>
      </c>
      <c r="D213" s="5">
        <v>18.2</v>
      </c>
      <c r="E213" s="5" t="s">
        <v>1417</v>
      </c>
      <c r="G213" s="5">
        <v>10.6</v>
      </c>
      <c r="I213" s="5">
        <v>0.39</v>
      </c>
    </row>
    <row r="214">
      <c r="A214" s="4" t="s">
        <v>1274</v>
      </c>
      <c r="B214" s="5">
        <v>497.0</v>
      </c>
      <c r="C214" s="5">
        <v>20.6</v>
      </c>
      <c r="D214" s="5">
        <v>12.5</v>
      </c>
      <c r="E214" s="5" t="s">
        <v>1417</v>
      </c>
      <c r="F214" s="5"/>
      <c r="G214" s="5">
        <v>9.52</v>
      </c>
      <c r="I214" s="5">
        <v>0.71</v>
      </c>
    </row>
    <row r="215">
      <c r="A215" s="4" t="s">
        <v>347</v>
      </c>
      <c r="B215" s="5">
        <v>517.0</v>
      </c>
      <c r="C215" s="5">
        <v>16.9</v>
      </c>
      <c r="D215" s="5">
        <v>6.6</v>
      </c>
      <c r="E215" s="5" t="s">
        <v>1417</v>
      </c>
      <c r="F215" s="5"/>
      <c r="G215" s="5">
        <v>10.2</v>
      </c>
      <c r="I215" s="5">
        <v>0.74</v>
      </c>
    </row>
    <row r="216">
      <c r="A216" s="4" t="s">
        <v>1276</v>
      </c>
      <c r="B216" s="5">
        <v>513.0</v>
      </c>
      <c r="C216" s="5">
        <v>15.5</v>
      </c>
      <c r="D216" s="5">
        <v>9.8</v>
      </c>
      <c r="E216" s="5" t="s">
        <v>1417</v>
      </c>
      <c r="F216" s="5"/>
      <c r="G216" s="5">
        <v>7.3</v>
      </c>
      <c r="I216" s="5">
        <v>0.52</v>
      </c>
    </row>
    <row r="217">
      <c r="A217" s="4" t="s">
        <v>349</v>
      </c>
      <c r="B217" s="5">
        <v>509.0</v>
      </c>
      <c r="C217" s="5">
        <v>20.9</v>
      </c>
      <c r="D217" s="5">
        <v>11.1</v>
      </c>
      <c r="E217" s="5" t="s">
        <v>1417</v>
      </c>
      <c r="F217" s="5"/>
      <c r="G217" s="5">
        <v>9.35</v>
      </c>
      <c r="I217" s="5">
        <v>0.64</v>
      </c>
    </row>
    <row r="218">
      <c r="A218" s="4" t="s">
        <v>1263</v>
      </c>
      <c r="B218" s="5">
        <v>506.0</v>
      </c>
      <c r="C218" s="5">
        <v>20.1</v>
      </c>
      <c r="D218" s="5">
        <v>12.6</v>
      </c>
      <c r="E218" s="5" t="s">
        <v>1417</v>
      </c>
      <c r="F218" s="5"/>
      <c r="G218" s="5">
        <v>8.15</v>
      </c>
      <c r="I218" s="5">
        <v>0.51</v>
      </c>
    </row>
    <row r="219">
      <c r="A219" s="4" t="s">
        <v>1490</v>
      </c>
      <c r="B219" s="5">
        <v>496.0</v>
      </c>
      <c r="C219" s="5">
        <v>15.3</v>
      </c>
      <c r="D219" s="5">
        <v>9.9</v>
      </c>
      <c r="E219" s="5" t="s">
        <v>1417</v>
      </c>
      <c r="F219" s="5"/>
      <c r="G219" s="5">
        <v>7.59</v>
      </c>
      <c r="I219" s="5">
        <v>0.43</v>
      </c>
    </row>
    <row r="220">
      <c r="A220" s="4" t="s">
        <v>1491</v>
      </c>
      <c r="B220" s="5">
        <v>498.0</v>
      </c>
      <c r="C220" s="5">
        <v>20.7</v>
      </c>
      <c r="D220" s="5">
        <v>9.3</v>
      </c>
      <c r="E220" s="5" t="s">
        <v>1417</v>
      </c>
      <c r="F220" s="5"/>
      <c r="G220" s="5">
        <v>8.24</v>
      </c>
      <c r="I220" s="5">
        <v>0.41</v>
      </c>
    </row>
    <row r="221">
      <c r="A221" s="4" t="s">
        <v>1492</v>
      </c>
      <c r="B221" s="5">
        <v>516.0</v>
      </c>
      <c r="C221" s="5">
        <v>14.9</v>
      </c>
      <c r="D221" s="5">
        <v>8.3</v>
      </c>
      <c r="E221" s="5" t="s">
        <v>1417</v>
      </c>
      <c r="F221" s="5"/>
      <c r="G221" s="5">
        <v>6.34</v>
      </c>
      <c r="I221" s="5">
        <v>0.35</v>
      </c>
    </row>
    <row r="222">
      <c r="A222" s="4" t="s">
        <v>1493</v>
      </c>
      <c r="B222" s="5">
        <v>512.0</v>
      </c>
      <c r="C222" s="5">
        <v>14.6</v>
      </c>
      <c r="D222" s="5">
        <v>7.0</v>
      </c>
      <c r="E222" s="5" t="s">
        <v>1417</v>
      </c>
      <c r="F222" s="5"/>
      <c r="G222" s="5">
        <v>4.59</v>
      </c>
      <c r="I222" s="5">
        <v>0.17</v>
      </c>
    </row>
    <row r="223">
      <c r="A223" s="4" t="s">
        <v>1494</v>
      </c>
      <c r="B223" s="5">
        <v>508.0</v>
      </c>
      <c r="C223" s="5">
        <v>15.5</v>
      </c>
      <c r="D223" s="5">
        <v>11.4</v>
      </c>
      <c r="E223" s="5" t="s">
        <v>1417</v>
      </c>
      <c r="F223" s="5"/>
      <c r="G223" s="5">
        <v>6.68</v>
      </c>
      <c r="I223" s="5">
        <v>0.36</v>
      </c>
    </row>
    <row r="224">
      <c r="A224" s="4" t="s">
        <v>1269</v>
      </c>
      <c r="B224" s="5">
        <v>505.0</v>
      </c>
      <c r="C224" s="5">
        <v>24.5</v>
      </c>
      <c r="D224" s="5">
        <v>15.0</v>
      </c>
      <c r="E224" s="5" t="s">
        <v>1417</v>
      </c>
      <c r="F224" s="5"/>
      <c r="G224" s="5">
        <v>5.99</v>
      </c>
      <c r="I224" s="5">
        <v>0.36</v>
      </c>
    </row>
    <row r="225">
      <c r="A225" s="4" t="s">
        <v>341</v>
      </c>
      <c r="B225" s="5">
        <v>503.0</v>
      </c>
      <c r="C225" s="5">
        <v>6.8</v>
      </c>
      <c r="D225" s="5">
        <v>6.7</v>
      </c>
      <c r="E225" s="5" t="s">
        <v>1417</v>
      </c>
      <c r="F225" s="5"/>
      <c r="G225" s="5">
        <v>4.97</v>
      </c>
      <c r="I225" s="5">
        <v>0.04</v>
      </c>
    </row>
    <row r="226">
      <c r="A226" s="4"/>
    </row>
    <row r="227">
      <c r="A227" s="4" t="s">
        <v>356</v>
      </c>
      <c r="B227" s="5">
        <v>601.0</v>
      </c>
      <c r="C227" s="5">
        <v>25.7</v>
      </c>
      <c r="D227" s="5">
        <v>15.6</v>
      </c>
      <c r="E227" s="5" t="s">
        <v>1417</v>
      </c>
      <c r="F227" s="5" t="s">
        <v>1417</v>
      </c>
      <c r="G227" s="5">
        <v>11.28</v>
      </c>
      <c r="I227" s="5">
        <v>3.58</v>
      </c>
    </row>
    <row r="228">
      <c r="A228" s="4" t="s">
        <v>357</v>
      </c>
      <c r="B228" s="5">
        <v>600.0</v>
      </c>
      <c r="C228" s="5">
        <v>22.5</v>
      </c>
      <c r="D228" s="5">
        <v>15.2</v>
      </c>
      <c r="E228" s="5" t="s">
        <v>1417</v>
      </c>
      <c r="F228" s="5" t="s">
        <v>1417</v>
      </c>
      <c r="G228" s="5">
        <v>12.51</v>
      </c>
      <c r="I228" s="5">
        <v>3.6</v>
      </c>
    </row>
    <row r="229">
      <c r="A229" s="4" t="s">
        <v>358</v>
      </c>
      <c r="B229" s="5">
        <v>580.0</v>
      </c>
      <c r="C229" s="5">
        <v>18.2</v>
      </c>
      <c r="D229" s="5">
        <v>11.0</v>
      </c>
      <c r="E229" s="5" t="s">
        <v>1417</v>
      </c>
      <c r="F229" s="5" t="s">
        <v>1417</v>
      </c>
      <c r="G229" s="5">
        <v>8.33</v>
      </c>
      <c r="I229" s="5">
        <v>1.23</v>
      </c>
    </row>
    <row r="230">
      <c r="A230" s="4" t="s">
        <v>359</v>
      </c>
      <c r="B230" s="5">
        <v>599.0</v>
      </c>
      <c r="C230" s="5">
        <v>24.3</v>
      </c>
      <c r="D230" s="5">
        <v>19.1</v>
      </c>
      <c r="E230" s="5" t="s">
        <v>1417</v>
      </c>
      <c r="F230" s="5" t="s">
        <v>1417</v>
      </c>
      <c r="G230" s="5">
        <v>11.55</v>
      </c>
      <c r="I230" s="5">
        <v>2.62</v>
      </c>
    </row>
    <row r="231">
      <c r="A231" s="4" t="s">
        <v>1495</v>
      </c>
      <c r="B231" s="5">
        <v>585.0</v>
      </c>
      <c r="C231" s="5">
        <v>26.8</v>
      </c>
      <c r="D231" s="5">
        <v>28.2</v>
      </c>
      <c r="E231" s="5" t="s">
        <v>1417</v>
      </c>
      <c r="F231" s="5" t="s">
        <v>1417</v>
      </c>
      <c r="G231" s="5">
        <v>11.17</v>
      </c>
      <c r="I231" s="5">
        <v>1.37</v>
      </c>
    </row>
    <row r="232">
      <c r="A232" s="4" t="s">
        <v>362</v>
      </c>
      <c r="B232" s="5">
        <v>579.0</v>
      </c>
      <c r="C232" s="5">
        <v>21.9</v>
      </c>
      <c r="D232" s="5">
        <v>21.4</v>
      </c>
      <c r="E232" s="5" t="s">
        <v>1417</v>
      </c>
      <c r="F232" s="5" t="s">
        <v>1417</v>
      </c>
      <c r="G232" s="5">
        <v>9.85</v>
      </c>
      <c r="I232" s="5">
        <v>1.29</v>
      </c>
    </row>
    <row r="233">
      <c r="A233" s="4" t="s">
        <v>375</v>
      </c>
      <c r="B233" s="5">
        <v>598.0</v>
      </c>
      <c r="C233" s="5">
        <v>24.0</v>
      </c>
      <c r="D233" s="5">
        <v>15.7</v>
      </c>
      <c r="E233" s="5" t="s">
        <v>1417</v>
      </c>
      <c r="F233" s="5" t="s">
        <v>1417</v>
      </c>
      <c r="G233" s="5">
        <v>11.06</v>
      </c>
      <c r="I233" s="5">
        <v>1.78</v>
      </c>
    </row>
    <row r="234">
      <c r="A234" s="4" t="s">
        <v>1281</v>
      </c>
      <c r="B234" s="5">
        <v>589.0</v>
      </c>
      <c r="C234" s="5">
        <v>26.5</v>
      </c>
      <c r="D234" s="5">
        <v>23.7</v>
      </c>
      <c r="E234" s="5" t="s">
        <v>1417</v>
      </c>
      <c r="F234" s="5" t="s">
        <v>1417</v>
      </c>
      <c r="G234" s="5">
        <v>9.71</v>
      </c>
      <c r="I234" s="5">
        <v>0.98</v>
      </c>
    </row>
    <row r="235">
      <c r="A235" s="4" t="s">
        <v>1496</v>
      </c>
      <c r="B235" s="5">
        <v>584.0</v>
      </c>
      <c r="C235" s="5">
        <v>18.4</v>
      </c>
      <c r="D235" s="5">
        <v>18.2</v>
      </c>
      <c r="E235" s="5" t="s">
        <v>1417</v>
      </c>
      <c r="F235" s="5" t="s">
        <v>1417</v>
      </c>
      <c r="G235" s="5">
        <v>10.38</v>
      </c>
      <c r="I235" s="5">
        <v>1.16</v>
      </c>
    </row>
    <row r="236">
      <c r="A236" s="4" t="s">
        <v>366</v>
      </c>
      <c r="B236" s="5">
        <v>578.0</v>
      </c>
      <c r="C236" s="5">
        <v>23.8</v>
      </c>
      <c r="D236" s="5">
        <v>18.7</v>
      </c>
      <c r="E236" s="5" t="s">
        <v>1417</v>
      </c>
      <c r="F236" s="5" t="s">
        <v>1417</v>
      </c>
      <c r="G236" s="5">
        <v>11.19</v>
      </c>
      <c r="I236" s="5">
        <v>1.17</v>
      </c>
    </row>
    <row r="237">
      <c r="A237" s="4" t="s">
        <v>1293</v>
      </c>
      <c r="B237" s="5">
        <v>594.0</v>
      </c>
      <c r="C237" s="5">
        <v>21.3</v>
      </c>
      <c r="D237" s="5">
        <v>16.6</v>
      </c>
      <c r="E237" s="5" t="s">
        <v>1417</v>
      </c>
      <c r="F237" s="5" t="s">
        <v>1417</v>
      </c>
      <c r="G237" s="5">
        <v>7.17</v>
      </c>
      <c r="I237" s="5">
        <v>0.49</v>
      </c>
    </row>
    <row r="238">
      <c r="A238" s="4" t="s">
        <v>1284</v>
      </c>
      <c r="B238" s="5">
        <v>592.0</v>
      </c>
      <c r="C238" s="5">
        <v>30.2</v>
      </c>
      <c r="D238" s="5">
        <v>18.5</v>
      </c>
      <c r="E238" s="5" t="s">
        <v>1417</v>
      </c>
      <c r="F238" s="5" t="s">
        <v>1417</v>
      </c>
      <c r="G238" s="5">
        <v>8.79</v>
      </c>
      <c r="I238" s="5">
        <v>0.88</v>
      </c>
    </row>
    <row r="239">
      <c r="A239" s="4" t="s">
        <v>1285</v>
      </c>
      <c r="B239" s="5">
        <v>588.0</v>
      </c>
      <c r="C239" s="5">
        <v>18.4</v>
      </c>
      <c r="D239" s="5">
        <v>14.6</v>
      </c>
      <c r="E239" s="5" t="s">
        <v>1417</v>
      </c>
      <c r="F239" s="5" t="s">
        <v>1417</v>
      </c>
      <c r="G239" s="5">
        <v>9.26</v>
      </c>
      <c r="I239" s="5">
        <v>0.88</v>
      </c>
    </row>
    <row r="240">
      <c r="A240" s="4" t="s">
        <v>1497</v>
      </c>
      <c r="B240" s="5">
        <v>583.0</v>
      </c>
      <c r="C240" s="5">
        <v>22.2</v>
      </c>
      <c r="D240" s="5">
        <v>15.1</v>
      </c>
      <c r="E240" s="5" t="s">
        <v>1417</v>
      </c>
      <c r="F240" s="5" t="s">
        <v>1417</v>
      </c>
      <c r="G240" s="5">
        <v>10.12</v>
      </c>
      <c r="I240" s="5">
        <v>0.88</v>
      </c>
    </row>
    <row r="241">
      <c r="A241" s="4" t="s">
        <v>1283</v>
      </c>
      <c r="B241" s="5">
        <v>597.0</v>
      </c>
      <c r="C241" s="5">
        <v>23.6</v>
      </c>
      <c r="D241" s="5">
        <v>12.7</v>
      </c>
      <c r="E241" s="5" t="s">
        <v>351</v>
      </c>
      <c r="F241" s="5" t="s">
        <v>1417</v>
      </c>
      <c r="G241" s="5">
        <v>8.43</v>
      </c>
      <c r="I241" s="5">
        <v>1.1</v>
      </c>
    </row>
    <row r="242">
      <c r="A242" s="4" t="s">
        <v>372</v>
      </c>
      <c r="B242" s="5">
        <v>577.0</v>
      </c>
      <c r="C242" s="5">
        <v>21.9</v>
      </c>
      <c r="D242" s="5">
        <v>15.1</v>
      </c>
      <c r="E242" s="5" t="s">
        <v>1417</v>
      </c>
      <c r="F242" s="5" t="s">
        <v>1417</v>
      </c>
      <c r="G242" s="5">
        <v>9.16</v>
      </c>
      <c r="I242" s="5">
        <v>0.82</v>
      </c>
    </row>
    <row r="243">
      <c r="A243" s="4" t="s">
        <v>1289</v>
      </c>
      <c r="B243" s="14">
        <v>0.97</v>
      </c>
      <c r="C243" s="5">
        <v>18.5</v>
      </c>
      <c r="D243" s="5">
        <v>12.2</v>
      </c>
      <c r="E243" s="5" t="s">
        <v>1417</v>
      </c>
      <c r="F243" s="5" t="s">
        <v>1417</v>
      </c>
      <c r="G243" s="5">
        <v>9.97</v>
      </c>
    </row>
    <row r="244">
      <c r="A244" s="4" t="s">
        <v>1290</v>
      </c>
      <c r="B244" s="5">
        <v>591.0</v>
      </c>
      <c r="C244" s="5">
        <v>15.6</v>
      </c>
      <c r="D244" s="5">
        <v>13.4</v>
      </c>
      <c r="E244" s="5" t="s">
        <v>1417</v>
      </c>
      <c r="F244" s="5" t="s">
        <v>1417</v>
      </c>
      <c r="G244" s="5">
        <v>7.37</v>
      </c>
      <c r="I244" s="5">
        <v>0.62</v>
      </c>
    </row>
    <row r="245">
      <c r="A245" s="4" t="s">
        <v>1294</v>
      </c>
      <c r="B245" s="5">
        <v>590.0</v>
      </c>
      <c r="C245" s="5">
        <v>13.5</v>
      </c>
      <c r="D245" s="5">
        <v>9.9</v>
      </c>
      <c r="E245" s="5" t="s">
        <v>1417</v>
      </c>
      <c r="F245" s="5" t="s">
        <v>1417</v>
      </c>
      <c r="G245" s="5">
        <v>5.28</v>
      </c>
      <c r="I245" s="5">
        <v>0.29</v>
      </c>
    </row>
    <row r="246">
      <c r="A246" s="4" t="s">
        <v>1498</v>
      </c>
      <c r="B246" s="5">
        <v>587.0</v>
      </c>
      <c r="C246" s="5">
        <v>19.3</v>
      </c>
      <c r="D246" s="5">
        <v>9.8</v>
      </c>
      <c r="E246" s="5" t="s">
        <v>1417</v>
      </c>
      <c r="F246" s="5" t="s">
        <v>1417</v>
      </c>
      <c r="G246" s="5">
        <v>7.79</v>
      </c>
      <c r="I246" s="5">
        <v>0.43</v>
      </c>
    </row>
    <row r="247">
      <c r="A247" s="4" t="s">
        <v>1499</v>
      </c>
      <c r="B247" s="5">
        <v>582.0</v>
      </c>
      <c r="C247" s="5">
        <v>20.7</v>
      </c>
      <c r="D247" s="5">
        <v>11.1</v>
      </c>
      <c r="E247" s="5" t="s">
        <v>1417</v>
      </c>
      <c r="F247" s="5" t="s">
        <v>1417</v>
      </c>
      <c r="G247" s="5">
        <v>7.96</v>
      </c>
      <c r="I247" s="5">
        <v>0.67</v>
      </c>
    </row>
    <row r="248">
      <c r="A248" s="4" t="s">
        <v>1292</v>
      </c>
      <c r="B248" s="5">
        <v>576.0</v>
      </c>
      <c r="C248" s="5">
        <v>16.5</v>
      </c>
      <c r="D248" s="5">
        <v>11.2</v>
      </c>
      <c r="E248" s="5" t="s">
        <v>1417</v>
      </c>
      <c r="F248" s="5" t="s">
        <v>1417</v>
      </c>
      <c r="G248" s="5">
        <v>7.71</v>
      </c>
      <c r="I248" s="5">
        <v>0.58</v>
      </c>
    </row>
    <row r="249">
      <c r="A249" s="4" t="s">
        <v>1500</v>
      </c>
      <c r="B249" s="5">
        <v>575.0</v>
      </c>
      <c r="C249" s="5">
        <v>17.1</v>
      </c>
      <c r="D249" s="5">
        <v>9.5</v>
      </c>
      <c r="E249" s="5" t="s">
        <v>1417</v>
      </c>
      <c r="F249" s="5" t="s">
        <v>1417</v>
      </c>
      <c r="G249" s="5">
        <v>5.18</v>
      </c>
      <c r="I249" s="5">
        <v>0.26</v>
      </c>
    </row>
    <row r="250">
      <c r="A250" s="4" t="s">
        <v>1501</v>
      </c>
      <c r="B250" s="5">
        <v>581.0</v>
      </c>
      <c r="C250" s="5">
        <v>19.0</v>
      </c>
      <c r="D250" s="5">
        <v>10.4</v>
      </c>
      <c r="E250" s="5" t="s">
        <v>1417</v>
      </c>
      <c r="F250" s="5" t="s">
        <v>1417</v>
      </c>
      <c r="G250" s="5">
        <v>6.19</v>
      </c>
      <c r="I250" s="5">
        <v>0.35</v>
      </c>
    </row>
    <row r="251">
      <c r="A251" s="4" t="s">
        <v>1502</v>
      </c>
      <c r="B251" s="5">
        <v>586.0</v>
      </c>
      <c r="C251" s="5">
        <v>15.9</v>
      </c>
      <c r="D251" s="5">
        <v>10.3</v>
      </c>
      <c r="E251" s="5" t="s">
        <v>1417</v>
      </c>
      <c r="F251" s="5" t="s">
        <v>1417</v>
      </c>
      <c r="G251" s="5">
        <v>5.33</v>
      </c>
      <c r="I251" s="5">
        <v>0.31</v>
      </c>
    </row>
    <row r="252">
      <c r="A252" s="4" t="s">
        <v>1503</v>
      </c>
      <c r="B252" s="5">
        <v>593.0</v>
      </c>
      <c r="C252" s="5">
        <v>12.1</v>
      </c>
      <c r="D252" s="5">
        <v>7.9</v>
      </c>
      <c r="E252" s="5" t="s">
        <v>1417</v>
      </c>
      <c r="F252" s="5" t="s">
        <v>1417</v>
      </c>
      <c r="G252" s="5">
        <v>4.82</v>
      </c>
      <c r="I252" s="5">
        <v>0.16</v>
      </c>
    </row>
    <row r="253">
      <c r="A253" s="4" t="s">
        <v>1504</v>
      </c>
      <c r="B253" s="5">
        <v>595.0</v>
      </c>
      <c r="C253" s="5">
        <v>14.3</v>
      </c>
      <c r="D253" s="5">
        <v>8.1</v>
      </c>
      <c r="E253" s="5" t="s">
        <v>1417</v>
      </c>
      <c r="F253" s="5" t="s">
        <v>1417</v>
      </c>
      <c r="G253" s="5">
        <v>4.2</v>
      </c>
      <c r="I253" s="5">
        <v>0.23</v>
      </c>
    </row>
    <row r="254">
      <c r="A254" s="4"/>
    </row>
    <row r="255">
      <c r="A255" s="4" t="s">
        <v>386</v>
      </c>
    </row>
    <row r="256">
      <c r="A256" s="4" t="s">
        <v>387</v>
      </c>
    </row>
    <row r="257">
      <c r="A257" s="4" t="s">
        <v>389</v>
      </c>
    </row>
    <row r="258">
      <c r="A258" s="4" t="s">
        <v>388</v>
      </c>
    </row>
    <row r="259">
      <c r="A259" s="4" t="s">
        <v>390</v>
      </c>
    </row>
    <row r="260">
      <c r="A260" s="4" t="s">
        <v>1505</v>
      </c>
    </row>
    <row r="261">
      <c r="A261" s="4" t="s">
        <v>393</v>
      </c>
    </row>
    <row r="262">
      <c r="A262" s="4" t="s">
        <v>396</v>
      </c>
    </row>
    <row r="263">
      <c r="A263" s="4" t="s">
        <v>399</v>
      </c>
    </row>
    <row r="264">
      <c r="A264" s="4" t="s">
        <v>400</v>
      </c>
    </row>
    <row r="265">
      <c r="A265" s="8" t="s">
        <v>391</v>
      </c>
    </row>
    <row r="266">
      <c r="A266" s="4" t="s">
        <v>1506</v>
      </c>
    </row>
    <row r="267">
      <c r="A267" s="4" t="s">
        <v>395</v>
      </c>
    </row>
    <row r="268">
      <c r="A268" s="4" t="s">
        <v>1299</v>
      </c>
    </row>
    <row r="269">
      <c r="A269" s="4" t="s">
        <v>398</v>
      </c>
    </row>
    <row r="270">
      <c r="A270" s="4" t="s">
        <v>1300</v>
      </c>
    </row>
    <row r="271">
      <c r="A271" s="4" t="s">
        <v>1507</v>
      </c>
    </row>
    <row r="272">
      <c r="A272" s="4" t="s">
        <v>1508</v>
      </c>
    </row>
    <row r="273">
      <c r="A273" s="8" t="s">
        <v>397</v>
      </c>
    </row>
    <row r="274">
      <c r="A274" s="4" t="s">
        <v>1509</v>
      </c>
    </row>
    <row r="275">
      <c r="A275" s="4" t="s">
        <v>404</v>
      </c>
    </row>
    <row r="276">
      <c r="A276" s="4" t="s">
        <v>1510</v>
      </c>
    </row>
    <row r="277">
      <c r="A277" s="4" t="s">
        <v>1511</v>
      </c>
    </row>
    <row r="278">
      <c r="A278" s="4" t="s">
        <v>1512</v>
      </c>
    </row>
    <row r="279">
      <c r="A279" s="4" t="s">
        <v>1513</v>
      </c>
    </row>
    <row r="280">
      <c r="A280" s="4" t="s">
        <v>1514</v>
      </c>
    </row>
    <row r="281">
      <c r="A281" s="4" t="s">
        <v>1515</v>
      </c>
    </row>
    <row r="282">
      <c r="A282" s="4"/>
    </row>
    <row r="283">
      <c r="A283" s="4" t="s">
        <v>406</v>
      </c>
      <c r="B283" s="5">
        <v>574.0</v>
      </c>
      <c r="C283" s="5">
        <v>31.8</v>
      </c>
      <c r="D283" s="5">
        <v>6.3</v>
      </c>
      <c r="E283" s="5" t="s">
        <v>1417</v>
      </c>
      <c r="F283" s="5" t="s">
        <v>1417</v>
      </c>
      <c r="G283" s="5">
        <v>12.1</v>
      </c>
      <c r="I283" s="5">
        <v>2.75</v>
      </c>
    </row>
    <row r="284">
      <c r="A284" s="4" t="s">
        <v>1303</v>
      </c>
      <c r="B284" s="5">
        <v>555.0</v>
      </c>
      <c r="C284" s="5">
        <v>22.7</v>
      </c>
      <c r="D284" s="5">
        <v>24.8</v>
      </c>
      <c r="E284" s="5" t="s">
        <v>1417</v>
      </c>
      <c r="F284" s="5" t="s">
        <v>1417</v>
      </c>
      <c r="G284" s="5">
        <v>10.34</v>
      </c>
      <c r="I284" s="5">
        <v>1.77</v>
      </c>
    </row>
    <row r="285">
      <c r="A285" s="4" t="s">
        <v>407</v>
      </c>
      <c r="B285" s="5">
        <v>573.0</v>
      </c>
      <c r="C285" s="5">
        <v>32.4</v>
      </c>
      <c r="D285" s="5">
        <v>25.6</v>
      </c>
      <c r="E285" s="5" t="s">
        <v>1417</v>
      </c>
      <c r="F285" s="5" t="s">
        <v>1417</v>
      </c>
      <c r="G285" s="5">
        <v>9.58</v>
      </c>
      <c r="I285" s="5">
        <v>2.3</v>
      </c>
    </row>
    <row r="286">
      <c r="A286" s="4" t="s">
        <v>408</v>
      </c>
      <c r="B286" s="5">
        <v>572.0</v>
      </c>
      <c r="C286" s="5">
        <v>34.4</v>
      </c>
      <c r="D286" s="5">
        <v>22.8</v>
      </c>
      <c r="E286" s="5" t="s">
        <v>1417</v>
      </c>
      <c r="F286" s="5" t="s">
        <v>1417</v>
      </c>
      <c r="G286" s="5">
        <v>9.99</v>
      </c>
      <c r="I286" s="5">
        <v>1.6</v>
      </c>
    </row>
    <row r="287">
      <c r="A287" s="4" t="s">
        <v>1304</v>
      </c>
      <c r="B287" s="5">
        <v>565.0</v>
      </c>
      <c r="C287" s="5">
        <v>28.1</v>
      </c>
      <c r="D287" s="5">
        <v>22.3</v>
      </c>
      <c r="E287" s="5" t="s">
        <v>1417</v>
      </c>
      <c r="F287" s="5" t="s">
        <v>1417</v>
      </c>
      <c r="G287" s="5">
        <v>6.82</v>
      </c>
      <c r="I287" s="5">
        <v>0.37</v>
      </c>
    </row>
    <row r="288">
      <c r="A288" s="4" t="s">
        <v>409</v>
      </c>
      <c r="B288" s="5">
        <v>561.0</v>
      </c>
      <c r="C288" s="5">
        <v>34.6</v>
      </c>
      <c r="D288" s="5">
        <v>32.7</v>
      </c>
      <c r="E288" s="5" t="s">
        <v>1417</v>
      </c>
      <c r="F288" s="5" t="s">
        <v>1417</v>
      </c>
      <c r="G288" s="5">
        <v>8.94</v>
      </c>
      <c r="I288" s="5">
        <v>0.71</v>
      </c>
    </row>
    <row r="289">
      <c r="A289" s="4" t="s">
        <v>1305</v>
      </c>
      <c r="B289" s="5">
        <v>554.0</v>
      </c>
      <c r="C289" s="5">
        <v>30.6</v>
      </c>
      <c r="D289" s="5">
        <v>23.3</v>
      </c>
      <c r="G289" s="5">
        <v>11.07</v>
      </c>
      <c r="I289" s="5">
        <v>1.55</v>
      </c>
    </row>
    <row r="290">
      <c r="A290" s="4" t="s">
        <v>410</v>
      </c>
      <c r="B290" s="5">
        <v>560.0</v>
      </c>
      <c r="C290" s="5">
        <v>26.8</v>
      </c>
      <c r="D290" s="5">
        <v>22.1</v>
      </c>
      <c r="E290" s="5" t="s">
        <v>1417</v>
      </c>
      <c r="G290" s="5">
        <v>8.96</v>
      </c>
      <c r="I290" s="5">
        <v>0.7</v>
      </c>
    </row>
    <row r="291">
      <c r="A291" s="4" t="s">
        <v>411</v>
      </c>
      <c r="B291" s="5">
        <v>571.0</v>
      </c>
      <c r="C291" s="5">
        <v>29.9</v>
      </c>
      <c r="D291" s="5">
        <v>18.5</v>
      </c>
      <c r="E291" s="5" t="s">
        <v>1417</v>
      </c>
      <c r="F291" s="5" t="s">
        <v>1417</v>
      </c>
      <c r="G291" s="5">
        <v>10.43</v>
      </c>
      <c r="I291" s="5">
        <v>1.38</v>
      </c>
    </row>
    <row r="292">
      <c r="A292" s="4" t="s">
        <v>413</v>
      </c>
      <c r="B292" s="5">
        <v>567.0</v>
      </c>
      <c r="C292" s="5">
        <v>31.8</v>
      </c>
      <c r="D292" s="5">
        <v>18.4</v>
      </c>
      <c r="E292" s="5" t="s">
        <v>1417</v>
      </c>
      <c r="F292" s="5" t="s">
        <v>1417</v>
      </c>
      <c r="G292" s="5">
        <v>7.36</v>
      </c>
      <c r="I292" s="5">
        <v>0.48</v>
      </c>
    </row>
    <row r="293">
      <c r="A293" s="4" t="s">
        <v>418</v>
      </c>
      <c r="B293" s="5">
        <v>566.0</v>
      </c>
      <c r="C293" s="5">
        <v>19.7</v>
      </c>
      <c r="D293" s="5">
        <v>14.6</v>
      </c>
      <c r="E293" s="5" t="s">
        <v>1417</v>
      </c>
      <c r="F293" s="5" t="s">
        <v>1417</v>
      </c>
      <c r="G293" s="5">
        <v>6.75</v>
      </c>
      <c r="I293" s="5">
        <v>0.31</v>
      </c>
    </row>
    <row r="294">
      <c r="A294" s="4" t="s">
        <v>1307</v>
      </c>
      <c r="B294" s="5">
        <v>564.0</v>
      </c>
      <c r="C294" s="5">
        <v>22.9</v>
      </c>
      <c r="D294" s="5">
        <v>19.1</v>
      </c>
      <c r="E294" s="5" t="s">
        <v>1417</v>
      </c>
      <c r="F294" s="5" t="s">
        <v>1417</v>
      </c>
      <c r="G294" s="5">
        <v>7.76</v>
      </c>
      <c r="I294" s="5">
        <v>0.39</v>
      </c>
    </row>
    <row r="295">
      <c r="A295" s="4" t="s">
        <v>1310</v>
      </c>
      <c r="B295" s="5">
        <v>563.0</v>
      </c>
      <c r="C295" s="5">
        <v>16.6</v>
      </c>
      <c r="D295" s="5">
        <v>16.2</v>
      </c>
      <c r="E295" s="5" t="s">
        <v>1417</v>
      </c>
      <c r="F295" s="5" t="s">
        <v>1417</v>
      </c>
      <c r="G295" s="5">
        <v>6.14</v>
      </c>
      <c r="I295" s="5">
        <v>0.3</v>
      </c>
    </row>
    <row r="296">
      <c r="A296" s="4" t="s">
        <v>412</v>
      </c>
      <c r="B296" s="5">
        <v>559.0</v>
      </c>
      <c r="C296" s="5">
        <v>22.2</v>
      </c>
      <c r="D296" s="5">
        <v>13.5</v>
      </c>
      <c r="E296" s="5" t="s">
        <v>1417</v>
      </c>
      <c r="F296" s="5" t="s">
        <v>1417</v>
      </c>
      <c r="G296" s="5">
        <v>7.71</v>
      </c>
      <c r="I296" s="5">
        <v>0.61</v>
      </c>
    </row>
    <row r="297">
      <c r="A297" s="4" t="s">
        <v>1516</v>
      </c>
      <c r="B297" s="5">
        <v>557.0</v>
      </c>
      <c r="C297" s="5">
        <v>32.7</v>
      </c>
      <c r="D297" s="5">
        <v>15.6</v>
      </c>
      <c r="E297" s="5" t="s">
        <v>1417</v>
      </c>
      <c r="F297" s="5" t="s">
        <v>1417</v>
      </c>
      <c r="G297" s="5">
        <v>7.11</v>
      </c>
      <c r="I297" s="5">
        <v>0.31</v>
      </c>
    </row>
    <row r="298">
      <c r="A298" s="4" t="s">
        <v>1517</v>
      </c>
      <c r="B298" s="5">
        <v>552.0</v>
      </c>
      <c r="C298" s="5">
        <v>24.2</v>
      </c>
      <c r="D298" s="5">
        <v>10.4</v>
      </c>
      <c r="E298" s="5">
        <v>24.5</v>
      </c>
      <c r="F298" s="5">
        <v>13.0</v>
      </c>
      <c r="G298" s="5">
        <v>8.55</v>
      </c>
      <c r="I298" s="5">
        <v>1.02</v>
      </c>
    </row>
    <row r="299">
      <c r="A299" s="4" t="s">
        <v>1315</v>
      </c>
    </row>
    <row r="300">
      <c r="A300" s="4" t="s">
        <v>1518</v>
      </c>
      <c r="B300" s="5">
        <v>551.0</v>
      </c>
      <c r="C300" s="5">
        <v>20.0</v>
      </c>
      <c r="D300" s="5">
        <v>12.9</v>
      </c>
      <c r="E300" s="5" t="s">
        <v>1417</v>
      </c>
      <c r="F300" s="5"/>
      <c r="G300" s="5">
        <v>8.64</v>
      </c>
      <c r="I300" s="5">
        <v>0.6</v>
      </c>
    </row>
    <row r="301">
      <c r="A301" s="4" t="s">
        <v>1519</v>
      </c>
      <c r="B301" s="5">
        <v>553.0</v>
      </c>
      <c r="C301" s="5">
        <v>33.1</v>
      </c>
      <c r="D301" s="5">
        <v>20.2</v>
      </c>
      <c r="E301" s="5" t="s">
        <v>1417</v>
      </c>
      <c r="F301" s="5" t="s">
        <v>1417</v>
      </c>
      <c r="G301" s="5">
        <v>9.0</v>
      </c>
      <c r="I301" s="5">
        <v>0.69</v>
      </c>
    </row>
    <row r="302">
      <c r="A302" s="4" t="s">
        <v>415</v>
      </c>
      <c r="B302" s="5">
        <v>570.0</v>
      </c>
      <c r="C302" s="5">
        <v>25.3</v>
      </c>
      <c r="D302" s="5">
        <v>14.8</v>
      </c>
      <c r="E302" s="5" t="s">
        <v>1417</v>
      </c>
      <c r="F302" s="5" t="s">
        <v>1417</v>
      </c>
      <c r="G302" s="5">
        <v>7.96</v>
      </c>
      <c r="I302" s="5">
        <v>1.04</v>
      </c>
    </row>
    <row r="303">
      <c r="A303" s="4" t="s">
        <v>416</v>
      </c>
      <c r="B303" s="5">
        <v>569.0</v>
      </c>
      <c r="C303" s="5">
        <v>21.2</v>
      </c>
      <c r="D303" s="5">
        <v>10.7</v>
      </c>
      <c r="E303" s="5" t="s">
        <v>1417</v>
      </c>
      <c r="F303" s="5" t="s">
        <v>1417</v>
      </c>
      <c r="G303" s="5">
        <v>3.43</v>
      </c>
      <c r="I303" s="5">
        <v>0.14</v>
      </c>
    </row>
    <row r="304">
      <c r="A304" s="4" t="s">
        <v>417</v>
      </c>
      <c r="B304" s="5">
        <v>568.0</v>
      </c>
      <c r="C304" s="5">
        <v>24.6</v>
      </c>
      <c r="D304" s="5">
        <v>16.8</v>
      </c>
      <c r="E304" s="5" t="s">
        <v>1417</v>
      </c>
      <c r="F304" s="5" t="s">
        <v>1417</v>
      </c>
      <c r="G304" s="5">
        <v>5.54</v>
      </c>
      <c r="I304" s="5">
        <v>0.18</v>
      </c>
    </row>
    <row r="305">
      <c r="A305" s="4" t="s">
        <v>1313</v>
      </c>
      <c r="B305" s="5">
        <v>562.0</v>
      </c>
      <c r="C305" s="5">
        <v>16.8</v>
      </c>
      <c r="D305" s="5">
        <v>8.9</v>
      </c>
      <c r="E305" s="5" t="s">
        <v>1417</v>
      </c>
      <c r="F305" s="5" t="s">
        <v>1417</v>
      </c>
      <c r="G305" s="5">
        <v>3.53</v>
      </c>
      <c r="I305" s="5">
        <v>0.08</v>
      </c>
    </row>
    <row r="306">
      <c r="A306" s="4" t="s">
        <v>414</v>
      </c>
      <c r="B306" s="5">
        <v>558.0</v>
      </c>
      <c r="C306" s="5">
        <v>21.5</v>
      </c>
      <c r="D306" s="5">
        <v>14.7</v>
      </c>
      <c r="E306" s="5" t="s">
        <v>1417</v>
      </c>
      <c r="F306" s="5" t="s">
        <v>1417</v>
      </c>
      <c r="G306" s="5">
        <v>6.76</v>
      </c>
      <c r="I306" s="5">
        <v>0.39</v>
      </c>
    </row>
    <row r="307">
      <c r="A307" s="4" t="s">
        <v>1520</v>
      </c>
      <c r="B307" s="5">
        <v>550.0</v>
      </c>
      <c r="C307" s="5">
        <v>17.7</v>
      </c>
      <c r="D307" s="5">
        <v>10.0</v>
      </c>
      <c r="E307" s="5" t="s">
        <v>1417</v>
      </c>
      <c r="F307" s="5"/>
      <c r="G307" s="5">
        <v>5.05</v>
      </c>
      <c r="I307" s="5">
        <v>0.2</v>
      </c>
    </row>
    <row r="308">
      <c r="A308" s="4" t="s">
        <v>1521</v>
      </c>
      <c r="B308" s="5">
        <v>556.0</v>
      </c>
      <c r="C308" s="5">
        <v>14.1</v>
      </c>
      <c r="D308" s="5">
        <v>15.2</v>
      </c>
      <c r="E308" s="5" t="s">
        <v>1417</v>
      </c>
      <c r="F308" s="5" t="s">
        <v>1417</v>
      </c>
      <c r="I308" s="5">
        <v>0.17</v>
      </c>
    </row>
    <row r="309">
      <c r="A309" s="4"/>
    </row>
    <row r="310">
      <c r="A310" s="4" t="s">
        <v>425</v>
      </c>
      <c r="B310" s="5">
        <v>549.0</v>
      </c>
      <c r="C310" s="5">
        <v>30.4</v>
      </c>
      <c r="D310" s="5">
        <v>17.0</v>
      </c>
      <c r="E310" s="5" t="s">
        <v>1417</v>
      </c>
      <c r="F310" s="5"/>
      <c r="G310" s="5">
        <v>11.81</v>
      </c>
      <c r="I310" s="5">
        <v>2.82</v>
      </c>
    </row>
    <row r="311">
      <c r="A311" s="4" t="s">
        <v>1522</v>
      </c>
      <c r="B311" s="5">
        <v>548.0</v>
      </c>
      <c r="C311" s="5">
        <v>29.9</v>
      </c>
      <c r="D311" s="5">
        <v>20.4</v>
      </c>
      <c r="E311" s="5">
        <v>6.7</v>
      </c>
      <c r="F311" s="5"/>
      <c r="G311" s="5">
        <v>12.29</v>
      </c>
      <c r="I311" s="5">
        <v>1.78</v>
      </c>
    </row>
    <row r="312">
      <c r="A312" s="4" t="s">
        <v>1318</v>
      </c>
      <c r="B312" s="5">
        <v>533.0</v>
      </c>
      <c r="C312" s="5">
        <v>35.0</v>
      </c>
      <c r="D312" s="5">
        <v>19.7</v>
      </c>
      <c r="E312" s="5" t="s">
        <v>1417</v>
      </c>
      <c r="F312" s="5"/>
      <c r="G312" s="5">
        <v>10.66</v>
      </c>
      <c r="I312" s="5">
        <v>1.8</v>
      </c>
    </row>
    <row r="313">
      <c r="A313" s="4" t="s">
        <v>1320</v>
      </c>
      <c r="B313" s="5">
        <v>532.0</v>
      </c>
      <c r="C313" s="5">
        <v>28.8</v>
      </c>
      <c r="D313" s="5">
        <v>19.4</v>
      </c>
      <c r="E313" s="5" t="s">
        <v>1417</v>
      </c>
      <c r="F313" s="5"/>
      <c r="G313" s="5">
        <v>8.87</v>
      </c>
      <c r="I313" s="5">
        <v>1.36</v>
      </c>
    </row>
    <row r="314">
      <c r="A314" s="4" t="s">
        <v>1523</v>
      </c>
      <c r="B314" s="5">
        <v>531.0</v>
      </c>
      <c r="C314" s="5">
        <v>27.3</v>
      </c>
      <c r="D314" s="5">
        <v>20.2</v>
      </c>
      <c r="E314" s="5" t="s">
        <v>1417</v>
      </c>
      <c r="F314" s="5"/>
      <c r="G314" s="5">
        <v>6.4</v>
      </c>
      <c r="I314" s="5">
        <v>0.6</v>
      </c>
    </row>
    <row r="315">
      <c r="A315" s="4" t="s">
        <v>1524</v>
      </c>
      <c r="B315" s="5">
        <v>547.0</v>
      </c>
      <c r="C315" s="5">
        <v>31.1</v>
      </c>
      <c r="D315" s="5">
        <v>21.3</v>
      </c>
      <c r="E315" s="5" t="s">
        <v>1417</v>
      </c>
      <c r="F315" s="5"/>
      <c r="G315" s="5">
        <v>11.69</v>
      </c>
    </row>
    <row r="316">
      <c r="A316" s="4" t="s">
        <v>1317</v>
      </c>
      <c r="B316" s="5">
        <v>541.0</v>
      </c>
      <c r="C316" s="5">
        <v>32.4</v>
      </c>
      <c r="D316" s="5">
        <v>21.7</v>
      </c>
      <c r="E316" s="5" t="s">
        <v>1417</v>
      </c>
      <c r="F316" s="5"/>
      <c r="G316" s="5">
        <v>7.41</v>
      </c>
      <c r="I316" s="5">
        <v>0.48</v>
      </c>
    </row>
    <row r="317">
      <c r="A317" s="4" t="s">
        <v>1316</v>
      </c>
      <c r="B317" s="5">
        <v>537.0</v>
      </c>
      <c r="C317" s="5">
        <v>36.9</v>
      </c>
      <c r="D317" s="5">
        <v>24.3</v>
      </c>
      <c r="E317" s="5" t="s">
        <v>1417</v>
      </c>
      <c r="F317" s="5"/>
      <c r="G317" s="5">
        <v>7.39</v>
      </c>
      <c r="I317" s="5">
        <v>0.59</v>
      </c>
    </row>
    <row r="318">
      <c r="A318" s="4" t="s">
        <v>1322</v>
      </c>
      <c r="B318" s="5">
        <v>536.0</v>
      </c>
      <c r="C318" s="5">
        <v>24.2</v>
      </c>
      <c r="D318" s="5">
        <v>21.1</v>
      </c>
      <c r="E318" s="5" t="s">
        <v>1417</v>
      </c>
      <c r="F318" s="5"/>
      <c r="G318" s="5">
        <v>8.52</v>
      </c>
      <c r="I318" s="5">
        <v>0.68</v>
      </c>
    </row>
    <row r="319">
      <c r="A319" s="4" t="s">
        <v>1323</v>
      </c>
      <c r="B319" s="5">
        <v>525.0</v>
      </c>
      <c r="C319" s="5">
        <v>24.0</v>
      </c>
      <c r="D319" s="5">
        <v>19.5</v>
      </c>
      <c r="F319" s="5"/>
      <c r="G319" s="5">
        <v>7.39</v>
      </c>
      <c r="I319" s="5">
        <v>0.78</v>
      </c>
    </row>
    <row r="320">
      <c r="A320" s="4" t="s">
        <v>1525</v>
      </c>
      <c r="B320" s="5">
        <v>530.0</v>
      </c>
      <c r="C320" s="5">
        <v>21.1</v>
      </c>
      <c r="D320" s="5">
        <v>19.0</v>
      </c>
      <c r="E320" s="5" t="s">
        <v>1417</v>
      </c>
      <c r="F320" s="5"/>
      <c r="G320" s="5">
        <v>7.15</v>
      </c>
      <c r="I320" s="5">
        <v>0.54</v>
      </c>
    </row>
    <row r="321">
      <c r="A321" s="4" t="s">
        <v>1526</v>
      </c>
      <c r="B321" s="5">
        <v>546.0</v>
      </c>
      <c r="C321" s="5">
        <v>24.3</v>
      </c>
      <c r="D321" s="5">
        <v>15.6</v>
      </c>
      <c r="E321" s="5" t="s">
        <v>1417</v>
      </c>
      <c r="F321" s="5"/>
      <c r="G321" s="5">
        <v>7.08</v>
      </c>
      <c r="I321" s="5">
        <v>0.88</v>
      </c>
    </row>
    <row r="322">
      <c r="A322" s="4" t="s">
        <v>1527</v>
      </c>
      <c r="B322" s="5">
        <v>543.0</v>
      </c>
      <c r="C322" s="5">
        <v>24.0</v>
      </c>
      <c r="D322" s="5">
        <v>14.1</v>
      </c>
      <c r="E322" s="5" t="s">
        <v>1417</v>
      </c>
      <c r="F322" s="5"/>
      <c r="G322" s="5">
        <v>7.68</v>
      </c>
      <c r="I322" s="5">
        <v>0.43</v>
      </c>
    </row>
    <row r="323">
      <c r="A323" s="4" t="s">
        <v>1528</v>
      </c>
      <c r="B323" s="5">
        <v>545.0</v>
      </c>
      <c r="C323" s="5">
        <v>22.5</v>
      </c>
      <c r="D323" s="5">
        <v>14.3</v>
      </c>
      <c r="E323" s="5" t="s">
        <v>1417</v>
      </c>
      <c r="F323" s="5"/>
      <c r="G323" s="5">
        <v>4.07</v>
      </c>
      <c r="I323" s="5">
        <v>0.51</v>
      </c>
    </row>
    <row r="324">
      <c r="A324" s="4" t="s">
        <v>1321</v>
      </c>
      <c r="B324" s="5">
        <v>540.0</v>
      </c>
      <c r="C324" s="5">
        <v>25.9</v>
      </c>
      <c r="D324" s="5">
        <v>16.5</v>
      </c>
      <c r="E324" s="5" t="s">
        <v>1417</v>
      </c>
      <c r="F324" s="5"/>
      <c r="G324" s="5">
        <v>9.84</v>
      </c>
      <c r="I324" s="5">
        <v>0.56</v>
      </c>
    </row>
    <row r="325">
      <c r="A325" s="4" t="s">
        <v>1324</v>
      </c>
      <c r="B325" s="5">
        <v>539.0</v>
      </c>
      <c r="C325" s="5">
        <v>18.0</v>
      </c>
      <c r="D325" s="5">
        <v>18.4</v>
      </c>
      <c r="E325" s="5" t="s">
        <v>1417</v>
      </c>
      <c r="F325" s="5"/>
      <c r="G325" s="5">
        <v>6.1</v>
      </c>
      <c r="I325" s="5">
        <v>0.3</v>
      </c>
    </row>
    <row r="326">
      <c r="A326" s="4" t="s">
        <v>1325</v>
      </c>
      <c r="B326" s="5">
        <v>535.0</v>
      </c>
      <c r="C326" s="5">
        <v>19.5</v>
      </c>
      <c r="D326" s="5">
        <v>14.1</v>
      </c>
      <c r="E326" s="5" t="s">
        <v>1417</v>
      </c>
      <c r="F326" s="5"/>
      <c r="G326" s="5">
        <v>7.57</v>
      </c>
      <c r="I326" s="5">
        <v>0.5</v>
      </c>
    </row>
    <row r="327">
      <c r="A327" s="4" t="s">
        <v>1326</v>
      </c>
      <c r="B327" s="5">
        <v>524.0</v>
      </c>
      <c r="C327" s="5">
        <v>22.4</v>
      </c>
      <c r="D327" s="5">
        <v>15.9</v>
      </c>
      <c r="F327" s="5"/>
      <c r="G327" s="5">
        <v>6.85</v>
      </c>
      <c r="I327" s="5">
        <v>0.67</v>
      </c>
    </row>
    <row r="328">
      <c r="A328" s="4" t="s">
        <v>1529</v>
      </c>
      <c r="B328" s="5">
        <v>529.0</v>
      </c>
      <c r="C328" s="5">
        <v>18.5</v>
      </c>
      <c r="D328" s="5">
        <v>16.5</v>
      </c>
      <c r="E328" s="5" t="s">
        <v>1417</v>
      </c>
      <c r="F328" s="5"/>
      <c r="G328" s="5">
        <v>5.67</v>
      </c>
      <c r="I328" s="5">
        <v>0.35</v>
      </c>
    </row>
    <row r="329">
      <c r="A329" s="4" t="s">
        <v>1530</v>
      </c>
      <c r="B329" s="5">
        <v>527.0</v>
      </c>
      <c r="C329" s="5">
        <v>27.7</v>
      </c>
      <c r="D329" s="5">
        <v>16.9</v>
      </c>
      <c r="E329" s="5" t="s">
        <v>1417</v>
      </c>
      <c r="F329" s="5"/>
      <c r="G329" s="5">
        <v>5.41</v>
      </c>
      <c r="I329" s="5">
        <v>0.44</v>
      </c>
    </row>
    <row r="330">
      <c r="A330" s="4" t="s">
        <v>1531</v>
      </c>
      <c r="B330" s="5">
        <v>544.0</v>
      </c>
      <c r="C330" s="5">
        <v>14.6</v>
      </c>
      <c r="D330" s="5">
        <v>9.4</v>
      </c>
      <c r="E330" s="5" t="s">
        <v>1417</v>
      </c>
      <c r="F330" s="5"/>
      <c r="G330" s="5">
        <v>3.2</v>
      </c>
      <c r="I330" s="5">
        <v>0.04</v>
      </c>
    </row>
    <row r="331">
      <c r="A331" s="4" t="s">
        <v>1532</v>
      </c>
      <c r="B331" s="5">
        <v>542.0</v>
      </c>
      <c r="C331" s="5">
        <v>18.5</v>
      </c>
      <c r="D331" s="5">
        <v>13.4</v>
      </c>
      <c r="E331" s="5" t="s">
        <v>1417</v>
      </c>
      <c r="F331" s="5"/>
      <c r="G331" s="5">
        <v>4.65</v>
      </c>
      <c r="I331" s="5">
        <v>0.18</v>
      </c>
    </row>
    <row r="332">
      <c r="A332" s="4" t="s">
        <v>1533</v>
      </c>
      <c r="B332" s="5">
        <v>538.0</v>
      </c>
      <c r="C332" s="5">
        <v>18.2</v>
      </c>
      <c r="D332" s="5">
        <v>11.5</v>
      </c>
      <c r="E332" s="5" t="s">
        <v>1417</v>
      </c>
      <c r="F332" s="5"/>
      <c r="G332" s="5">
        <v>4.65</v>
      </c>
      <c r="I332" s="5">
        <v>0.07</v>
      </c>
    </row>
    <row r="333">
      <c r="A333" s="4" t="s">
        <v>1534</v>
      </c>
      <c r="B333" s="5">
        <v>526.0</v>
      </c>
      <c r="C333" s="5">
        <v>18.7</v>
      </c>
      <c r="D333" s="5">
        <v>14.0</v>
      </c>
      <c r="E333" s="5" t="s">
        <v>1417</v>
      </c>
      <c r="F333" s="5"/>
      <c r="G333" s="5">
        <v>5.01</v>
      </c>
      <c r="I333" s="5">
        <v>0.26</v>
      </c>
    </row>
    <row r="334">
      <c r="A334" s="4" t="s">
        <v>1535</v>
      </c>
      <c r="B334" s="5">
        <v>534.0</v>
      </c>
      <c r="C334" s="5">
        <v>19.2</v>
      </c>
      <c r="D334" s="5">
        <v>12.5</v>
      </c>
      <c r="E334" s="5" t="s">
        <v>1417</v>
      </c>
      <c r="F334" s="5"/>
      <c r="G334" s="5">
        <v>5.94</v>
      </c>
      <c r="I334" s="5">
        <v>0.27</v>
      </c>
    </row>
    <row r="335">
      <c r="A335" s="4" t="s">
        <v>1536</v>
      </c>
      <c r="B335" s="5">
        <v>523.0</v>
      </c>
      <c r="C335" s="5">
        <v>19.6</v>
      </c>
      <c r="D335" s="5">
        <v>12.4</v>
      </c>
      <c r="E335" s="5" t="s">
        <v>1417</v>
      </c>
      <c r="F335" s="5"/>
      <c r="G335" s="5">
        <v>4.94</v>
      </c>
      <c r="I335" s="5">
        <v>0.36</v>
      </c>
    </row>
    <row r="336">
      <c r="A336" s="4" t="s">
        <v>1537</v>
      </c>
      <c r="B336" s="5">
        <v>528.0</v>
      </c>
      <c r="C336" s="5">
        <v>16.6</v>
      </c>
      <c r="D336" s="5">
        <v>11.4</v>
      </c>
      <c r="E336" s="5" t="s">
        <v>1417</v>
      </c>
      <c r="F336" s="5"/>
      <c r="G336" s="5">
        <v>3.35</v>
      </c>
      <c r="I336" s="5">
        <v>0.14</v>
      </c>
    </row>
    <row r="337">
      <c r="A337" s="4"/>
    </row>
    <row r="338">
      <c r="A338" s="4" t="s">
        <v>438</v>
      </c>
    </row>
    <row r="339">
      <c r="A339" s="4" t="s">
        <v>439</v>
      </c>
    </row>
    <row r="340">
      <c r="A340" s="4" t="s">
        <v>440</v>
      </c>
    </row>
    <row r="341">
      <c r="A341" s="4" t="s">
        <v>1327</v>
      </c>
    </row>
    <row r="342">
      <c r="A342" s="4" t="s">
        <v>1328</v>
      </c>
    </row>
    <row r="343">
      <c r="A343" s="4" t="s">
        <v>446</v>
      </c>
    </row>
    <row r="344">
      <c r="A344" s="4" t="s">
        <v>1538</v>
      </c>
    </row>
    <row r="345">
      <c r="A345" s="4" t="s">
        <v>441</v>
      </c>
    </row>
    <row r="346">
      <c r="A346" s="4" t="s">
        <v>443</v>
      </c>
    </row>
    <row r="347">
      <c r="A347" s="4" t="s">
        <v>449</v>
      </c>
    </row>
    <row r="348">
      <c r="A348" s="4" t="s">
        <v>1329</v>
      </c>
    </row>
    <row r="349">
      <c r="A349" s="4" t="s">
        <v>451</v>
      </c>
    </row>
    <row r="350">
      <c r="A350" s="4" t="s">
        <v>452</v>
      </c>
    </row>
    <row r="351">
      <c r="A351" s="4" t="s">
        <v>1539</v>
      </c>
    </row>
    <row r="352">
      <c r="A352" s="4" t="s">
        <v>1330</v>
      </c>
    </row>
    <row r="353">
      <c r="A353" s="4" t="s">
        <v>455</v>
      </c>
    </row>
    <row r="354">
      <c r="A354" s="4" t="s">
        <v>1540</v>
      </c>
    </row>
    <row r="355">
      <c r="A355" s="4" t="s">
        <v>458</v>
      </c>
    </row>
    <row r="356">
      <c r="A356" s="4" t="s">
        <v>1541</v>
      </c>
    </row>
    <row r="357">
      <c r="A357" s="4" t="s">
        <v>1331</v>
      </c>
    </row>
    <row r="358">
      <c r="A358" s="4" t="s">
        <v>1542</v>
      </c>
    </row>
    <row r="359">
      <c r="A359" s="4"/>
      <c r="F359" s="5"/>
      <c r="G359" s="5" t="s">
        <v>1543</v>
      </c>
    </row>
    <row r="360">
      <c r="A360" s="4" t="s">
        <v>463</v>
      </c>
      <c r="B360" s="5">
        <v>495.0</v>
      </c>
      <c r="C360" s="5">
        <v>29.3</v>
      </c>
      <c r="D360" s="5">
        <v>24.3</v>
      </c>
      <c r="E360" s="5" t="s">
        <v>1417</v>
      </c>
      <c r="F360" s="5"/>
      <c r="G360" s="5">
        <v>10.38</v>
      </c>
      <c r="I360" s="5">
        <v>1.96</v>
      </c>
    </row>
    <row r="361">
      <c r="A361" s="4" t="s">
        <v>1544</v>
      </c>
      <c r="B361" s="5">
        <v>494.0</v>
      </c>
      <c r="C361" s="5">
        <v>33.2</v>
      </c>
      <c r="D361" s="5">
        <v>19.4</v>
      </c>
      <c r="E361" s="5">
        <v>7.6</v>
      </c>
      <c r="F361" s="5"/>
      <c r="G361" s="5">
        <v>9.37</v>
      </c>
      <c r="I361" s="5">
        <v>1.3</v>
      </c>
    </row>
    <row r="362">
      <c r="A362" s="4" t="s">
        <v>1545</v>
      </c>
      <c r="B362" s="5">
        <v>480.0</v>
      </c>
      <c r="C362" s="5">
        <v>36.1</v>
      </c>
      <c r="D362" s="5">
        <v>22.6</v>
      </c>
      <c r="E362" s="5" t="s">
        <v>1417</v>
      </c>
      <c r="F362" s="5"/>
      <c r="G362" s="5">
        <v>8.51</v>
      </c>
      <c r="I362" s="5">
        <v>0.81</v>
      </c>
    </row>
    <row r="363">
      <c r="A363" s="4" t="s">
        <v>1546</v>
      </c>
      <c r="B363" s="5">
        <v>493.0</v>
      </c>
      <c r="C363" s="5">
        <v>29.9</v>
      </c>
      <c r="D363" s="5">
        <v>18.7</v>
      </c>
      <c r="E363" s="5" t="s">
        <v>1417</v>
      </c>
      <c r="F363" s="5"/>
      <c r="G363" s="5">
        <v>6.9</v>
      </c>
      <c r="I363" s="5">
        <v>0.53</v>
      </c>
    </row>
    <row r="364">
      <c r="A364" s="4" t="s">
        <v>1333</v>
      </c>
      <c r="B364" s="5">
        <v>491.0</v>
      </c>
      <c r="C364" s="5">
        <v>32.8</v>
      </c>
      <c r="D364" s="5">
        <v>26.1</v>
      </c>
      <c r="E364" s="5" t="s">
        <v>1417</v>
      </c>
      <c r="F364" s="5"/>
      <c r="G364" s="5">
        <v>7.99</v>
      </c>
      <c r="I364" s="5">
        <v>0.77</v>
      </c>
    </row>
    <row r="365">
      <c r="A365" s="4" t="s">
        <v>1547</v>
      </c>
      <c r="B365" s="5">
        <v>490.0</v>
      </c>
      <c r="C365" s="5">
        <v>21.9</v>
      </c>
      <c r="D365" s="5">
        <v>17.1</v>
      </c>
      <c r="E365" s="5" t="s">
        <v>1417</v>
      </c>
      <c r="F365" s="5"/>
      <c r="G365" s="5">
        <v>8.02</v>
      </c>
      <c r="I365" s="5">
        <v>0.59</v>
      </c>
    </row>
    <row r="366">
      <c r="A366" s="4" t="s">
        <v>1332</v>
      </c>
      <c r="B366" s="5">
        <v>488.0</v>
      </c>
      <c r="C366" s="5">
        <v>31.3</v>
      </c>
      <c r="D366" s="5">
        <v>16.5</v>
      </c>
      <c r="E366" s="5" t="s">
        <v>1417</v>
      </c>
      <c r="F366" s="5"/>
      <c r="G366" s="5">
        <v>6.33</v>
      </c>
      <c r="I366" s="5">
        <v>0.22</v>
      </c>
    </row>
    <row r="367">
      <c r="A367" s="4" t="s">
        <v>1334</v>
      </c>
      <c r="B367" s="5">
        <v>487.0</v>
      </c>
      <c r="C367" s="5">
        <v>18.5</v>
      </c>
      <c r="D367" s="5">
        <v>16.8</v>
      </c>
      <c r="E367" s="5" t="s">
        <v>1417</v>
      </c>
      <c r="F367" s="5"/>
      <c r="G367" s="5">
        <v>7.15</v>
      </c>
      <c r="I367" s="5">
        <v>0.33</v>
      </c>
    </row>
    <row r="368">
      <c r="A368" s="4" t="s">
        <v>468</v>
      </c>
      <c r="B368" s="5">
        <v>484.0</v>
      </c>
      <c r="C368" s="5">
        <v>24.5</v>
      </c>
      <c r="D368" s="5">
        <v>19.4</v>
      </c>
      <c r="E368" s="5" t="s">
        <v>1417</v>
      </c>
      <c r="F368" s="5"/>
      <c r="G368" s="5">
        <v>8.38</v>
      </c>
      <c r="I368" s="5">
        <v>0.53</v>
      </c>
    </row>
    <row r="369">
      <c r="A369" s="4" t="s">
        <v>466</v>
      </c>
      <c r="B369" s="5">
        <v>485.0</v>
      </c>
      <c r="C369" s="5">
        <v>36.9</v>
      </c>
      <c r="D369" s="5">
        <v>28.1</v>
      </c>
      <c r="E369" s="5" t="s">
        <v>1417</v>
      </c>
      <c r="F369" s="5"/>
      <c r="G369" s="5">
        <v>9.0</v>
      </c>
      <c r="I369" s="5">
        <v>0.58</v>
      </c>
    </row>
    <row r="370">
      <c r="A370" s="4" t="s">
        <v>1548</v>
      </c>
      <c r="B370" s="5">
        <v>479.0</v>
      </c>
      <c r="C370" s="5">
        <v>30.7</v>
      </c>
      <c r="D370" s="5">
        <v>20.6</v>
      </c>
      <c r="E370" s="5" t="s">
        <v>1417</v>
      </c>
      <c r="F370" s="5"/>
      <c r="G370" s="5">
        <v>7.81</v>
      </c>
      <c r="I370" s="5">
        <v>0.65</v>
      </c>
    </row>
    <row r="371">
      <c r="A371" s="4" t="s">
        <v>1549</v>
      </c>
      <c r="B371" s="5">
        <v>481.0</v>
      </c>
      <c r="C371" s="5">
        <v>22.1</v>
      </c>
      <c r="D371" s="5">
        <v>17.7</v>
      </c>
      <c r="E371" s="5" t="s">
        <v>1417</v>
      </c>
      <c r="F371" s="5"/>
      <c r="G371" s="5">
        <v>5.08</v>
      </c>
      <c r="I371" s="5">
        <v>0.19</v>
      </c>
    </row>
    <row r="372">
      <c r="A372" s="4" t="s">
        <v>1550</v>
      </c>
      <c r="B372" s="5">
        <v>478.0</v>
      </c>
      <c r="C372" s="5">
        <v>22.3</v>
      </c>
      <c r="D372" s="5">
        <v>19.0</v>
      </c>
      <c r="E372" s="5" t="s">
        <v>1417</v>
      </c>
      <c r="F372" s="5"/>
      <c r="G372" s="5">
        <v>7.76</v>
      </c>
      <c r="I372" s="5">
        <v>0.53</v>
      </c>
    </row>
    <row r="373">
      <c r="A373" s="4" t="s">
        <v>1551</v>
      </c>
      <c r="B373" s="5">
        <v>492.0</v>
      </c>
      <c r="C373" s="5">
        <v>22.0</v>
      </c>
      <c r="D373" s="5">
        <v>16.2</v>
      </c>
      <c r="E373" s="5" t="s">
        <v>1417</v>
      </c>
      <c r="F373" s="5"/>
      <c r="G373" s="5">
        <v>5.63</v>
      </c>
      <c r="I373" s="5">
        <v>0.35</v>
      </c>
    </row>
    <row r="374">
      <c r="A374" s="4" t="s">
        <v>1552</v>
      </c>
      <c r="B374" s="5">
        <v>489.0</v>
      </c>
      <c r="C374" s="5">
        <v>22.4</v>
      </c>
      <c r="D374" s="5">
        <v>17.0</v>
      </c>
      <c r="E374" s="5" t="s">
        <v>1417</v>
      </c>
      <c r="F374" s="5"/>
      <c r="G374" s="5">
        <v>5.56</v>
      </c>
      <c r="I374" s="5">
        <v>0.22</v>
      </c>
    </row>
    <row r="375">
      <c r="A375" s="4" t="s">
        <v>1553</v>
      </c>
      <c r="B375" s="5">
        <v>486.0</v>
      </c>
      <c r="C375" s="5">
        <v>20.6</v>
      </c>
      <c r="D375" s="5">
        <v>14.2</v>
      </c>
      <c r="E375" s="5" t="s">
        <v>1417</v>
      </c>
      <c r="F375" s="5"/>
      <c r="G375" s="5">
        <v>4.62</v>
      </c>
      <c r="I375" s="5">
        <v>0.13</v>
      </c>
    </row>
    <row r="376">
      <c r="A376" s="4" t="s">
        <v>1554</v>
      </c>
      <c r="B376" s="5">
        <v>482.0</v>
      </c>
      <c r="C376" s="5">
        <v>27.4</v>
      </c>
      <c r="D376" s="5">
        <v>17.2</v>
      </c>
      <c r="E376" s="5" t="s">
        <v>1417</v>
      </c>
      <c r="F376" s="5"/>
      <c r="G376" s="5">
        <v>4.55</v>
      </c>
      <c r="I376" s="5">
        <v>0.15</v>
      </c>
    </row>
    <row r="377">
      <c r="A377" s="4" t="s">
        <v>470</v>
      </c>
      <c r="B377" s="5">
        <v>483.0</v>
      </c>
      <c r="C377" s="5">
        <v>25.1</v>
      </c>
      <c r="D377" s="5">
        <v>16.7</v>
      </c>
      <c r="E377" s="5" t="s">
        <v>1417</v>
      </c>
      <c r="F377" s="5"/>
      <c r="G377" s="5">
        <v>5.92</v>
      </c>
      <c r="I377" s="5">
        <v>0.28</v>
      </c>
    </row>
    <row r="378">
      <c r="A378" s="4" t="s">
        <v>1555</v>
      </c>
      <c r="B378" s="5">
        <v>477.0</v>
      </c>
      <c r="C378" s="5">
        <v>20.9</v>
      </c>
      <c r="D378" s="5">
        <v>14.8</v>
      </c>
      <c r="E378" s="5" t="s">
        <v>1417</v>
      </c>
      <c r="F378" s="5"/>
      <c r="G378" s="5">
        <v>5.37</v>
      </c>
      <c r="I378" s="5">
        <v>0.22</v>
      </c>
    </row>
    <row r="379">
      <c r="A379" s="4"/>
    </row>
    <row r="380">
      <c r="A380" s="4" t="s">
        <v>475</v>
      </c>
      <c r="B380" s="5">
        <v>476.0</v>
      </c>
      <c r="C380" s="5">
        <v>27.3</v>
      </c>
      <c r="D380" s="5">
        <v>28.2</v>
      </c>
      <c r="E380" s="5" t="s">
        <v>1417</v>
      </c>
      <c r="F380" s="5"/>
      <c r="G380" s="5">
        <v>9.08</v>
      </c>
      <c r="I380" s="5">
        <v>0.86</v>
      </c>
    </row>
    <row r="381">
      <c r="A381" s="4" t="s">
        <v>477</v>
      </c>
      <c r="B381" s="5">
        <v>441.0</v>
      </c>
      <c r="C381" s="5">
        <v>33.2</v>
      </c>
      <c r="D381" s="5">
        <v>23.1</v>
      </c>
      <c r="E381" s="5" t="s">
        <v>1417</v>
      </c>
      <c r="F381" s="5"/>
      <c r="G381" s="5">
        <v>8.85</v>
      </c>
      <c r="I381" s="5">
        <v>0.48</v>
      </c>
    </row>
    <row r="382">
      <c r="A382" s="4" t="s">
        <v>1556</v>
      </c>
      <c r="B382" s="5">
        <v>475.0</v>
      </c>
      <c r="C382" s="5">
        <v>37.3</v>
      </c>
      <c r="D382" s="5">
        <v>15.7</v>
      </c>
      <c r="E382" s="5">
        <v>13.1</v>
      </c>
      <c r="F382" s="5"/>
      <c r="G382" s="5">
        <v>8.29</v>
      </c>
      <c r="I382" s="5">
        <v>0.9</v>
      </c>
    </row>
    <row r="383">
      <c r="A383" s="4" t="s">
        <v>484</v>
      </c>
      <c r="B383" s="5">
        <v>473.0</v>
      </c>
      <c r="C383" s="5">
        <v>26.5</v>
      </c>
      <c r="D383" s="5">
        <v>18.1</v>
      </c>
      <c r="E383" s="5" t="s">
        <v>1417</v>
      </c>
      <c r="F383" s="5"/>
      <c r="G383" s="5">
        <v>8.15</v>
      </c>
      <c r="I383" s="5">
        <v>0.47</v>
      </c>
    </row>
    <row r="384">
      <c r="A384" s="4" t="s">
        <v>1557</v>
      </c>
      <c r="B384" s="5">
        <v>471.0</v>
      </c>
      <c r="C384" s="5">
        <v>38.7</v>
      </c>
      <c r="D384" s="5">
        <v>21.9</v>
      </c>
      <c r="E384" s="5">
        <v>8.4</v>
      </c>
      <c r="F384" s="5"/>
      <c r="G384" s="5">
        <v>7.91</v>
      </c>
      <c r="I384" s="5">
        <v>0.54</v>
      </c>
    </row>
    <row r="385">
      <c r="A385" s="4" t="s">
        <v>1558</v>
      </c>
      <c r="B385" s="5">
        <v>440.0</v>
      </c>
      <c r="C385" s="5">
        <v>26.3</v>
      </c>
      <c r="D385" s="5">
        <v>21.6</v>
      </c>
      <c r="E385" s="5" t="s">
        <v>1417</v>
      </c>
      <c r="F385" s="5"/>
      <c r="G385" s="5">
        <v>7.96</v>
      </c>
      <c r="I385" s="5">
        <v>0.47</v>
      </c>
    </row>
    <row r="386">
      <c r="A386" s="4" t="s">
        <v>1559</v>
      </c>
      <c r="B386" s="5">
        <v>474.0</v>
      </c>
      <c r="C386" s="5">
        <v>30.1</v>
      </c>
      <c r="D386" s="5">
        <v>17.5</v>
      </c>
      <c r="E386" s="5" t="s">
        <v>1417</v>
      </c>
      <c r="F386" s="5"/>
      <c r="G386" s="5">
        <v>7.43</v>
      </c>
      <c r="I386" s="5">
        <v>0.41</v>
      </c>
    </row>
    <row r="387">
      <c r="A387" s="4" t="s">
        <v>491</v>
      </c>
      <c r="B387" s="5">
        <v>472.0</v>
      </c>
      <c r="C387" s="5">
        <v>19.2</v>
      </c>
      <c r="D387" s="5">
        <v>16.3</v>
      </c>
      <c r="E387" s="5" t="s">
        <v>1417</v>
      </c>
      <c r="F387" s="5"/>
      <c r="G387" s="5">
        <v>5.45</v>
      </c>
      <c r="I387" s="5">
        <v>0.23</v>
      </c>
    </row>
    <row r="388">
      <c r="A388" s="4" t="s">
        <v>487</v>
      </c>
      <c r="B388" s="5">
        <v>442.0</v>
      </c>
      <c r="C388" s="5">
        <v>18.6</v>
      </c>
      <c r="D388" s="5">
        <v>15.5</v>
      </c>
      <c r="E388" s="5" t="s">
        <v>1417</v>
      </c>
      <c r="F388" s="5"/>
      <c r="G388" s="5">
        <v>7.0</v>
      </c>
      <c r="I388" s="5">
        <v>0.33</v>
      </c>
    </row>
    <row r="389">
      <c r="A389" s="4" t="s">
        <v>488</v>
      </c>
      <c r="B389" s="5">
        <v>439.0</v>
      </c>
      <c r="C389" s="5">
        <v>22.8</v>
      </c>
      <c r="D389" s="5">
        <v>16.2</v>
      </c>
      <c r="E389" s="5" t="s">
        <v>1417</v>
      </c>
      <c r="F389" s="5"/>
      <c r="G389" s="5">
        <v>7.09</v>
      </c>
      <c r="I389" s="5">
        <v>0.28</v>
      </c>
    </row>
    <row r="390">
      <c r="A390" s="4"/>
    </row>
    <row r="391">
      <c r="A391" s="4" t="s">
        <v>496</v>
      </c>
    </row>
    <row r="392">
      <c r="A392" s="4" t="s">
        <v>1560</v>
      </c>
    </row>
    <row r="393">
      <c r="A393" s="4" t="s">
        <v>498</v>
      </c>
    </row>
    <row r="394">
      <c r="A394" s="4" t="s">
        <v>503</v>
      </c>
    </row>
    <row r="395">
      <c r="A395" s="4" t="s">
        <v>499</v>
      </c>
    </row>
    <row r="396">
      <c r="A396" s="4"/>
    </row>
    <row r="397">
      <c r="A397" s="4" t="s">
        <v>517</v>
      </c>
    </row>
    <row r="398">
      <c r="A398" s="4" t="s">
        <v>518</v>
      </c>
    </row>
    <row r="399">
      <c r="A399" s="4"/>
    </row>
    <row r="400">
      <c r="A400" s="4" t="s">
        <v>537</v>
      </c>
    </row>
    <row r="401">
      <c r="A401" s="4" t="s">
        <v>538</v>
      </c>
    </row>
    <row r="402">
      <c r="A402" s="4"/>
      <c r="K402" s="2" t="s">
        <v>14</v>
      </c>
    </row>
    <row r="403">
      <c r="A403" s="4" t="s">
        <v>754</v>
      </c>
      <c r="B403" s="5">
        <v>656.0</v>
      </c>
      <c r="C403" s="5">
        <v>30.6</v>
      </c>
      <c r="D403" s="5">
        <v>15.9</v>
      </c>
      <c r="E403" s="5" t="s">
        <v>1417</v>
      </c>
      <c r="G403" s="5">
        <v>14.34</v>
      </c>
      <c r="H403" s="5">
        <v>0.0</v>
      </c>
      <c r="I403" s="5">
        <v>5.54</v>
      </c>
      <c r="K403" s="6">
        <f>counta(I403:I617)</f>
        <v>157</v>
      </c>
    </row>
    <row r="404">
      <c r="A404" s="4" t="s">
        <v>755</v>
      </c>
      <c r="B404" s="5">
        <v>655.0</v>
      </c>
      <c r="C404" s="5">
        <v>23.0</v>
      </c>
      <c r="D404" s="5">
        <v>18.6</v>
      </c>
      <c r="E404" s="5" t="s">
        <v>1417</v>
      </c>
      <c r="G404" s="5">
        <v>11.77</v>
      </c>
      <c r="I404" s="5">
        <v>4.4</v>
      </c>
      <c r="K404" s="6">
        <f>sum(I403:I617)/K403</f>
        <v>0.8159235669</v>
      </c>
    </row>
    <row r="405">
      <c r="A405" s="4" t="s">
        <v>756</v>
      </c>
      <c r="B405" s="5">
        <v>654.0</v>
      </c>
      <c r="C405" s="5">
        <v>20.9</v>
      </c>
      <c r="D405" s="5">
        <v>16.3</v>
      </c>
      <c r="E405" s="5" t="s">
        <v>1417</v>
      </c>
      <c r="G405" s="5">
        <v>12.75</v>
      </c>
      <c r="I405" s="5">
        <v>4.44</v>
      </c>
    </row>
    <row r="406">
      <c r="A406" s="4" t="s">
        <v>1561</v>
      </c>
      <c r="B406" s="5">
        <v>627.0</v>
      </c>
      <c r="C406" s="5">
        <v>21.1</v>
      </c>
      <c r="D406" s="5">
        <v>13.1</v>
      </c>
      <c r="E406" s="5" t="s">
        <v>1417</v>
      </c>
      <c r="G406" s="5">
        <v>8.81</v>
      </c>
      <c r="I406" s="5">
        <v>1.57</v>
      </c>
    </row>
    <row r="407">
      <c r="A407" s="4" t="s">
        <v>1562</v>
      </c>
      <c r="B407" s="5">
        <v>626.0</v>
      </c>
      <c r="C407" s="5">
        <v>23.5</v>
      </c>
      <c r="D407" s="5">
        <v>18.4</v>
      </c>
      <c r="E407" s="5" t="s">
        <v>1417</v>
      </c>
      <c r="G407" s="5">
        <v>9.2</v>
      </c>
      <c r="I407" s="5">
        <v>1.35</v>
      </c>
    </row>
    <row r="408">
      <c r="A408" s="4" t="s">
        <v>757</v>
      </c>
      <c r="B408" s="5">
        <v>637.0</v>
      </c>
      <c r="C408" s="5">
        <v>24.5</v>
      </c>
      <c r="D408" s="5">
        <v>25.9</v>
      </c>
      <c r="E408" s="5" t="s">
        <v>1417</v>
      </c>
      <c r="G408" s="5">
        <v>10.34</v>
      </c>
      <c r="I408" s="5">
        <v>1.49</v>
      </c>
    </row>
    <row r="409">
      <c r="A409" s="4" t="s">
        <v>1337</v>
      </c>
      <c r="B409" s="5">
        <v>642.0</v>
      </c>
      <c r="C409" s="5">
        <v>18.5</v>
      </c>
      <c r="D409" s="5">
        <v>17.4</v>
      </c>
      <c r="E409" s="5" t="s">
        <v>1417</v>
      </c>
      <c r="G409" s="5">
        <v>9.41</v>
      </c>
      <c r="I409" s="5">
        <v>1.42</v>
      </c>
    </row>
    <row r="410">
      <c r="A410" s="4" t="s">
        <v>758</v>
      </c>
      <c r="B410" s="5">
        <v>653.0</v>
      </c>
      <c r="C410" s="5">
        <v>26.9</v>
      </c>
      <c r="D410" s="5">
        <v>15.1</v>
      </c>
      <c r="E410" s="5" t="s">
        <v>1417</v>
      </c>
      <c r="G410" s="5">
        <v>9.07</v>
      </c>
      <c r="I410" s="5">
        <v>1.39</v>
      </c>
    </row>
    <row r="411">
      <c r="A411" s="4" t="s">
        <v>759</v>
      </c>
      <c r="B411" s="5">
        <v>649.0</v>
      </c>
      <c r="C411" s="5">
        <v>26.5</v>
      </c>
      <c r="D411" s="5">
        <v>22.3</v>
      </c>
      <c r="E411" s="5" t="s">
        <v>1417</v>
      </c>
      <c r="G411" s="5">
        <v>9.23</v>
      </c>
      <c r="I411" s="5">
        <v>1.26</v>
      </c>
    </row>
    <row r="412">
      <c r="A412" s="4" t="s">
        <v>764</v>
      </c>
      <c r="B412" s="5">
        <v>648.0</v>
      </c>
      <c r="C412" s="5">
        <v>19.3</v>
      </c>
      <c r="D412" s="5">
        <v>14.6</v>
      </c>
      <c r="E412" s="5" t="s">
        <v>1417</v>
      </c>
      <c r="F412" s="5" t="s">
        <v>1417</v>
      </c>
      <c r="G412" s="5">
        <v>8.72</v>
      </c>
      <c r="I412" s="5">
        <v>0.94</v>
      </c>
    </row>
    <row r="413">
      <c r="A413" s="4" t="s">
        <v>1563</v>
      </c>
      <c r="B413" s="5">
        <v>645.0</v>
      </c>
      <c r="C413" s="5">
        <v>19.2</v>
      </c>
      <c r="D413" s="5">
        <v>22.2</v>
      </c>
      <c r="E413" s="5" t="s">
        <v>1417</v>
      </c>
      <c r="F413" s="5" t="s">
        <v>1417</v>
      </c>
      <c r="G413" s="5">
        <v>8.11</v>
      </c>
      <c r="I413" s="5">
        <v>0.48</v>
      </c>
    </row>
    <row r="414">
      <c r="A414" s="4" t="s">
        <v>1339</v>
      </c>
      <c r="B414" s="5">
        <v>641.0</v>
      </c>
      <c r="C414" s="5">
        <v>20.8</v>
      </c>
      <c r="D414" s="5">
        <v>17.6</v>
      </c>
      <c r="E414" s="5" t="s">
        <v>1417</v>
      </c>
      <c r="F414" s="5" t="s">
        <v>1417</v>
      </c>
      <c r="G414" s="5">
        <v>9.76</v>
      </c>
      <c r="I414" s="5">
        <v>1.11</v>
      </c>
    </row>
    <row r="415">
      <c r="A415" s="4" t="s">
        <v>760</v>
      </c>
      <c r="B415" s="5">
        <v>636.0</v>
      </c>
      <c r="C415" s="5">
        <v>20.3</v>
      </c>
      <c r="D415" s="5">
        <v>18.4</v>
      </c>
      <c r="E415" s="5" t="s">
        <v>1417</v>
      </c>
      <c r="F415" s="5" t="s">
        <v>1417</v>
      </c>
      <c r="G415" s="5">
        <v>10.05</v>
      </c>
      <c r="I415" s="5">
        <v>1.12</v>
      </c>
    </row>
    <row r="416">
      <c r="A416" s="4" t="s">
        <v>1564</v>
      </c>
      <c r="B416" s="5">
        <v>625.0</v>
      </c>
      <c r="C416" s="5">
        <v>23.1</v>
      </c>
      <c r="D416" s="5">
        <v>19.0</v>
      </c>
      <c r="E416" s="5" t="s">
        <v>1417</v>
      </c>
      <c r="F416" s="5" t="s">
        <v>1417</v>
      </c>
      <c r="G416" s="5">
        <v>9.81</v>
      </c>
      <c r="I416" s="5">
        <v>1.1</v>
      </c>
    </row>
    <row r="417">
      <c r="A417" s="4" t="s">
        <v>1338</v>
      </c>
      <c r="B417" s="5">
        <v>652.0</v>
      </c>
      <c r="C417" s="5">
        <v>15.4</v>
      </c>
      <c r="D417" s="5">
        <v>12.1</v>
      </c>
      <c r="E417" s="5" t="s">
        <v>1417</v>
      </c>
      <c r="F417" s="5" t="s">
        <v>1417</v>
      </c>
      <c r="G417" s="5">
        <v>7.54</v>
      </c>
      <c r="I417" s="5">
        <v>0.76</v>
      </c>
    </row>
    <row r="418">
      <c r="A418" s="4" t="s">
        <v>770</v>
      </c>
      <c r="B418" s="5">
        <v>650.0</v>
      </c>
      <c r="C418" s="5">
        <v>14.0</v>
      </c>
      <c r="D418" s="5">
        <v>10.4</v>
      </c>
      <c r="E418" s="5" t="s">
        <v>1417</v>
      </c>
      <c r="F418" s="5" t="s">
        <v>1417</v>
      </c>
      <c r="G418" s="5">
        <v>5.49</v>
      </c>
      <c r="I418" s="5">
        <v>0.28</v>
      </c>
    </row>
    <row r="419">
      <c r="A419" s="4" t="s">
        <v>766</v>
      </c>
      <c r="B419" s="5">
        <v>647.0</v>
      </c>
      <c r="C419" s="5">
        <v>19.3</v>
      </c>
      <c r="D419" s="5">
        <v>14.5</v>
      </c>
      <c r="E419" s="5" t="s">
        <v>1417</v>
      </c>
      <c r="F419" s="5" t="s">
        <v>1417</v>
      </c>
      <c r="G419" s="5">
        <v>6.67</v>
      </c>
      <c r="I419" s="5">
        <v>0.67</v>
      </c>
    </row>
    <row r="420">
      <c r="A420" s="4" t="s">
        <v>1340</v>
      </c>
      <c r="B420" s="5">
        <v>640.0</v>
      </c>
      <c r="C420" s="5">
        <v>20.1</v>
      </c>
      <c r="D420" s="5">
        <v>13.6</v>
      </c>
      <c r="E420" s="5" t="s">
        <v>1417</v>
      </c>
      <c r="F420" s="5" t="s">
        <v>1417</v>
      </c>
      <c r="G420" s="5">
        <v>8.82</v>
      </c>
      <c r="I420" s="5">
        <v>0.91</v>
      </c>
    </row>
    <row r="421">
      <c r="A421" s="4" t="s">
        <v>762</v>
      </c>
      <c r="B421" s="5">
        <v>635.0</v>
      </c>
      <c r="C421" s="5">
        <v>20.2</v>
      </c>
      <c r="D421" s="5">
        <v>14.7</v>
      </c>
      <c r="E421" s="5" t="s">
        <v>1417</v>
      </c>
      <c r="F421" s="5" t="s">
        <v>1417</v>
      </c>
      <c r="G421" s="5">
        <v>8.95</v>
      </c>
      <c r="I421" s="5">
        <v>0.86</v>
      </c>
    </row>
    <row r="422">
      <c r="A422" s="4" t="s">
        <v>761</v>
      </c>
      <c r="B422" s="5">
        <v>632.0</v>
      </c>
      <c r="C422" s="5">
        <v>21.6</v>
      </c>
      <c r="D422" s="5">
        <v>24.2</v>
      </c>
      <c r="E422" s="5" t="s">
        <v>1417</v>
      </c>
      <c r="F422" s="5" t="s">
        <v>1417</v>
      </c>
      <c r="G422" s="5">
        <v>7.87</v>
      </c>
      <c r="I422" s="5">
        <v>0.4</v>
      </c>
    </row>
    <row r="423">
      <c r="A423" s="4" t="s">
        <v>1565</v>
      </c>
      <c r="B423" s="5">
        <v>624.0</v>
      </c>
      <c r="C423" s="5">
        <v>21.4</v>
      </c>
      <c r="D423" s="5">
        <v>14.9</v>
      </c>
      <c r="E423" s="5" t="s">
        <v>1417</v>
      </c>
      <c r="F423" s="5" t="s">
        <v>1417</v>
      </c>
      <c r="G423" s="5">
        <v>8.96</v>
      </c>
      <c r="I423" s="5">
        <v>0.76</v>
      </c>
    </row>
    <row r="424">
      <c r="A424" s="4" t="s">
        <v>1342</v>
      </c>
      <c r="B424" s="5">
        <v>651.0</v>
      </c>
      <c r="C424" s="5">
        <v>15.2</v>
      </c>
      <c r="D424" s="5">
        <v>8.3</v>
      </c>
      <c r="E424" s="5" t="s">
        <v>1417</v>
      </c>
      <c r="F424" s="5" t="s">
        <v>1417</v>
      </c>
      <c r="G424" s="5">
        <v>5.3</v>
      </c>
      <c r="I424" s="5">
        <v>0.47</v>
      </c>
    </row>
    <row r="425">
      <c r="A425" s="4" t="s">
        <v>1566</v>
      </c>
      <c r="B425" s="5">
        <v>623.0</v>
      </c>
      <c r="C425" s="5">
        <v>19.1</v>
      </c>
      <c r="D425" s="5">
        <v>10.2</v>
      </c>
      <c r="E425" s="5" t="s">
        <v>1417</v>
      </c>
      <c r="F425" s="5" t="s">
        <v>1417</v>
      </c>
      <c r="G425" s="5">
        <v>6.82</v>
      </c>
      <c r="I425" s="5">
        <v>0.44</v>
      </c>
    </row>
    <row r="426">
      <c r="A426" s="4" t="s">
        <v>1567</v>
      </c>
      <c r="B426" s="5">
        <v>644.0</v>
      </c>
      <c r="C426" s="5">
        <v>19.9</v>
      </c>
      <c r="D426" s="5">
        <v>14.8</v>
      </c>
      <c r="E426" s="5" t="s">
        <v>1417</v>
      </c>
      <c r="F426" s="5" t="s">
        <v>1417</v>
      </c>
      <c r="G426" s="5">
        <v>6.96</v>
      </c>
      <c r="I426" s="5">
        <v>0.38</v>
      </c>
    </row>
    <row r="427">
      <c r="A427" s="4" t="s">
        <v>1568</v>
      </c>
      <c r="B427" s="5">
        <v>646.0</v>
      </c>
      <c r="C427" s="5">
        <v>15.4</v>
      </c>
      <c r="D427" s="5">
        <v>10.0</v>
      </c>
      <c r="E427" s="5" t="s">
        <v>1417</v>
      </c>
      <c r="F427" s="5" t="s">
        <v>1417</v>
      </c>
      <c r="G427" s="5">
        <v>5.29</v>
      </c>
      <c r="I427" s="5">
        <v>0.31</v>
      </c>
    </row>
    <row r="428">
      <c r="A428" s="4" t="s">
        <v>1346</v>
      </c>
      <c r="B428" s="5">
        <v>639.0</v>
      </c>
      <c r="C428" s="5">
        <v>20.5</v>
      </c>
      <c r="D428" s="5">
        <v>10.6</v>
      </c>
      <c r="E428" s="5" t="s">
        <v>1417</v>
      </c>
      <c r="F428" s="5" t="s">
        <v>1417</v>
      </c>
      <c r="G428" s="5">
        <v>7.05</v>
      </c>
      <c r="I428" s="5">
        <v>0.52</v>
      </c>
    </row>
    <row r="429">
      <c r="A429" s="4" t="s">
        <v>1347</v>
      </c>
      <c r="B429" s="5">
        <v>634.0</v>
      </c>
      <c r="C429" s="5">
        <v>19.2</v>
      </c>
      <c r="D429" s="5">
        <v>12.5</v>
      </c>
      <c r="E429" s="5" t="s">
        <v>1417</v>
      </c>
      <c r="F429" s="5" t="s">
        <v>1417</v>
      </c>
      <c r="G429" s="5">
        <v>7.32</v>
      </c>
      <c r="I429" s="5">
        <v>0.51</v>
      </c>
    </row>
    <row r="430">
      <c r="A430" s="4" t="s">
        <v>763</v>
      </c>
      <c r="B430" s="5">
        <v>631.0</v>
      </c>
      <c r="C430" s="5">
        <v>18.8</v>
      </c>
      <c r="D430" s="5">
        <v>13.1</v>
      </c>
      <c r="E430" s="5" t="s">
        <v>1417</v>
      </c>
      <c r="F430" s="5" t="s">
        <v>1417</v>
      </c>
      <c r="G430" s="5">
        <v>7.0</v>
      </c>
      <c r="I430" s="5">
        <v>0.26</v>
      </c>
    </row>
    <row r="431">
      <c r="A431" s="4" t="s">
        <v>1569</v>
      </c>
      <c r="B431" s="5">
        <v>629.0</v>
      </c>
      <c r="C431" s="5">
        <v>19.7</v>
      </c>
      <c r="D431" s="5">
        <v>22.9</v>
      </c>
      <c r="E431" s="5" t="s">
        <v>1417</v>
      </c>
      <c r="F431" s="5" t="s">
        <v>1417</v>
      </c>
      <c r="G431" s="5">
        <v>6.88</v>
      </c>
      <c r="I431" s="5">
        <v>0.26</v>
      </c>
    </row>
    <row r="432">
      <c r="A432" s="4" t="s">
        <v>1570</v>
      </c>
      <c r="B432" s="5">
        <v>628.0</v>
      </c>
      <c r="C432" s="5">
        <v>17.9</v>
      </c>
      <c r="D432" s="5">
        <v>12.7</v>
      </c>
      <c r="E432" s="5" t="s">
        <v>1417</v>
      </c>
      <c r="F432" s="5" t="s">
        <v>1417</v>
      </c>
      <c r="G432" s="5">
        <v>5.98</v>
      </c>
      <c r="I432" s="5">
        <v>0.23</v>
      </c>
    </row>
    <row r="433">
      <c r="A433" s="4" t="s">
        <v>1571</v>
      </c>
      <c r="B433" s="5">
        <v>622.0</v>
      </c>
      <c r="C433" s="5">
        <v>13.4</v>
      </c>
      <c r="D433" s="5">
        <v>6.8</v>
      </c>
      <c r="E433" s="5" t="s">
        <v>1417</v>
      </c>
      <c r="F433" s="5" t="s">
        <v>1417</v>
      </c>
      <c r="G433" s="5">
        <v>4.07</v>
      </c>
      <c r="I433" s="5">
        <v>0.12</v>
      </c>
    </row>
    <row r="434">
      <c r="A434" s="4" t="s">
        <v>769</v>
      </c>
      <c r="B434" s="5">
        <v>630.0</v>
      </c>
      <c r="C434" s="5">
        <v>16.3</v>
      </c>
      <c r="D434" s="5">
        <v>9.2</v>
      </c>
      <c r="E434" s="5" t="s">
        <v>1417</v>
      </c>
      <c r="F434" s="5" t="s">
        <v>1417</v>
      </c>
      <c r="G434" s="5">
        <v>4.08</v>
      </c>
      <c r="I434" s="5">
        <v>0.12</v>
      </c>
    </row>
    <row r="435">
      <c r="A435" s="4" t="s">
        <v>1348</v>
      </c>
      <c r="B435" s="5">
        <v>633.0</v>
      </c>
      <c r="C435" s="5">
        <v>14.8</v>
      </c>
      <c r="D435" s="5">
        <v>6.3</v>
      </c>
      <c r="E435" s="5" t="s">
        <v>1417</v>
      </c>
      <c r="F435" s="5" t="s">
        <v>1417</v>
      </c>
      <c r="G435" s="5">
        <v>4.73</v>
      </c>
      <c r="I435" s="5">
        <v>0.16</v>
      </c>
    </row>
    <row r="436">
      <c r="A436" s="4" t="s">
        <v>1349</v>
      </c>
      <c r="B436" s="5">
        <v>638.0</v>
      </c>
      <c r="C436" s="5">
        <v>14.1</v>
      </c>
      <c r="D436" s="5">
        <v>7.7</v>
      </c>
      <c r="E436" s="5" t="s">
        <v>1417</v>
      </c>
      <c r="F436" s="5" t="s">
        <v>1417</v>
      </c>
      <c r="G436" s="5">
        <v>4.79</v>
      </c>
      <c r="I436" s="5">
        <v>0.19</v>
      </c>
    </row>
    <row r="437">
      <c r="A437" s="4" t="s">
        <v>1572</v>
      </c>
      <c r="B437" s="5">
        <v>643.0</v>
      </c>
      <c r="C437" s="5">
        <v>12.0</v>
      </c>
      <c r="D437" s="5">
        <v>8.4</v>
      </c>
      <c r="E437" s="5" t="s">
        <v>351</v>
      </c>
      <c r="F437" s="5" t="s">
        <v>1417</v>
      </c>
      <c r="G437" s="5">
        <v>4.15</v>
      </c>
      <c r="I437" s="5">
        <v>0.12</v>
      </c>
    </row>
    <row r="438">
      <c r="A438" s="4"/>
    </row>
    <row r="439">
      <c r="A439" s="4" t="s">
        <v>771</v>
      </c>
    </row>
    <row r="440">
      <c r="A440" s="4" t="s">
        <v>772</v>
      </c>
    </row>
    <row r="441">
      <c r="A441" s="4" t="s">
        <v>774</v>
      </c>
    </row>
    <row r="442">
      <c r="A442" s="4" t="s">
        <v>1353</v>
      </c>
    </row>
    <row r="443">
      <c r="A443" s="4" t="s">
        <v>779</v>
      </c>
    </row>
    <row r="444">
      <c r="A444" s="4" t="s">
        <v>780</v>
      </c>
    </row>
    <row r="445">
      <c r="A445" s="4" t="s">
        <v>1356</v>
      </c>
    </row>
    <row r="446">
      <c r="A446" s="4" t="s">
        <v>1573</v>
      </c>
    </row>
    <row r="447">
      <c r="A447" s="4" t="s">
        <v>1360</v>
      </c>
    </row>
    <row r="448">
      <c r="A448" s="4" t="s">
        <v>781</v>
      </c>
    </row>
    <row r="449">
      <c r="A449" s="4" t="s">
        <v>1359</v>
      </c>
    </row>
    <row r="450">
      <c r="A450" s="4" t="s">
        <v>1574</v>
      </c>
    </row>
    <row r="451">
      <c r="A451" s="4" t="s">
        <v>1575</v>
      </c>
    </row>
    <row r="452">
      <c r="A452" s="4" t="s">
        <v>1576</v>
      </c>
    </row>
    <row r="453">
      <c r="A453" s="4" t="s">
        <v>1577</v>
      </c>
    </row>
    <row r="454">
      <c r="A454" s="4" t="s">
        <v>1363</v>
      </c>
    </row>
    <row r="455">
      <c r="A455" s="4" t="s">
        <v>1578</v>
      </c>
    </row>
    <row r="456">
      <c r="A456" s="4" t="s">
        <v>1579</v>
      </c>
    </row>
    <row r="457">
      <c r="A457" s="4"/>
    </row>
    <row r="458">
      <c r="A458" s="4" t="s">
        <v>796</v>
      </c>
      <c r="B458" s="5">
        <v>808.0</v>
      </c>
      <c r="C458" s="5">
        <v>30.0</v>
      </c>
      <c r="D458" s="5">
        <v>16.3</v>
      </c>
      <c r="E458" s="5" t="s">
        <v>1417</v>
      </c>
      <c r="F458" s="5" t="s">
        <v>1417</v>
      </c>
      <c r="G458" s="5">
        <v>12.28</v>
      </c>
      <c r="I458" s="5">
        <v>4.46</v>
      </c>
    </row>
    <row r="459">
      <c r="A459" s="4" t="s">
        <v>797</v>
      </c>
      <c r="B459" s="5">
        <v>807.0</v>
      </c>
      <c r="C459" s="5">
        <v>20.4</v>
      </c>
      <c r="D459" s="5">
        <v>12.5</v>
      </c>
      <c r="E459" s="5" t="s">
        <v>1417</v>
      </c>
      <c r="F459" s="5" t="s">
        <v>1417</v>
      </c>
      <c r="G459" s="5">
        <v>12.37</v>
      </c>
      <c r="I459" s="5">
        <v>5.27</v>
      </c>
    </row>
    <row r="460">
      <c r="A460" s="4" t="s">
        <v>798</v>
      </c>
      <c r="B460" s="5">
        <v>806.0</v>
      </c>
      <c r="C460" s="5">
        <v>28.2</v>
      </c>
      <c r="D460" s="5">
        <v>23.5</v>
      </c>
      <c r="E460" s="5" t="s">
        <v>1417</v>
      </c>
      <c r="F460" s="5" t="s">
        <v>1417</v>
      </c>
      <c r="G460" s="5">
        <v>12.43</v>
      </c>
      <c r="I460" s="5">
        <v>4.16</v>
      </c>
    </row>
    <row r="461">
      <c r="A461" s="4" t="s">
        <v>1366</v>
      </c>
      <c r="B461" s="5">
        <v>778.0</v>
      </c>
      <c r="C461" s="5">
        <v>18.2</v>
      </c>
      <c r="D461" s="5">
        <v>15.6</v>
      </c>
      <c r="E461" s="5" t="s">
        <v>1417</v>
      </c>
      <c r="F461" s="5" t="s">
        <v>1417</v>
      </c>
      <c r="G461" s="5">
        <v>9.65</v>
      </c>
      <c r="I461" s="5">
        <v>2.54</v>
      </c>
    </row>
    <row r="462">
      <c r="A462" s="4" t="s">
        <v>799</v>
      </c>
      <c r="B462" s="5">
        <v>789.0</v>
      </c>
      <c r="C462" s="5">
        <v>33.0</v>
      </c>
      <c r="D462" s="5">
        <v>28.2</v>
      </c>
      <c r="E462" s="5" t="s">
        <v>1417</v>
      </c>
      <c r="F462" s="5" t="s">
        <v>1417</v>
      </c>
      <c r="G462" s="5">
        <v>8.36</v>
      </c>
      <c r="I462" s="5">
        <v>1.46</v>
      </c>
    </row>
    <row r="463">
      <c r="A463" s="4" t="s">
        <v>1371</v>
      </c>
      <c r="B463" s="5">
        <v>799.0</v>
      </c>
      <c r="C463" s="5">
        <v>25.8</v>
      </c>
      <c r="D463" s="5">
        <v>24.1</v>
      </c>
      <c r="E463" s="5" t="s">
        <v>1417</v>
      </c>
      <c r="F463" s="5" t="s">
        <v>1417</v>
      </c>
      <c r="G463" s="5">
        <v>8.25</v>
      </c>
      <c r="I463" s="5">
        <v>0.73</v>
      </c>
    </row>
    <row r="464">
      <c r="A464" s="4" t="s">
        <v>1368</v>
      </c>
      <c r="B464" s="5">
        <v>795.0</v>
      </c>
      <c r="C464" s="5">
        <v>34.4</v>
      </c>
      <c r="D464" s="5">
        <v>30.1</v>
      </c>
      <c r="E464" s="5" t="s">
        <v>1417</v>
      </c>
      <c r="F464" s="5" t="s">
        <v>1417</v>
      </c>
      <c r="G464" s="5">
        <v>9.92</v>
      </c>
      <c r="I464" s="5">
        <v>1.26</v>
      </c>
    </row>
    <row r="465">
      <c r="A465" s="9" t="s">
        <v>801</v>
      </c>
      <c r="B465" s="5">
        <v>788.0</v>
      </c>
      <c r="C465" s="5">
        <v>27.1</v>
      </c>
      <c r="D465" s="5">
        <v>20.0</v>
      </c>
      <c r="E465" s="5" t="s">
        <v>1417</v>
      </c>
      <c r="F465" s="5" t="s">
        <v>1417</v>
      </c>
      <c r="G465" s="5">
        <v>9.69</v>
      </c>
      <c r="I465" s="5">
        <v>1.23</v>
      </c>
    </row>
    <row r="466">
      <c r="A466" s="4" t="s">
        <v>1369</v>
      </c>
      <c r="B466" s="5">
        <v>777.0</v>
      </c>
      <c r="C466" s="5">
        <v>25.1</v>
      </c>
      <c r="D466" s="5">
        <v>24.6</v>
      </c>
      <c r="E466" s="5" t="s">
        <v>1417</v>
      </c>
      <c r="F466" s="5" t="s">
        <v>1417</v>
      </c>
      <c r="G466" s="5">
        <v>9.93</v>
      </c>
      <c r="I466" s="5">
        <v>1.89</v>
      </c>
    </row>
    <row r="467">
      <c r="A467" s="4" t="s">
        <v>1373</v>
      </c>
      <c r="B467" s="5">
        <v>776.0</v>
      </c>
      <c r="C467" s="5">
        <v>26.3</v>
      </c>
      <c r="D467" s="5">
        <v>19.7</v>
      </c>
      <c r="E467" s="5" t="s">
        <v>1417</v>
      </c>
      <c r="F467" s="5" t="s">
        <v>1417</v>
      </c>
      <c r="G467" s="5">
        <v>8.64</v>
      </c>
      <c r="I467" s="5">
        <v>1.22</v>
      </c>
    </row>
    <row r="468">
      <c r="A468" s="4" t="s">
        <v>800</v>
      </c>
      <c r="B468" s="5">
        <v>805.0</v>
      </c>
      <c r="C468" s="5">
        <v>38.2</v>
      </c>
      <c r="D468" s="5">
        <v>20.8</v>
      </c>
      <c r="E468" s="5" t="s">
        <v>1417</v>
      </c>
      <c r="F468" s="5" t="s">
        <v>1417</v>
      </c>
      <c r="G468" s="5">
        <v>10.08</v>
      </c>
      <c r="I468" s="5">
        <v>1.21</v>
      </c>
    </row>
    <row r="469">
      <c r="A469" s="4" t="s">
        <v>806</v>
      </c>
      <c r="B469" s="5">
        <v>802.0</v>
      </c>
      <c r="C469" s="5">
        <v>30.9</v>
      </c>
      <c r="D469" s="5">
        <v>16.5</v>
      </c>
      <c r="E469" s="5">
        <v>5.6</v>
      </c>
      <c r="F469" s="5" t="s">
        <v>1417</v>
      </c>
      <c r="G469" s="5">
        <v>8.1</v>
      </c>
      <c r="I469" s="5">
        <v>0.78</v>
      </c>
    </row>
    <row r="470">
      <c r="A470" s="4" t="s">
        <v>1375</v>
      </c>
      <c r="B470" s="5">
        <v>798.0</v>
      </c>
      <c r="C470" s="5">
        <v>21.6</v>
      </c>
      <c r="D470" s="5">
        <v>17.1</v>
      </c>
      <c r="E470" s="5" t="s">
        <v>1417</v>
      </c>
      <c r="F470" s="5" t="s">
        <v>1417</v>
      </c>
      <c r="G470" s="5">
        <v>7.17</v>
      </c>
      <c r="I470" s="5">
        <v>0.54</v>
      </c>
    </row>
    <row r="471">
      <c r="A471" s="4" t="s">
        <v>1372</v>
      </c>
      <c r="B471" s="5">
        <v>794.0</v>
      </c>
      <c r="C471" s="5">
        <v>23.8</v>
      </c>
      <c r="D471" s="5">
        <v>16.0</v>
      </c>
      <c r="E471" s="5" t="s">
        <v>1417</v>
      </c>
      <c r="F471" s="5" t="s">
        <v>1417</v>
      </c>
      <c r="G471" s="5">
        <v>9.69</v>
      </c>
      <c r="I471" s="5">
        <v>1.03</v>
      </c>
    </row>
    <row r="472">
      <c r="A472" s="4" t="s">
        <v>803</v>
      </c>
      <c r="B472" s="5">
        <v>787.0</v>
      </c>
      <c r="C472" s="5">
        <v>22.3</v>
      </c>
      <c r="D472" s="5">
        <v>13.6</v>
      </c>
      <c r="E472" s="5" t="s">
        <v>1417</v>
      </c>
      <c r="F472" s="5" t="s">
        <v>1417</v>
      </c>
      <c r="G472" s="5">
        <v>8.15</v>
      </c>
      <c r="I472" s="5">
        <v>1.09</v>
      </c>
    </row>
    <row r="473">
      <c r="A473" s="4" t="s">
        <v>1580</v>
      </c>
      <c r="B473" s="5">
        <v>785.0</v>
      </c>
      <c r="C473" s="5">
        <v>32.6</v>
      </c>
      <c r="D473" s="5">
        <v>19.3</v>
      </c>
      <c r="E473" s="5" t="s">
        <v>1417</v>
      </c>
      <c r="F473" s="5" t="s">
        <v>1417</v>
      </c>
      <c r="G473" s="5">
        <v>6.66</v>
      </c>
      <c r="I473" s="5">
        <v>0.48</v>
      </c>
    </row>
    <row r="474">
      <c r="A474" s="4" t="s">
        <v>1581</v>
      </c>
      <c r="B474" s="5">
        <v>782.0</v>
      </c>
      <c r="C474" s="5">
        <v>29.8</v>
      </c>
      <c r="D474" s="5">
        <v>27.7</v>
      </c>
      <c r="E474" s="5" t="s">
        <v>1417</v>
      </c>
      <c r="F474" s="5" t="s">
        <v>1417</v>
      </c>
      <c r="G474" s="5">
        <v>9.38</v>
      </c>
      <c r="I474" s="5">
        <v>0.68</v>
      </c>
    </row>
    <row r="475">
      <c r="A475" s="4" t="s">
        <v>1378</v>
      </c>
      <c r="B475" s="5">
        <v>775.0</v>
      </c>
      <c r="C475" s="5">
        <v>22.3</v>
      </c>
      <c r="D475" s="5">
        <v>17.2</v>
      </c>
      <c r="E475" s="5" t="s">
        <v>1417</v>
      </c>
      <c r="F475" s="5" t="s">
        <v>1417</v>
      </c>
      <c r="G475" s="5">
        <v>8.52</v>
      </c>
      <c r="I475" s="5">
        <v>0.88</v>
      </c>
    </row>
    <row r="476">
      <c r="A476" s="4" t="s">
        <v>802</v>
      </c>
      <c r="B476" s="5">
        <v>804.0</v>
      </c>
      <c r="C476" s="5">
        <v>21.1</v>
      </c>
      <c r="D476" s="5">
        <v>13.3</v>
      </c>
      <c r="E476" s="5" t="s">
        <v>1417</v>
      </c>
      <c r="F476" s="5" t="s">
        <v>1417</v>
      </c>
      <c r="G476" s="5">
        <v>8.65</v>
      </c>
      <c r="I476" s="5">
        <v>0.91</v>
      </c>
    </row>
    <row r="477">
      <c r="A477" s="4" t="s">
        <v>807</v>
      </c>
      <c r="B477" s="5">
        <v>803.0</v>
      </c>
      <c r="C477" s="5">
        <v>17.4</v>
      </c>
      <c r="D477" s="5">
        <v>9.7</v>
      </c>
      <c r="E477" s="5" t="s">
        <v>1417</v>
      </c>
      <c r="F477" s="5" t="s">
        <v>1417</v>
      </c>
      <c r="G477" s="5">
        <v>2.01</v>
      </c>
      <c r="I477" s="5">
        <v>0.22</v>
      </c>
    </row>
    <row r="478">
      <c r="A478" s="4" t="s">
        <v>1582</v>
      </c>
      <c r="B478" s="5">
        <v>801.0</v>
      </c>
      <c r="C478" s="5">
        <v>12.4</v>
      </c>
      <c r="D478" s="5">
        <v>11.8</v>
      </c>
      <c r="E478" s="5" t="s">
        <v>1417</v>
      </c>
      <c r="F478" s="5" t="s">
        <v>1417</v>
      </c>
      <c r="G478" s="5">
        <v>6.58</v>
      </c>
      <c r="I478" s="5">
        <v>0.52</v>
      </c>
    </row>
    <row r="479">
      <c r="A479" s="4" t="s">
        <v>1376</v>
      </c>
      <c r="B479" s="5">
        <v>793.0</v>
      </c>
      <c r="C479" s="5">
        <v>21.3</v>
      </c>
      <c r="D479" s="5">
        <v>13.5</v>
      </c>
      <c r="E479" s="5" t="s">
        <v>1417</v>
      </c>
      <c r="F479" s="5" t="s">
        <v>1417</v>
      </c>
      <c r="G479" s="5">
        <v>7.2</v>
      </c>
      <c r="I479" s="5">
        <v>0.7</v>
      </c>
    </row>
    <row r="480">
      <c r="A480" s="4" t="s">
        <v>1583</v>
      </c>
      <c r="B480" s="5">
        <v>781.0</v>
      </c>
      <c r="C480" s="5">
        <v>24.6</v>
      </c>
      <c r="D480" s="5">
        <v>16.2</v>
      </c>
      <c r="E480" s="5" t="s">
        <v>1417</v>
      </c>
      <c r="F480" s="5" t="s">
        <v>1417</v>
      </c>
      <c r="G480" s="5">
        <v>8.93</v>
      </c>
      <c r="I480" s="5">
        <v>0.64</v>
      </c>
    </row>
    <row r="481">
      <c r="A481" s="4" t="s">
        <v>1377</v>
      </c>
      <c r="B481" s="5">
        <v>791.0</v>
      </c>
      <c r="C481" s="5">
        <v>23.1</v>
      </c>
      <c r="D481" s="5">
        <v>16.3</v>
      </c>
      <c r="E481" s="5" t="s">
        <v>1417</v>
      </c>
      <c r="F481" s="5" t="s">
        <v>1417</v>
      </c>
      <c r="G481" s="5">
        <v>7.27</v>
      </c>
      <c r="I481" s="5">
        <v>0.28</v>
      </c>
    </row>
    <row r="482">
      <c r="A482" s="4" t="s">
        <v>1383</v>
      </c>
      <c r="B482" s="5">
        <v>797.0</v>
      </c>
      <c r="C482" s="5">
        <v>17.7</v>
      </c>
      <c r="D482" s="5">
        <v>11.8</v>
      </c>
      <c r="E482" s="5" t="s">
        <v>1417</v>
      </c>
      <c r="F482" s="5" t="s">
        <v>1417</v>
      </c>
      <c r="G482" s="5">
        <v>6.59</v>
      </c>
      <c r="I482" s="5">
        <v>0.41</v>
      </c>
    </row>
    <row r="483">
      <c r="A483" s="4" t="s">
        <v>1584</v>
      </c>
      <c r="B483" s="5">
        <v>780.0</v>
      </c>
      <c r="C483" s="5">
        <v>19.5</v>
      </c>
      <c r="D483" s="5">
        <v>15.8</v>
      </c>
      <c r="E483" s="5" t="s">
        <v>1417</v>
      </c>
      <c r="F483" s="5" t="s">
        <v>1417</v>
      </c>
      <c r="G483" s="5">
        <v>6.42</v>
      </c>
      <c r="I483" s="5">
        <v>0.44</v>
      </c>
    </row>
    <row r="484">
      <c r="A484" s="4" t="s">
        <v>1585</v>
      </c>
      <c r="B484" s="5">
        <v>784.0</v>
      </c>
      <c r="C484" s="5">
        <v>16.4</v>
      </c>
      <c r="D484" s="5">
        <v>12.7</v>
      </c>
      <c r="E484" s="5" t="s">
        <v>1417</v>
      </c>
      <c r="F484" s="5" t="s">
        <v>1417</v>
      </c>
      <c r="G484" s="5">
        <v>6.6</v>
      </c>
      <c r="I484" s="5">
        <v>0.33</v>
      </c>
    </row>
    <row r="485">
      <c r="A485" s="4" t="s">
        <v>1381</v>
      </c>
      <c r="B485" s="5">
        <v>774.0</v>
      </c>
      <c r="C485" s="5">
        <v>19.0</v>
      </c>
      <c r="D485" s="5">
        <v>12.1</v>
      </c>
      <c r="E485" s="5" t="s">
        <v>1417</v>
      </c>
      <c r="F485" s="5" t="s">
        <v>1417</v>
      </c>
      <c r="G485" s="5">
        <v>6.06</v>
      </c>
      <c r="I485" s="5">
        <v>0.51</v>
      </c>
    </row>
    <row r="486">
      <c r="A486" s="4" t="s">
        <v>1586</v>
      </c>
      <c r="B486" s="5">
        <v>772.0</v>
      </c>
      <c r="C486" s="5">
        <v>28.3</v>
      </c>
      <c r="D486" s="5">
        <v>14.8</v>
      </c>
      <c r="E486" s="5" t="s">
        <v>1417</v>
      </c>
      <c r="F486" s="5" t="s">
        <v>1417</v>
      </c>
      <c r="G486" s="5">
        <v>5.98</v>
      </c>
      <c r="I486" s="5">
        <v>0.43</v>
      </c>
    </row>
    <row r="487">
      <c r="A487" s="4" t="s">
        <v>1587</v>
      </c>
      <c r="B487" s="5">
        <v>771.0</v>
      </c>
      <c r="C487" s="5">
        <v>16.7</v>
      </c>
      <c r="D487" s="5">
        <v>9.2</v>
      </c>
      <c r="E487" s="5" t="s">
        <v>1417</v>
      </c>
      <c r="F487" s="5" t="s">
        <v>1417</v>
      </c>
      <c r="G487" s="5">
        <v>4.56</v>
      </c>
      <c r="I487" s="5">
        <v>0.16</v>
      </c>
    </row>
    <row r="488">
      <c r="A488" s="4" t="s">
        <v>1588</v>
      </c>
      <c r="B488" s="5">
        <v>783.0</v>
      </c>
      <c r="C488" s="5">
        <v>14.2</v>
      </c>
      <c r="D488" s="5">
        <v>6.8</v>
      </c>
      <c r="E488" s="5" t="s">
        <v>1417</v>
      </c>
      <c r="F488" s="5" t="s">
        <v>1417</v>
      </c>
      <c r="G488" s="5">
        <v>2.99</v>
      </c>
      <c r="I488" s="5">
        <v>0.06</v>
      </c>
    </row>
    <row r="489">
      <c r="A489" s="4" t="s">
        <v>805</v>
      </c>
      <c r="B489" s="5">
        <v>779.0</v>
      </c>
      <c r="C489" s="5">
        <v>16.1</v>
      </c>
      <c r="D489" s="5">
        <v>11.4</v>
      </c>
      <c r="E489" s="5" t="s">
        <v>1417</v>
      </c>
      <c r="F489" s="5" t="s">
        <v>1417</v>
      </c>
      <c r="G489" s="5">
        <v>5.03</v>
      </c>
      <c r="I489" s="5">
        <v>0.22</v>
      </c>
    </row>
    <row r="490">
      <c r="A490" s="4" t="s">
        <v>1589</v>
      </c>
      <c r="B490" s="5">
        <v>773.0</v>
      </c>
      <c r="C490" s="5">
        <v>17.9</v>
      </c>
      <c r="D490" s="5">
        <v>8.4</v>
      </c>
      <c r="E490" s="5" t="s">
        <v>1417</v>
      </c>
      <c r="F490" s="5" t="s">
        <v>1417</v>
      </c>
      <c r="G490" s="5">
        <v>4.11</v>
      </c>
      <c r="I490" s="5">
        <v>0.19</v>
      </c>
    </row>
    <row r="491">
      <c r="A491" s="4" t="s">
        <v>1590</v>
      </c>
      <c r="B491" s="5">
        <v>786.0</v>
      </c>
      <c r="C491" s="5">
        <v>11.3</v>
      </c>
      <c r="D491" s="5">
        <v>13.7</v>
      </c>
      <c r="E491" s="5" t="s">
        <v>1417</v>
      </c>
      <c r="F491" s="5" t="s">
        <v>1417</v>
      </c>
      <c r="G491" s="5">
        <v>2.79</v>
      </c>
      <c r="I491" s="5">
        <v>0.08</v>
      </c>
    </row>
    <row r="492">
      <c r="A492" s="4" t="s">
        <v>1382</v>
      </c>
      <c r="B492" s="5">
        <v>792.0</v>
      </c>
      <c r="C492" s="5">
        <v>17.6</v>
      </c>
      <c r="D492" s="5">
        <v>10.6</v>
      </c>
      <c r="E492" s="5" t="s">
        <v>1417</v>
      </c>
      <c r="F492" s="5" t="s">
        <v>1417</v>
      </c>
      <c r="G492" s="5">
        <v>5.65</v>
      </c>
      <c r="I492" s="5">
        <v>0.35</v>
      </c>
    </row>
    <row r="493">
      <c r="A493" s="4" t="s">
        <v>1380</v>
      </c>
      <c r="B493" s="5">
        <v>790.0</v>
      </c>
      <c r="C493" s="5">
        <v>13.7</v>
      </c>
      <c r="D493" s="5">
        <v>10.5</v>
      </c>
      <c r="E493" s="5" t="s">
        <v>1417</v>
      </c>
      <c r="F493" s="5" t="s">
        <v>1417</v>
      </c>
      <c r="G493" s="5">
        <v>3.14</v>
      </c>
      <c r="I493" s="5">
        <v>0.05</v>
      </c>
    </row>
    <row r="494">
      <c r="A494" s="4" t="s">
        <v>1591</v>
      </c>
      <c r="B494" s="5">
        <v>796.0</v>
      </c>
      <c r="C494" s="5">
        <v>14.8</v>
      </c>
      <c r="D494" s="5">
        <v>7.3</v>
      </c>
      <c r="E494" s="5" t="s">
        <v>1417</v>
      </c>
      <c r="F494" s="5" t="s">
        <v>1417</v>
      </c>
      <c r="G494" s="5">
        <v>3.57</v>
      </c>
      <c r="I494" s="5">
        <v>0.09</v>
      </c>
    </row>
    <row r="495">
      <c r="A495" s="4" t="s">
        <v>1592</v>
      </c>
      <c r="B495" s="5">
        <v>800.0</v>
      </c>
      <c r="C495" s="5">
        <v>12.7</v>
      </c>
      <c r="D495" s="5">
        <v>8.1</v>
      </c>
      <c r="E495" s="5" t="s">
        <v>1417</v>
      </c>
      <c r="F495" s="5" t="s">
        <v>1417</v>
      </c>
      <c r="G495" s="5">
        <v>3.76</v>
      </c>
      <c r="I495" s="5">
        <v>0.15</v>
      </c>
    </row>
    <row r="496">
      <c r="A496" s="4"/>
    </row>
    <row r="497">
      <c r="A497" s="4" t="s">
        <v>808</v>
      </c>
      <c r="B497" s="5">
        <v>686.0</v>
      </c>
      <c r="C497" s="5">
        <v>28.0</v>
      </c>
      <c r="D497" s="5">
        <v>13.1</v>
      </c>
      <c r="E497" s="5" t="s">
        <v>1417</v>
      </c>
      <c r="F497" s="5" t="s">
        <v>1417</v>
      </c>
      <c r="G497" s="5">
        <v>10.52</v>
      </c>
      <c r="I497" s="5">
        <v>3.43</v>
      </c>
    </row>
    <row r="498">
      <c r="A498" s="4" t="s">
        <v>812</v>
      </c>
      <c r="B498" s="5">
        <v>664.0</v>
      </c>
      <c r="C498" s="5">
        <v>27.2</v>
      </c>
      <c r="D498" s="5">
        <v>32.3</v>
      </c>
      <c r="E498" s="5" t="s">
        <v>1417</v>
      </c>
      <c r="F498" s="5" t="s">
        <v>1417</v>
      </c>
      <c r="G498" s="5">
        <v>9.27</v>
      </c>
      <c r="I498" s="5">
        <v>2.04</v>
      </c>
    </row>
    <row r="499">
      <c r="A499" s="4" t="s">
        <v>1593</v>
      </c>
      <c r="B499" s="5">
        <v>685.0</v>
      </c>
      <c r="C499" s="5">
        <v>31.1</v>
      </c>
      <c r="D499" s="5">
        <v>22.8</v>
      </c>
      <c r="E499" s="5">
        <v>5.9</v>
      </c>
      <c r="F499" s="5" t="s">
        <v>1417</v>
      </c>
      <c r="G499" s="5">
        <v>10.54</v>
      </c>
      <c r="I499" s="5">
        <v>2.39</v>
      </c>
    </row>
    <row r="500">
      <c r="A500" s="4" t="s">
        <v>817</v>
      </c>
      <c r="B500" s="5">
        <v>680.0</v>
      </c>
      <c r="C500" s="5">
        <v>32.2</v>
      </c>
      <c r="D500" s="5">
        <v>20.7</v>
      </c>
      <c r="E500" s="5" t="s">
        <v>1417</v>
      </c>
      <c r="F500" s="5" t="s">
        <v>1417</v>
      </c>
      <c r="G500" s="5">
        <v>8.39</v>
      </c>
      <c r="I500" s="5">
        <v>1.48</v>
      </c>
    </row>
    <row r="501">
      <c r="A501" s="4" t="s">
        <v>1384</v>
      </c>
      <c r="B501" s="5">
        <v>674.0</v>
      </c>
      <c r="C501" s="5">
        <v>30.7</v>
      </c>
      <c r="D501" s="5">
        <v>25.1</v>
      </c>
      <c r="E501" s="5" t="s">
        <v>1417</v>
      </c>
      <c r="F501" s="5" t="s">
        <v>1417</v>
      </c>
      <c r="G501" s="5">
        <v>9.24</v>
      </c>
      <c r="I501" s="5">
        <v>0.87</v>
      </c>
    </row>
    <row r="502">
      <c r="A502" s="4" t="s">
        <v>1594</v>
      </c>
      <c r="B502" s="5">
        <v>670.0</v>
      </c>
      <c r="C502" s="5">
        <v>41.3</v>
      </c>
      <c r="D502" s="5">
        <v>30.9</v>
      </c>
      <c r="E502" s="5" t="s">
        <v>1417</v>
      </c>
      <c r="F502" s="5" t="s">
        <v>1417</v>
      </c>
      <c r="G502" s="5">
        <v>9.0</v>
      </c>
      <c r="I502" s="5">
        <v>1.29</v>
      </c>
    </row>
    <row r="503">
      <c r="A503" s="4" t="s">
        <v>813</v>
      </c>
      <c r="B503" s="5">
        <v>661.0</v>
      </c>
      <c r="C503" s="5">
        <v>30.1</v>
      </c>
      <c r="D503" s="5">
        <v>21.5</v>
      </c>
      <c r="E503" s="5" t="s">
        <v>1417</v>
      </c>
      <c r="F503" s="5" t="s">
        <v>1417</v>
      </c>
      <c r="G503" s="5">
        <v>9.11</v>
      </c>
      <c r="I503" s="5">
        <v>1.31</v>
      </c>
    </row>
    <row r="504">
      <c r="A504" s="4" t="s">
        <v>1595</v>
      </c>
      <c r="B504" s="5">
        <v>684.0</v>
      </c>
      <c r="C504" s="5">
        <v>38.6</v>
      </c>
      <c r="D504" s="5">
        <v>20.8</v>
      </c>
      <c r="E504" s="5" t="s">
        <v>1417</v>
      </c>
      <c r="F504" s="5" t="s">
        <v>1417</v>
      </c>
      <c r="G504" s="5">
        <v>8.36</v>
      </c>
      <c r="I504" s="5">
        <v>0.84</v>
      </c>
    </row>
    <row r="505">
      <c r="A505" s="4" t="s">
        <v>819</v>
      </c>
      <c r="B505" s="5">
        <v>677.0</v>
      </c>
      <c r="C505" s="5">
        <v>26.8</v>
      </c>
      <c r="D505" s="5">
        <v>19.9</v>
      </c>
      <c r="E505" s="5" t="s">
        <v>1417</v>
      </c>
      <c r="F505" s="5" t="s">
        <v>1417</v>
      </c>
      <c r="G505" s="5">
        <v>8.4</v>
      </c>
      <c r="I505" s="5">
        <v>1.06</v>
      </c>
    </row>
    <row r="506">
      <c r="A506" s="4" t="s">
        <v>1388</v>
      </c>
      <c r="B506" s="5">
        <v>673.0</v>
      </c>
      <c r="C506" s="5">
        <v>24.8</v>
      </c>
      <c r="D506" s="5">
        <v>20.9</v>
      </c>
      <c r="E506" s="5" t="s">
        <v>1417</v>
      </c>
      <c r="F506" s="5" t="s">
        <v>1417</v>
      </c>
      <c r="G506" s="5">
        <v>8.22</v>
      </c>
      <c r="I506" s="5">
        <v>0.71</v>
      </c>
    </row>
    <row r="507">
      <c r="A507" s="4" t="s">
        <v>1596</v>
      </c>
      <c r="B507" s="5">
        <v>669.0</v>
      </c>
      <c r="C507" s="5">
        <v>26.3</v>
      </c>
      <c r="D507" s="5">
        <v>20.6</v>
      </c>
      <c r="E507" s="5" t="s">
        <v>1417</v>
      </c>
      <c r="F507" s="5" t="s">
        <v>1417</v>
      </c>
      <c r="G507" s="5">
        <v>8.81</v>
      </c>
      <c r="I507" s="5">
        <v>0.98</v>
      </c>
    </row>
    <row r="508">
      <c r="A508" s="4" t="s">
        <v>816</v>
      </c>
      <c r="B508" s="5">
        <v>660.0</v>
      </c>
      <c r="C508" s="5">
        <v>26.0</v>
      </c>
      <c r="D508" s="5">
        <v>17.2</v>
      </c>
      <c r="E508" s="5" t="s">
        <v>1417</v>
      </c>
      <c r="F508" s="5" t="s">
        <v>1417</v>
      </c>
      <c r="G508" s="5">
        <v>7.25</v>
      </c>
      <c r="I508" s="5">
        <v>0.88</v>
      </c>
    </row>
    <row r="509">
      <c r="A509" s="4" t="s">
        <v>1387</v>
      </c>
      <c r="B509" s="5">
        <v>681.0</v>
      </c>
      <c r="C509" s="5">
        <v>21.7</v>
      </c>
      <c r="D509" s="5">
        <v>14.0</v>
      </c>
      <c r="E509" s="5" t="s">
        <v>1417</v>
      </c>
      <c r="F509" s="5" t="s">
        <v>1417</v>
      </c>
      <c r="G509" s="5">
        <v>4.93</v>
      </c>
      <c r="I509" s="5">
        <v>0.23</v>
      </c>
    </row>
    <row r="510">
      <c r="A510" s="4" t="s">
        <v>831</v>
      </c>
      <c r="B510" s="5">
        <v>676.0</v>
      </c>
      <c r="C510" s="5">
        <v>23.3</v>
      </c>
      <c r="D510" s="5">
        <v>14.5</v>
      </c>
      <c r="E510" s="5" t="s">
        <v>1417</v>
      </c>
      <c r="F510" s="5" t="s">
        <v>1417</v>
      </c>
      <c r="G510" s="5">
        <v>6.73</v>
      </c>
      <c r="I510" s="5">
        <v>0.62</v>
      </c>
    </row>
    <row r="511">
      <c r="A511" s="4" t="s">
        <v>820</v>
      </c>
      <c r="B511" s="5">
        <v>679.0</v>
      </c>
      <c r="C511" s="5">
        <v>30.5</v>
      </c>
      <c r="D511" s="5">
        <v>21.8</v>
      </c>
      <c r="E511" s="5" t="s">
        <v>1417</v>
      </c>
      <c r="F511" s="5" t="s">
        <v>1417</v>
      </c>
      <c r="G511" s="5">
        <v>6.24</v>
      </c>
      <c r="I511" s="5">
        <v>0.42</v>
      </c>
    </row>
    <row r="512">
      <c r="A512" s="4" t="s">
        <v>1597</v>
      </c>
      <c r="B512" s="5">
        <v>683.0</v>
      </c>
      <c r="C512" s="5">
        <v>26.7</v>
      </c>
      <c r="D512" s="5">
        <v>15.8</v>
      </c>
      <c r="E512" s="5" t="s">
        <v>1417</v>
      </c>
      <c r="F512" s="5" t="s">
        <v>1417</v>
      </c>
      <c r="G512" s="5">
        <v>7.97</v>
      </c>
      <c r="I512" s="5">
        <v>0.73</v>
      </c>
    </row>
    <row r="513">
      <c r="A513" s="4" t="s">
        <v>1598</v>
      </c>
      <c r="B513" s="5">
        <v>682.0</v>
      </c>
      <c r="C513" s="5">
        <v>21.1</v>
      </c>
      <c r="D513" s="5">
        <v>11.5</v>
      </c>
      <c r="E513" s="5" t="s">
        <v>1417</v>
      </c>
      <c r="F513" s="5" t="s">
        <v>1417</v>
      </c>
      <c r="G513" s="5">
        <v>6.16</v>
      </c>
      <c r="I513" s="5">
        <v>0.37</v>
      </c>
    </row>
    <row r="514">
      <c r="A514" s="4" t="s">
        <v>1390</v>
      </c>
      <c r="B514" s="5">
        <v>672.0</v>
      </c>
      <c r="C514" s="5">
        <v>21.4</v>
      </c>
      <c r="D514" s="5">
        <v>15.6</v>
      </c>
      <c r="E514" s="5" t="s">
        <v>1417</v>
      </c>
      <c r="F514" s="5" t="s">
        <v>1417</v>
      </c>
      <c r="G514" s="5">
        <v>6.67</v>
      </c>
      <c r="I514" s="5">
        <v>0.45</v>
      </c>
    </row>
    <row r="515">
      <c r="A515" s="4" t="s">
        <v>1599</v>
      </c>
      <c r="B515" s="5">
        <v>668.0</v>
      </c>
      <c r="C515" s="5">
        <v>24.5</v>
      </c>
      <c r="D515" s="5">
        <v>17.0</v>
      </c>
      <c r="E515" s="5" t="s">
        <v>1417</v>
      </c>
      <c r="F515" s="5" t="s">
        <v>1417</v>
      </c>
      <c r="G515" s="5">
        <v>8.08</v>
      </c>
      <c r="I515" s="5">
        <v>0.69</v>
      </c>
    </row>
    <row r="516">
      <c r="A516" s="4" t="s">
        <v>824</v>
      </c>
      <c r="B516" s="5">
        <v>666.0</v>
      </c>
      <c r="C516" s="5">
        <v>24.6</v>
      </c>
      <c r="D516" s="5">
        <v>14.4</v>
      </c>
      <c r="E516" s="5" t="s">
        <v>1417</v>
      </c>
      <c r="F516" s="5" t="s">
        <v>1417</v>
      </c>
      <c r="G516" s="5">
        <v>6.86</v>
      </c>
      <c r="I516" s="5">
        <v>0.42</v>
      </c>
    </row>
    <row r="517">
      <c r="A517" s="4" t="s">
        <v>822</v>
      </c>
      <c r="B517" s="5">
        <v>658.0</v>
      </c>
      <c r="C517" s="5">
        <v>21.7</v>
      </c>
      <c r="D517" s="5">
        <v>14.6</v>
      </c>
      <c r="E517" s="5" t="s">
        <v>1417</v>
      </c>
      <c r="F517" s="5" t="s">
        <v>1417</v>
      </c>
      <c r="G517" s="5">
        <v>5.73</v>
      </c>
      <c r="I517" s="5">
        <v>0.46</v>
      </c>
    </row>
    <row r="518">
      <c r="A518" s="4" t="s">
        <v>1600</v>
      </c>
      <c r="B518" s="5">
        <v>659.0</v>
      </c>
      <c r="C518" s="5">
        <v>24.3</v>
      </c>
      <c r="D518" s="5">
        <v>16.5</v>
      </c>
      <c r="E518" s="5" t="s">
        <v>1417</v>
      </c>
      <c r="F518" s="5" t="s">
        <v>1417</v>
      </c>
      <c r="G518" s="5">
        <v>5.12</v>
      </c>
      <c r="I518" s="5">
        <v>0.28</v>
      </c>
    </row>
    <row r="519">
      <c r="A519" s="4" t="s">
        <v>1601</v>
      </c>
      <c r="B519" s="5">
        <v>663.0</v>
      </c>
      <c r="C519" s="5">
        <v>19.5</v>
      </c>
      <c r="D519" s="5">
        <v>18.0</v>
      </c>
      <c r="E519" s="5" t="s">
        <v>1417</v>
      </c>
      <c r="F519" s="5" t="s">
        <v>1417</v>
      </c>
      <c r="G519" s="5">
        <v>5.95</v>
      </c>
      <c r="I519" s="5">
        <v>0.3</v>
      </c>
    </row>
    <row r="520">
      <c r="A520" s="4" t="s">
        <v>1602</v>
      </c>
      <c r="B520" s="5">
        <v>662.0</v>
      </c>
      <c r="C520" s="5">
        <v>12.8</v>
      </c>
      <c r="D520" s="5">
        <v>13.3</v>
      </c>
      <c r="E520" s="5" t="s">
        <v>1417</v>
      </c>
      <c r="F520" s="5" t="s">
        <v>1417</v>
      </c>
      <c r="G520" s="5">
        <v>4.78</v>
      </c>
      <c r="I520" s="5">
        <v>0.16</v>
      </c>
    </row>
    <row r="521">
      <c r="A521" s="4" t="s">
        <v>1603</v>
      </c>
      <c r="B521" s="5">
        <v>667.0</v>
      </c>
      <c r="C521" s="5">
        <v>19.5</v>
      </c>
      <c r="D521" s="5">
        <v>11.9</v>
      </c>
      <c r="E521" s="5" t="s">
        <v>1417</v>
      </c>
      <c r="F521" s="5" t="s">
        <v>1417</v>
      </c>
      <c r="G521" s="5">
        <v>5.83</v>
      </c>
      <c r="I521" s="5">
        <v>0.34</v>
      </c>
    </row>
    <row r="522">
      <c r="A522" s="4" t="s">
        <v>828</v>
      </c>
      <c r="B522" s="5">
        <v>665.0</v>
      </c>
      <c r="C522" s="5">
        <v>18.7</v>
      </c>
      <c r="D522" s="5">
        <v>15.5</v>
      </c>
      <c r="E522" s="5" t="s">
        <v>1417</v>
      </c>
      <c r="F522" s="5" t="s">
        <v>1417</v>
      </c>
      <c r="G522" s="5">
        <v>5.35</v>
      </c>
      <c r="I522" s="5">
        <v>0.29</v>
      </c>
    </row>
    <row r="523">
      <c r="A523" s="4" t="s">
        <v>1604</v>
      </c>
      <c r="B523" s="5">
        <v>671.0</v>
      </c>
      <c r="C523" s="5">
        <v>17.6</v>
      </c>
      <c r="D523" s="5">
        <v>9.7</v>
      </c>
      <c r="E523" s="5" t="s">
        <v>1417</v>
      </c>
      <c r="F523" s="5" t="s">
        <v>1417</v>
      </c>
      <c r="G523" s="5">
        <v>4.44</v>
      </c>
      <c r="I523" s="5">
        <v>0.17</v>
      </c>
    </row>
    <row r="524">
      <c r="A524" s="4" t="s">
        <v>830</v>
      </c>
      <c r="B524" s="5">
        <v>678.0</v>
      </c>
      <c r="C524" s="5">
        <v>17.7</v>
      </c>
      <c r="D524" s="5">
        <v>11.8</v>
      </c>
      <c r="E524" s="5" t="s">
        <v>1417</v>
      </c>
      <c r="F524" s="5" t="s">
        <v>1417</v>
      </c>
      <c r="G524" s="5">
        <v>4.91</v>
      </c>
      <c r="I524" s="5">
        <v>0.26</v>
      </c>
    </row>
    <row r="525">
      <c r="A525" s="4" t="s">
        <v>835</v>
      </c>
      <c r="B525" s="5">
        <v>675.0</v>
      </c>
      <c r="C525" s="5">
        <v>19.5</v>
      </c>
      <c r="D525" s="5">
        <v>10.4</v>
      </c>
      <c r="E525" s="5" t="s">
        <v>1417</v>
      </c>
      <c r="F525" s="5" t="s">
        <v>1417</v>
      </c>
      <c r="G525" s="5">
        <v>4.76</v>
      </c>
      <c r="I525" s="5">
        <v>0.31</v>
      </c>
    </row>
    <row r="526">
      <c r="A526" s="4" t="s">
        <v>827</v>
      </c>
      <c r="B526" s="5">
        <v>657.0</v>
      </c>
      <c r="C526" s="5">
        <v>16.8</v>
      </c>
      <c r="D526" s="5">
        <v>8.8</v>
      </c>
      <c r="E526" s="5" t="s">
        <v>1417</v>
      </c>
      <c r="F526" s="5" t="s">
        <v>1417</v>
      </c>
      <c r="G526" s="5">
        <v>3.64</v>
      </c>
      <c r="I526" s="5">
        <v>0.13</v>
      </c>
    </row>
    <row r="527">
      <c r="A527" s="4"/>
    </row>
    <row r="528">
      <c r="A528" s="4" t="s">
        <v>837</v>
      </c>
    </row>
    <row r="529">
      <c r="A529" s="4" t="s">
        <v>1392</v>
      </c>
    </row>
    <row r="530">
      <c r="A530" s="4" t="s">
        <v>838</v>
      </c>
    </row>
    <row r="531">
      <c r="A531" s="4" t="s">
        <v>839</v>
      </c>
    </row>
    <row r="532">
      <c r="A532" s="4" t="s">
        <v>1395</v>
      </c>
    </row>
    <row r="533">
      <c r="A533" s="4" t="s">
        <v>1396</v>
      </c>
    </row>
    <row r="534">
      <c r="A534" s="4" t="s">
        <v>842</v>
      </c>
    </row>
    <row r="535">
      <c r="A535" s="4" t="s">
        <v>1394</v>
      </c>
    </row>
    <row r="536">
      <c r="A536" s="4" t="s">
        <v>1399</v>
      </c>
    </row>
    <row r="537">
      <c r="A537" s="4" t="s">
        <v>1400</v>
      </c>
    </row>
    <row r="538">
      <c r="A538" s="4" t="s">
        <v>1401</v>
      </c>
    </row>
    <row r="539">
      <c r="A539" s="4" t="s">
        <v>1605</v>
      </c>
    </row>
    <row r="540">
      <c r="A540" s="4" t="s">
        <v>846</v>
      </c>
    </row>
    <row r="541">
      <c r="A541" s="4" t="s">
        <v>1606</v>
      </c>
    </row>
    <row r="542">
      <c r="A542" s="4" t="s">
        <v>1607</v>
      </c>
    </row>
    <row r="543">
      <c r="A543" s="4" t="s">
        <v>1398</v>
      </c>
    </row>
    <row r="544">
      <c r="A544" s="4"/>
    </row>
    <row r="545">
      <c r="A545" s="4" t="s">
        <v>857</v>
      </c>
      <c r="B545" s="5">
        <v>621.0</v>
      </c>
      <c r="C545" s="5">
        <v>29.4</v>
      </c>
      <c r="D545" s="5">
        <v>25.6</v>
      </c>
      <c r="E545" s="5" t="s">
        <v>1417</v>
      </c>
      <c r="F545" s="5" t="s">
        <v>1417</v>
      </c>
      <c r="G545" s="5">
        <v>10.37</v>
      </c>
      <c r="I545" s="5">
        <v>2.3</v>
      </c>
    </row>
    <row r="546">
      <c r="A546" s="4" t="s">
        <v>858</v>
      </c>
      <c r="B546" s="5">
        <v>620.0</v>
      </c>
      <c r="C546" s="5">
        <v>39.9</v>
      </c>
      <c r="D546" s="5">
        <v>22.7</v>
      </c>
      <c r="E546" s="5" t="s">
        <v>1417</v>
      </c>
      <c r="F546" s="5" t="s">
        <v>1417</v>
      </c>
      <c r="G546" s="5">
        <v>8.23</v>
      </c>
      <c r="I546" s="5">
        <v>1.63</v>
      </c>
    </row>
    <row r="547">
      <c r="A547" s="4" t="s">
        <v>861</v>
      </c>
      <c r="B547" s="5">
        <v>605.0</v>
      </c>
      <c r="C547" s="5">
        <v>39.1</v>
      </c>
      <c r="D547" s="5">
        <v>24.3</v>
      </c>
      <c r="E547" s="5" t="s">
        <v>1417</v>
      </c>
      <c r="F547" s="5" t="s">
        <v>1417</v>
      </c>
      <c r="G547" s="5">
        <v>9.44</v>
      </c>
      <c r="I547" s="5">
        <v>1.05</v>
      </c>
    </row>
    <row r="548">
      <c r="A548" s="4" t="s">
        <v>859</v>
      </c>
      <c r="B548" s="5">
        <v>619.0</v>
      </c>
      <c r="C548" s="5">
        <v>26.5</v>
      </c>
      <c r="D548" s="5">
        <v>19.6</v>
      </c>
      <c r="E548" s="5" t="s">
        <v>1417</v>
      </c>
      <c r="F548" s="5" t="s">
        <v>1417</v>
      </c>
      <c r="G548" s="5">
        <v>7.55</v>
      </c>
      <c r="I548" s="5">
        <v>1.12</v>
      </c>
    </row>
    <row r="549">
      <c r="A549" s="4" t="s">
        <v>1406</v>
      </c>
      <c r="B549" s="5">
        <v>610.0</v>
      </c>
      <c r="C549" s="5">
        <v>28.7</v>
      </c>
      <c r="D549" s="5">
        <v>20.2</v>
      </c>
      <c r="E549" s="5" t="s">
        <v>1417</v>
      </c>
      <c r="F549" s="5" t="s">
        <v>1417</v>
      </c>
      <c r="G549" s="5">
        <v>5.83</v>
      </c>
      <c r="I549" s="5">
        <v>0.39</v>
      </c>
    </row>
    <row r="550">
      <c r="A550" s="4" t="s">
        <v>860</v>
      </c>
      <c r="B550" s="5">
        <v>618.0</v>
      </c>
      <c r="C550" s="5">
        <v>40.8</v>
      </c>
      <c r="D550" s="5">
        <v>25.3</v>
      </c>
      <c r="E550" s="5" t="s">
        <v>1417</v>
      </c>
      <c r="F550" s="5" t="s">
        <v>1417</v>
      </c>
      <c r="G550" s="5">
        <v>7.88</v>
      </c>
      <c r="I550" s="5">
        <v>0.94</v>
      </c>
    </row>
    <row r="551">
      <c r="A551" s="4" t="s">
        <v>862</v>
      </c>
      <c r="B551" s="5">
        <v>604.0</v>
      </c>
      <c r="C551" s="5">
        <v>28.4</v>
      </c>
      <c r="D551" s="5">
        <v>23.2</v>
      </c>
      <c r="E551" s="5" t="s">
        <v>1417</v>
      </c>
      <c r="F551" s="5" t="s">
        <v>1417</v>
      </c>
      <c r="G551" s="5">
        <v>7.06</v>
      </c>
      <c r="I551" s="5">
        <v>0.82</v>
      </c>
    </row>
    <row r="552">
      <c r="A552" s="4" t="s">
        <v>863</v>
      </c>
      <c r="B552" s="5">
        <v>607.0</v>
      </c>
      <c r="C552" s="5">
        <v>24.3</v>
      </c>
      <c r="D552" s="5">
        <v>14.9</v>
      </c>
      <c r="E552" s="5" t="s">
        <v>1417</v>
      </c>
      <c r="F552" s="5" t="s">
        <v>1417</v>
      </c>
      <c r="G552" s="5">
        <v>6.02</v>
      </c>
      <c r="I552" s="5">
        <v>0.63</v>
      </c>
    </row>
    <row r="553">
      <c r="A553" s="4" t="s">
        <v>864</v>
      </c>
      <c r="B553" s="5">
        <v>617.0</v>
      </c>
      <c r="C553" s="5">
        <v>22.9</v>
      </c>
      <c r="D553" s="5">
        <v>18.0</v>
      </c>
      <c r="E553" s="5" t="s">
        <v>1417</v>
      </c>
      <c r="F553" s="5" t="s">
        <v>1417</v>
      </c>
      <c r="G553" s="5">
        <v>6.62</v>
      </c>
      <c r="I553" s="5">
        <v>0.29</v>
      </c>
    </row>
    <row r="554">
      <c r="A554" s="4" t="s">
        <v>1407</v>
      </c>
      <c r="B554" s="5">
        <v>609.0</v>
      </c>
      <c r="C554" s="5">
        <v>14.6</v>
      </c>
      <c r="D554" s="5">
        <v>11.7</v>
      </c>
      <c r="E554" s="5" t="s">
        <v>1417</v>
      </c>
      <c r="F554" s="5" t="s">
        <v>1417</v>
      </c>
      <c r="G554" s="5">
        <v>4.3</v>
      </c>
      <c r="I554" s="5">
        <v>0.22</v>
      </c>
    </row>
    <row r="555">
      <c r="A555" s="4" t="s">
        <v>866</v>
      </c>
      <c r="B555" s="5">
        <v>615.0</v>
      </c>
      <c r="C555" s="5">
        <v>27.4</v>
      </c>
      <c r="D555" s="5">
        <v>15.0</v>
      </c>
      <c r="E555" s="5" t="s">
        <v>1417</v>
      </c>
      <c r="F555" s="5" t="s">
        <v>1417</v>
      </c>
      <c r="G555" s="5">
        <v>7.48</v>
      </c>
      <c r="I555" s="5">
        <v>0.76</v>
      </c>
    </row>
    <row r="556">
      <c r="A556" s="4" t="s">
        <v>872</v>
      </c>
      <c r="B556" s="5">
        <v>612.0</v>
      </c>
      <c r="C556" s="5">
        <v>23.1</v>
      </c>
      <c r="D556" s="5">
        <v>15.8</v>
      </c>
      <c r="E556" s="5" t="s">
        <v>1417</v>
      </c>
      <c r="F556" s="5" t="s">
        <v>1417</v>
      </c>
      <c r="G556" s="5">
        <v>5.62</v>
      </c>
      <c r="I556" s="5">
        <v>0.46</v>
      </c>
    </row>
    <row r="557">
      <c r="A557" s="4" t="s">
        <v>1608</v>
      </c>
      <c r="B557" s="5">
        <v>614.0</v>
      </c>
      <c r="C557" s="5">
        <v>31.0</v>
      </c>
      <c r="D557" s="5">
        <v>19.6</v>
      </c>
      <c r="E557" s="5" t="s">
        <v>351</v>
      </c>
      <c r="F557" s="5" t="s">
        <v>1417</v>
      </c>
      <c r="G557" s="5">
        <v>6.31</v>
      </c>
      <c r="I557" s="5">
        <v>0.35</v>
      </c>
    </row>
    <row r="558">
      <c r="A558" s="4" t="s">
        <v>865</v>
      </c>
      <c r="B558" s="5">
        <v>603.0</v>
      </c>
      <c r="C558" s="5">
        <v>23.8</v>
      </c>
      <c r="D558" s="5">
        <v>15.4</v>
      </c>
      <c r="E558" s="5" t="s">
        <v>1417</v>
      </c>
      <c r="F558" s="5" t="s">
        <v>1417</v>
      </c>
      <c r="G558" s="5">
        <v>8.31</v>
      </c>
      <c r="I558" s="5">
        <v>0.71</v>
      </c>
    </row>
    <row r="559">
      <c r="A559" s="4" t="s">
        <v>871</v>
      </c>
      <c r="B559" s="5">
        <v>602.0</v>
      </c>
      <c r="C559" s="5">
        <v>19.9</v>
      </c>
      <c r="D559" s="5">
        <v>12.7</v>
      </c>
      <c r="E559" s="5" t="s">
        <v>1417</v>
      </c>
      <c r="F559" s="5" t="s">
        <v>1417</v>
      </c>
      <c r="G559" s="5">
        <v>6.39</v>
      </c>
      <c r="I559" s="5">
        <v>0.25</v>
      </c>
    </row>
    <row r="560">
      <c r="A560" s="4" t="s">
        <v>1609</v>
      </c>
      <c r="B560" s="5">
        <v>613.0</v>
      </c>
      <c r="C560" s="5">
        <v>18.8</v>
      </c>
      <c r="D560" s="5">
        <v>16.6</v>
      </c>
      <c r="E560" s="5" t="s">
        <v>1417</v>
      </c>
      <c r="F560" s="5" t="s">
        <v>1417</v>
      </c>
      <c r="G560" s="5">
        <v>4.73</v>
      </c>
      <c r="I560" s="5">
        <v>0.21</v>
      </c>
    </row>
    <row r="561">
      <c r="A561" s="4" t="s">
        <v>869</v>
      </c>
      <c r="B561" s="5">
        <v>616.0</v>
      </c>
      <c r="C561" s="5">
        <v>11.1</v>
      </c>
      <c r="D561" s="5">
        <v>10.7</v>
      </c>
      <c r="E561" s="5" t="s">
        <v>1417</v>
      </c>
      <c r="F561" s="5" t="s">
        <v>1417</v>
      </c>
      <c r="G561" s="5">
        <v>3.64</v>
      </c>
      <c r="I561" s="5">
        <v>0.08</v>
      </c>
    </row>
    <row r="562">
      <c r="A562" s="4" t="s">
        <v>867</v>
      </c>
      <c r="B562" s="5">
        <v>608.0</v>
      </c>
      <c r="C562" s="5">
        <v>20.0</v>
      </c>
      <c r="D562" s="5">
        <v>12.3</v>
      </c>
      <c r="E562" s="5" t="s">
        <v>1417</v>
      </c>
      <c r="F562" s="5" t="s">
        <v>1417</v>
      </c>
      <c r="G562" s="5">
        <v>3.66</v>
      </c>
      <c r="I562" s="5">
        <v>0.09</v>
      </c>
    </row>
    <row r="563">
      <c r="A563" s="4" t="s">
        <v>877</v>
      </c>
      <c r="B563" s="5">
        <v>611.0</v>
      </c>
      <c r="C563" s="5">
        <v>16.4</v>
      </c>
      <c r="D563" s="5">
        <v>8.7</v>
      </c>
      <c r="E563" s="5" t="s">
        <v>351</v>
      </c>
      <c r="F563" s="5" t="s">
        <v>1417</v>
      </c>
      <c r="G563" s="5">
        <v>2.58</v>
      </c>
      <c r="I563" s="5">
        <v>0.04</v>
      </c>
    </row>
    <row r="564">
      <c r="A564" s="4" t="s">
        <v>873</v>
      </c>
      <c r="B564" s="5">
        <v>606.0</v>
      </c>
      <c r="C564" s="5">
        <v>21.8</v>
      </c>
      <c r="D564" s="5">
        <v>12.9</v>
      </c>
      <c r="E564" s="5" t="s">
        <v>1417</v>
      </c>
      <c r="F564" s="5" t="s">
        <v>1417</v>
      </c>
      <c r="G564" s="5">
        <v>4.84</v>
      </c>
      <c r="I564" s="5">
        <v>0.31</v>
      </c>
    </row>
    <row r="565">
      <c r="A565" s="4"/>
    </row>
    <row r="566">
      <c r="A566" s="4" t="s">
        <v>882</v>
      </c>
      <c r="B566" s="5">
        <v>855.0</v>
      </c>
      <c r="C566" s="5">
        <v>29.9</v>
      </c>
      <c r="D566" s="5">
        <v>24.8</v>
      </c>
      <c r="E566" s="5" t="s">
        <v>1417</v>
      </c>
      <c r="F566" s="5" t="s">
        <v>1417</v>
      </c>
      <c r="G566" s="5">
        <v>11.11</v>
      </c>
      <c r="I566" s="5">
        <v>2.16</v>
      </c>
    </row>
    <row r="567">
      <c r="A567" s="4" t="s">
        <v>1610</v>
      </c>
      <c r="B567" s="5">
        <v>854.0</v>
      </c>
      <c r="C567" s="5">
        <v>32.8</v>
      </c>
      <c r="D567" s="5">
        <v>20.1</v>
      </c>
      <c r="E567" s="5">
        <v>6.6</v>
      </c>
      <c r="F567" s="5" t="s">
        <v>1417</v>
      </c>
      <c r="G567" s="5">
        <v>7.65</v>
      </c>
      <c r="I567" s="5">
        <v>1.3</v>
      </c>
    </row>
    <row r="568">
      <c r="A568" s="4" t="s">
        <v>885</v>
      </c>
      <c r="B568" s="5">
        <v>810.0</v>
      </c>
      <c r="C568" s="5">
        <v>33.1</v>
      </c>
      <c r="D568" s="5">
        <v>22.0</v>
      </c>
      <c r="E568" s="5" t="s">
        <v>1417</v>
      </c>
      <c r="F568" s="5" t="s">
        <v>1417</v>
      </c>
      <c r="G568" s="5">
        <v>8.87</v>
      </c>
      <c r="I568" s="5">
        <v>1.37</v>
      </c>
    </row>
    <row r="569">
      <c r="A569" s="4" t="s">
        <v>1611</v>
      </c>
      <c r="B569" s="5">
        <v>853.0</v>
      </c>
      <c r="C569" s="5">
        <v>31.6</v>
      </c>
      <c r="D569" s="5">
        <v>17.7</v>
      </c>
      <c r="E569" s="5" t="s">
        <v>1417</v>
      </c>
      <c r="F569" s="5" t="s">
        <v>1417</v>
      </c>
      <c r="G569" s="5">
        <v>7.5</v>
      </c>
      <c r="I569" s="5">
        <v>0.54</v>
      </c>
    </row>
    <row r="570">
      <c r="A570" s="4" t="s">
        <v>887</v>
      </c>
      <c r="B570" s="5">
        <v>823.0</v>
      </c>
      <c r="C570" s="5">
        <v>33.6</v>
      </c>
      <c r="D570" s="5">
        <v>16.5</v>
      </c>
      <c r="E570" s="5" t="s">
        <v>1417</v>
      </c>
      <c r="F570" s="5" t="s">
        <v>1417</v>
      </c>
      <c r="G570" s="5">
        <v>7.13</v>
      </c>
      <c r="I570" s="5">
        <v>0.8</v>
      </c>
    </row>
    <row r="571">
      <c r="A571" s="4" t="s">
        <v>889</v>
      </c>
      <c r="B571" s="5">
        <v>822.0</v>
      </c>
      <c r="C571" s="5">
        <v>22.0</v>
      </c>
      <c r="D571" s="5">
        <v>16.3</v>
      </c>
      <c r="E571" s="5" t="s">
        <v>1417</v>
      </c>
      <c r="F571" s="5" t="s">
        <v>1417</v>
      </c>
      <c r="G571" s="5">
        <v>5.47</v>
      </c>
      <c r="I571" s="5">
        <v>0.51</v>
      </c>
    </row>
    <row r="572">
      <c r="A572" s="4" t="s">
        <v>1408</v>
      </c>
      <c r="B572" s="5">
        <v>820.0</v>
      </c>
      <c r="C572" s="5">
        <v>32.9</v>
      </c>
      <c r="D572" s="5">
        <v>18.7</v>
      </c>
      <c r="E572" s="5" t="s">
        <v>1417</v>
      </c>
      <c r="F572" s="5" t="s">
        <v>1417</v>
      </c>
      <c r="G572" s="5">
        <v>7.58</v>
      </c>
      <c r="I572" s="5">
        <v>0.52</v>
      </c>
    </row>
    <row r="573">
      <c r="A573" s="4" t="s">
        <v>1409</v>
      </c>
      <c r="B573" s="5">
        <v>819.0</v>
      </c>
      <c r="C573" s="5">
        <v>17.4</v>
      </c>
      <c r="D573" s="5">
        <v>16.5</v>
      </c>
      <c r="E573" s="5" t="s">
        <v>1417</v>
      </c>
      <c r="F573" s="5" t="s">
        <v>1417</v>
      </c>
      <c r="G573" s="5">
        <v>8.84</v>
      </c>
      <c r="I573" s="5">
        <v>0.36</v>
      </c>
    </row>
    <row r="574">
      <c r="A574" s="4" t="s">
        <v>1612</v>
      </c>
      <c r="B574" s="5">
        <v>817.0</v>
      </c>
      <c r="C574" s="5">
        <v>35.6</v>
      </c>
      <c r="D574" s="5">
        <v>21.4</v>
      </c>
      <c r="E574" s="5">
        <v>13.8</v>
      </c>
      <c r="F574" s="5" t="s">
        <v>1417</v>
      </c>
      <c r="G574" s="5">
        <v>7.43</v>
      </c>
      <c r="I574" s="5">
        <v>0.73</v>
      </c>
    </row>
    <row r="575">
      <c r="A575" s="4" t="s">
        <v>1613</v>
      </c>
      <c r="B575" s="5">
        <v>816.0</v>
      </c>
      <c r="C575" s="5">
        <v>29.5</v>
      </c>
      <c r="D575" s="5">
        <v>15.7</v>
      </c>
      <c r="E575" s="5" t="s">
        <v>1417</v>
      </c>
      <c r="F575" s="5" t="s">
        <v>1417</v>
      </c>
      <c r="G575" s="5">
        <v>5.69</v>
      </c>
      <c r="I575" s="5">
        <v>0.31</v>
      </c>
    </row>
    <row r="576">
      <c r="A576" s="4" t="s">
        <v>1614</v>
      </c>
      <c r="B576" s="5">
        <v>812.0</v>
      </c>
      <c r="C576" s="5">
        <v>27.3</v>
      </c>
      <c r="D576" s="5">
        <v>20.8</v>
      </c>
      <c r="E576" s="5" t="s">
        <v>1417</v>
      </c>
      <c r="F576" s="5" t="s">
        <v>1417</v>
      </c>
      <c r="G576" s="5">
        <v>5.81</v>
      </c>
      <c r="I576" s="5">
        <v>0.27</v>
      </c>
    </row>
    <row r="577">
      <c r="A577" s="4" t="s">
        <v>1615</v>
      </c>
      <c r="B577" s="5">
        <v>814.0</v>
      </c>
      <c r="C577" s="5">
        <v>25.7</v>
      </c>
      <c r="D577" s="5">
        <v>14.6</v>
      </c>
      <c r="E577" s="5" t="s">
        <v>1417</v>
      </c>
      <c r="F577" s="5" t="s">
        <v>1417</v>
      </c>
      <c r="G577" s="5">
        <v>6.12</v>
      </c>
      <c r="I577" s="5">
        <v>0.5</v>
      </c>
    </row>
    <row r="578">
      <c r="A578" s="4" t="s">
        <v>1616</v>
      </c>
      <c r="B578" s="5">
        <v>815.0</v>
      </c>
      <c r="C578" s="5">
        <v>18.6</v>
      </c>
      <c r="D578" s="5">
        <v>10.1</v>
      </c>
      <c r="E578" s="5" t="s">
        <v>1417</v>
      </c>
      <c r="F578" s="5" t="s">
        <v>1417</v>
      </c>
      <c r="G578" s="5">
        <v>3.73</v>
      </c>
      <c r="I578" s="5">
        <v>0.11</v>
      </c>
    </row>
    <row r="579">
      <c r="A579" s="4" t="s">
        <v>1617</v>
      </c>
      <c r="B579" s="5">
        <v>813.0</v>
      </c>
      <c r="C579" s="5">
        <v>25.8</v>
      </c>
      <c r="D579" s="5">
        <v>15.9</v>
      </c>
      <c r="E579" s="5" t="s">
        <v>1417</v>
      </c>
      <c r="F579" s="5" t="s">
        <v>1417</v>
      </c>
      <c r="G579" s="5">
        <v>4.76</v>
      </c>
      <c r="I579" s="5">
        <v>0.25</v>
      </c>
    </row>
    <row r="580">
      <c r="A580" s="4" t="s">
        <v>1618</v>
      </c>
      <c r="B580" s="5">
        <v>811.0</v>
      </c>
      <c r="C580" s="5">
        <v>20.9</v>
      </c>
      <c r="D580" s="5">
        <v>14.1</v>
      </c>
      <c r="E580" s="5" t="s">
        <v>1417</v>
      </c>
      <c r="F580" s="5" t="s">
        <v>1417</v>
      </c>
      <c r="G580" s="5">
        <v>3.8</v>
      </c>
      <c r="I580" s="5">
        <v>0.11</v>
      </c>
    </row>
    <row r="581">
      <c r="A581" s="4" t="s">
        <v>1619</v>
      </c>
      <c r="B581" s="5">
        <v>809.0</v>
      </c>
      <c r="C581" s="5">
        <v>30.4</v>
      </c>
      <c r="D581" s="5">
        <v>13.3</v>
      </c>
      <c r="E581" s="5">
        <v>10.5</v>
      </c>
      <c r="F581" s="5" t="s">
        <v>1417</v>
      </c>
      <c r="G581" s="5">
        <v>6.95</v>
      </c>
      <c r="I581" s="5">
        <v>0.42</v>
      </c>
    </row>
    <row r="582">
      <c r="A582" s="4" t="s">
        <v>1410</v>
      </c>
      <c r="B582" s="5">
        <v>818.0</v>
      </c>
      <c r="C582" s="5">
        <v>17.1</v>
      </c>
      <c r="D582" s="5">
        <v>10.4</v>
      </c>
      <c r="E582" s="5" t="s">
        <v>1417</v>
      </c>
      <c r="F582" s="5" t="s">
        <v>1417</v>
      </c>
      <c r="G582" s="5">
        <v>3.23</v>
      </c>
      <c r="I582" s="5">
        <v>0.11</v>
      </c>
    </row>
    <row r="583">
      <c r="A583" s="4" t="s">
        <v>892</v>
      </c>
      <c r="B583" s="5">
        <v>821.0</v>
      </c>
      <c r="C583" s="5">
        <v>18.8</v>
      </c>
      <c r="D583" s="5">
        <v>10.3</v>
      </c>
      <c r="E583" s="5" t="s">
        <v>1417</v>
      </c>
      <c r="F583" s="5" t="s">
        <v>1417</v>
      </c>
      <c r="G583" s="5">
        <v>3.62</v>
      </c>
      <c r="I583" s="5">
        <v>0.18</v>
      </c>
    </row>
    <row r="584">
      <c r="A584" s="4" t="s">
        <v>1620</v>
      </c>
      <c r="B584" s="5">
        <v>851.0</v>
      </c>
      <c r="C584" s="5">
        <v>19.2</v>
      </c>
      <c r="D584" s="5">
        <v>13.6</v>
      </c>
      <c r="E584" s="5" t="s">
        <v>351</v>
      </c>
      <c r="F584" s="5" t="s">
        <v>1417</v>
      </c>
      <c r="G584" s="5">
        <v>3.1</v>
      </c>
      <c r="I584" s="5">
        <v>0.07</v>
      </c>
    </row>
    <row r="585">
      <c r="A585" s="4" t="s">
        <v>1621</v>
      </c>
      <c r="B585" s="5">
        <v>852.0</v>
      </c>
      <c r="C585" s="5">
        <v>20.9</v>
      </c>
      <c r="D585" s="5">
        <v>14.0</v>
      </c>
      <c r="E585" s="5" t="s">
        <v>1417</v>
      </c>
      <c r="F585" s="5" t="s">
        <v>1417</v>
      </c>
      <c r="G585" s="5">
        <v>4.69</v>
      </c>
      <c r="I585" s="5">
        <v>0.3</v>
      </c>
    </row>
    <row r="586">
      <c r="A586" s="4"/>
    </row>
    <row r="587">
      <c r="A587" s="4" t="s">
        <v>895</v>
      </c>
      <c r="B587" s="5">
        <v>770.0</v>
      </c>
      <c r="C587" s="5">
        <v>27.6</v>
      </c>
      <c r="D587" s="5">
        <v>24.1</v>
      </c>
      <c r="E587" s="5" t="s">
        <v>1417</v>
      </c>
      <c r="F587" s="5" t="s">
        <v>1417</v>
      </c>
      <c r="G587" s="5">
        <v>8.11</v>
      </c>
      <c r="I587" s="5">
        <v>1.33</v>
      </c>
    </row>
    <row r="588">
      <c r="A588" s="4" t="s">
        <v>1622</v>
      </c>
      <c r="B588" s="5">
        <v>769.0</v>
      </c>
      <c r="C588" s="5">
        <v>29.8</v>
      </c>
      <c r="D588" s="5">
        <v>20.3</v>
      </c>
      <c r="E588" s="5">
        <v>2.9</v>
      </c>
      <c r="F588" s="5" t="s">
        <v>1417</v>
      </c>
      <c r="G588" s="5">
        <v>6.38</v>
      </c>
      <c r="I588" s="5">
        <v>0.95</v>
      </c>
    </row>
    <row r="589">
      <c r="A589" s="4" t="s">
        <v>1623</v>
      </c>
      <c r="B589" s="5">
        <v>688.0</v>
      </c>
      <c r="C589" s="5">
        <v>26.1</v>
      </c>
      <c r="D589" s="5">
        <v>18.4</v>
      </c>
      <c r="E589" s="5" t="s">
        <v>1417</v>
      </c>
      <c r="F589" s="5" t="s">
        <v>1417</v>
      </c>
      <c r="G589" s="5">
        <v>6.15</v>
      </c>
      <c r="I589" s="5">
        <v>0.45</v>
      </c>
    </row>
    <row r="590">
      <c r="A590" s="4" t="s">
        <v>900</v>
      </c>
      <c r="B590" s="5">
        <v>691.0</v>
      </c>
      <c r="C590" s="5">
        <v>22.8</v>
      </c>
      <c r="D590" s="5">
        <v>18.5</v>
      </c>
      <c r="E590" s="5" t="s">
        <v>1417</v>
      </c>
      <c r="F590" s="5" t="s">
        <v>1417</v>
      </c>
      <c r="G590" s="5">
        <v>5.56</v>
      </c>
      <c r="I590" s="5">
        <v>0.37</v>
      </c>
    </row>
    <row r="591">
      <c r="A591" s="4" t="s">
        <v>899</v>
      </c>
      <c r="B591" s="5">
        <v>693.0</v>
      </c>
      <c r="C591" s="5">
        <v>39.5</v>
      </c>
      <c r="D591" s="5">
        <v>17.4</v>
      </c>
      <c r="E591" s="5">
        <v>6.2</v>
      </c>
      <c r="F591" s="5" t="s">
        <v>1417</v>
      </c>
      <c r="G591" s="5">
        <v>7.04</v>
      </c>
      <c r="I591" s="5">
        <v>0.71</v>
      </c>
    </row>
    <row r="592">
      <c r="A592" s="4" t="s">
        <v>1411</v>
      </c>
      <c r="B592" s="5">
        <v>695.0</v>
      </c>
      <c r="C592" s="5">
        <v>21.3</v>
      </c>
      <c r="D592" s="5">
        <v>15.7</v>
      </c>
      <c r="E592" s="5" t="s">
        <v>1417</v>
      </c>
      <c r="F592" s="5" t="s">
        <v>1417</v>
      </c>
      <c r="G592" s="5">
        <v>4.71</v>
      </c>
      <c r="I592" s="5">
        <v>0.28</v>
      </c>
    </row>
    <row r="593">
      <c r="A593" s="4" t="s">
        <v>901</v>
      </c>
      <c r="B593" s="5">
        <v>767.0</v>
      </c>
      <c r="C593" s="5">
        <v>27.5</v>
      </c>
      <c r="D593" s="5">
        <v>16.1</v>
      </c>
      <c r="E593" s="5" t="s">
        <v>1417</v>
      </c>
      <c r="F593" s="5" t="s">
        <v>1417</v>
      </c>
      <c r="G593" s="5">
        <v>6.13</v>
      </c>
      <c r="I593" s="5">
        <v>0.62</v>
      </c>
    </row>
    <row r="594">
      <c r="A594" s="4" t="s">
        <v>1624</v>
      </c>
      <c r="B594" s="5">
        <v>689.0</v>
      </c>
      <c r="C594" s="5">
        <v>31.5</v>
      </c>
      <c r="D594" s="5">
        <v>25.2</v>
      </c>
      <c r="E594" s="5" t="s">
        <v>1417</v>
      </c>
      <c r="F594" s="5" t="s">
        <v>1417</v>
      </c>
      <c r="G594" s="5">
        <v>7.8</v>
      </c>
      <c r="I594" s="5">
        <v>0.62</v>
      </c>
    </row>
    <row r="595">
      <c r="A595" s="4" t="s">
        <v>904</v>
      </c>
      <c r="B595" s="5">
        <v>692.0</v>
      </c>
      <c r="C595" s="5">
        <v>29.1</v>
      </c>
      <c r="D595" s="5">
        <v>16.4</v>
      </c>
      <c r="E595" s="5" t="s">
        <v>1417</v>
      </c>
      <c r="F595" s="5" t="s">
        <v>1417</v>
      </c>
      <c r="G595" s="5">
        <v>4.52</v>
      </c>
      <c r="I595" s="5">
        <v>0.17</v>
      </c>
    </row>
    <row r="596">
      <c r="A596" s="4" t="s">
        <v>1625</v>
      </c>
      <c r="B596" s="5">
        <v>690.0</v>
      </c>
      <c r="C596" s="5">
        <v>21.0</v>
      </c>
      <c r="D596" s="5">
        <v>18.1</v>
      </c>
      <c r="E596" s="5" t="s">
        <v>1417</v>
      </c>
      <c r="F596" s="5" t="s">
        <v>1417</v>
      </c>
      <c r="G596" s="5">
        <v>4.77</v>
      </c>
      <c r="I596" s="5">
        <v>0.21</v>
      </c>
    </row>
    <row r="597">
      <c r="A597" s="4" t="s">
        <v>1626</v>
      </c>
      <c r="B597" s="5">
        <v>687.0</v>
      </c>
      <c r="C597" s="5">
        <v>22.4</v>
      </c>
      <c r="D597" s="5">
        <v>15.2</v>
      </c>
      <c r="E597" s="5" t="s">
        <v>1417</v>
      </c>
      <c r="F597" s="5" t="s">
        <v>1417</v>
      </c>
      <c r="G597" s="5">
        <v>5.14</v>
      </c>
      <c r="I597" s="5">
        <v>0.23</v>
      </c>
    </row>
    <row r="598">
      <c r="A598" s="4" t="s">
        <v>1414</v>
      </c>
      <c r="B598" s="5">
        <v>694.0</v>
      </c>
      <c r="C598" s="5">
        <v>17.3</v>
      </c>
      <c r="D598" s="5">
        <v>13.7</v>
      </c>
      <c r="E598" s="5" t="s">
        <v>1417</v>
      </c>
      <c r="F598" s="5" t="s">
        <v>1417</v>
      </c>
      <c r="G598" s="5">
        <v>3.7</v>
      </c>
      <c r="I598" s="5">
        <v>0.07</v>
      </c>
    </row>
    <row r="599">
      <c r="A599" s="4" t="s">
        <v>903</v>
      </c>
      <c r="B599" s="5">
        <v>766.0</v>
      </c>
      <c r="C599" s="5">
        <v>24.4</v>
      </c>
      <c r="D599" s="5">
        <v>16.1</v>
      </c>
      <c r="E599" s="5" t="s">
        <v>1417</v>
      </c>
      <c r="F599" s="5" t="s">
        <v>1417</v>
      </c>
      <c r="G599" s="5">
        <v>5.38</v>
      </c>
      <c r="I599" s="5">
        <v>0.33</v>
      </c>
    </row>
    <row r="600">
      <c r="A600" s="4" t="s">
        <v>1627</v>
      </c>
      <c r="B600" s="5">
        <v>768.0</v>
      </c>
      <c r="C600" s="5">
        <v>31.6</v>
      </c>
      <c r="D600" s="5">
        <v>17.4</v>
      </c>
      <c r="E600" s="5" t="s">
        <v>1417</v>
      </c>
      <c r="F600" s="5" t="s">
        <v>1417</v>
      </c>
      <c r="G600" s="5">
        <v>5.74</v>
      </c>
      <c r="I600" s="5">
        <v>0.29</v>
      </c>
    </row>
    <row r="601">
      <c r="A601" s="4"/>
    </row>
    <row r="602">
      <c r="A602" s="4" t="s">
        <v>915</v>
      </c>
    </row>
    <row r="603">
      <c r="A603" s="4" t="s">
        <v>1628</v>
      </c>
    </row>
    <row r="604">
      <c r="A604" s="4" t="s">
        <v>918</v>
      </c>
    </row>
    <row r="605">
      <c r="A605" s="4" t="s">
        <v>919</v>
      </c>
    </row>
    <row r="606">
      <c r="A606" s="4" t="s">
        <v>1629</v>
      </c>
    </row>
    <row r="607">
      <c r="A607" s="4" t="s">
        <v>1415</v>
      </c>
    </row>
    <row r="608">
      <c r="A608" s="4"/>
    </row>
    <row r="609">
      <c r="A609" s="4" t="s">
        <v>930</v>
      </c>
    </row>
    <row r="610">
      <c r="A610" s="4" t="s">
        <v>1630</v>
      </c>
    </row>
    <row r="611">
      <c r="A611" s="4" t="s">
        <v>933</v>
      </c>
    </row>
    <row r="612">
      <c r="A612" s="4"/>
    </row>
    <row r="613">
      <c r="A613" s="4" t="s">
        <v>961</v>
      </c>
    </row>
    <row r="614">
      <c r="A614" s="4" t="s">
        <v>962</v>
      </c>
    </row>
    <row r="615">
      <c r="A615" s="4"/>
    </row>
    <row r="616">
      <c r="A616" s="4" t="s">
        <v>983</v>
      </c>
    </row>
    <row r="617">
      <c r="A617" s="4" t="s">
        <v>984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8</v>
      </c>
      <c r="B2" s="5">
        <v>1533.0</v>
      </c>
      <c r="C2" s="5">
        <v>27.9</v>
      </c>
      <c r="D2" s="5">
        <v>17.7</v>
      </c>
      <c r="F2" s="5">
        <v>11.75</v>
      </c>
      <c r="G2" s="5">
        <v>2.0</v>
      </c>
      <c r="H2" s="5">
        <v>4.73</v>
      </c>
    </row>
    <row r="3">
      <c r="A3" s="4" t="s">
        <v>9</v>
      </c>
      <c r="B3" s="5">
        <v>1532.0</v>
      </c>
      <c r="C3" s="5">
        <v>16.7</v>
      </c>
      <c r="D3" s="5">
        <v>18.5</v>
      </c>
      <c r="F3" s="5">
        <v>9.57</v>
      </c>
      <c r="H3" s="5">
        <v>4.92</v>
      </c>
      <c r="J3" s="2" t="s">
        <v>10</v>
      </c>
    </row>
    <row r="4">
      <c r="A4" s="4" t="s">
        <v>11</v>
      </c>
      <c r="B4" s="5">
        <v>1528.0</v>
      </c>
      <c r="C4" s="5">
        <v>16.7</v>
      </c>
      <c r="D4" s="5">
        <v>17.6</v>
      </c>
      <c r="F4" s="5">
        <v>9.07</v>
      </c>
      <c r="H4" s="5">
        <v>3.6</v>
      </c>
      <c r="J4" s="6">
        <f>counta(H2:H1002)</f>
        <v>455</v>
      </c>
    </row>
    <row r="5">
      <c r="A5" s="4" t="s">
        <v>13</v>
      </c>
      <c r="B5" s="5">
        <v>1522.0</v>
      </c>
      <c r="C5" s="5">
        <v>19.0</v>
      </c>
      <c r="D5" s="5">
        <v>21.7</v>
      </c>
      <c r="F5" s="5">
        <v>11.04</v>
      </c>
      <c r="H5" s="5">
        <v>4.37</v>
      </c>
    </row>
    <row r="6">
      <c r="A6" s="4" t="s">
        <v>17</v>
      </c>
      <c r="B6" s="5">
        <v>1517.0</v>
      </c>
      <c r="C6" s="5">
        <v>24.6</v>
      </c>
      <c r="D6" s="5">
        <v>21.6</v>
      </c>
      <c r="F6" s="5">
        <v>9.48</v>
      </c>
      <c r="H6" s="5">
        <v>2.6</v>
      </c>
      <c r="J6" s="2" t="s">
        <v>14</v>
      </c>
    </row>
    <row r="7">
      <c r="A7" s="4" t="s">
        <v>18</v>
      </c>
      <c r="B7" s="5">
        <v>1523.0</v>
      </c>
      <c r="C7" s="5">
        <v>27.5</v>
      </c>
      <c r="D7" s="5">
        <v>30.7</v>
      </c>
      <c r="F7" s="5">
        <v>10.35</v>
      </c>
      <c r="H7" s="5">
        <v>2.02</v>
      </c>
      <c r="J7" s="6">
        <f>counta(H2:H252)</f>
        <v>168</v>
      </c>
    </row>
    <row r="8">
      <c r="A8" s="4" t="s">
        <v>1631</v>
      </c>
      <c r="B8" s="5">
        <v>1531.0</v>
      </c>
      <c r="C8" s="5">
        <v>17.9</v>
      </c>
      <c r="D8" s="5">
        <v>15.3</v>
      </c>
      <c r="F8" s="5">
        <v>7.57</v>
      </c>
      <c r="H8" s="5">
        <v>1.62</v>
      </c>
      <c r="J8" s="6">
        <f>sum(H2:H252)/J7</f>
        <v>1.112797619</v>
      </c>
    </row>
    <row r="9">
      <c r="A9" s="4" t="s">
        <v>15</v>
      </c>
      <c r="B9" s="5">
        <v>1525.0</v>
      </c>
      <c r="C9" s="5">
        <v>22.5</v>
      </c>
      <c r="D9" s="5">
        <v>15.1</v>
      </c>
      <c r="F9" s="5">
        <v>9.28</v>
      </c>
      <c r="H9" s="5">
        <v>1.87</v>
      </c>
    </row>
    <row r="10">
      <c r="A10" s="4" t="s">
        <v>30</v>
      </c>
      <c r="B10" s="5">
        <v>1506.0</v>
      </c>
      <c r="C10" s="5">
        <v>18.7</v>
      </c>
      <c r="D10" s="5">
        <v>20.4</v>
      </c>
      <c r="F10" s="5">
        <v>9.69</v>
      </c>
      <c r="H10" s="5">
        <v>1.53</v>
      </c>
    </row>
    <row r="11">
      <c r="A11" s="4" t="s">
        <v>1203</v>
      </c>
      <c r="B11" s="5">
        <v>1527.0</v>
      </c>
      <c r="C11" s="5">
        <v>26.0</v>
      </c>
      <c r="D11" s="5">
        <v>25.7</v>
      </c>
      <c r="F11" s="5">
        <v>9.1</v>
      </c>
      <c r="H11" s="5">
        <v>1.24</v>
      </c>
    </row>
    <row r="12">
      <c r="A12" s="4" t="s">
        <v>16</v>
      </c>
      <c r="B12" s="5">
        <v>1529.0</v>
      </c>
      <c r="C12" s="5">
        <v>28.7</v>
      </c>
      <c r="D12" s="5">
        <v>27.6</v>
      </c>
      <c r="F12" s="5">
        <v>8.12</v>
      </c>
      <c r="H12" s="5">
        <v>1.5</v>
      </c>
    </row>
    <row r="13">
      <c r="A13" s="4" t="s">
        <v>20</v>
      </c>
      <c r="B13" s="5">
        <v>1524.0</v>
      </c>
      <c r="C13" s="5">
        <v>20.1</v>
      </c>
      <c r="D13" s="5">
        <v>20.2</v>
      </c>
      <c r="F13" s="5">
        <v>9.99</v>
      </c>
      <c r="H13" s="5">
        <v>1.07</v>
      </c>
    </row>
    <row r="14">
      <c r="A14" s="4" t="s">
        <v>1632</v>
      </c>
      <c r="B14" s="5">
        <v>1530.0</v>
      </c>
      <c r="C14" s="5">
        <v>18.4</v>
      </c>
      <c r="D14" s="5">
        <v>20.6</v>
      </c>
      <c r="F14" s="5">
        <v>6.37</v>
      </c>
      <c r="H14" s="5">
        <v>1.01</v>
      </c>
    </row>
    <row r="15">
      <c r="A15" s="4" t="s">
        <v>26</v>
      </c>
      <c r="B15" s="5">
        <v>1519.0</v>
      </c>
      <c r="C15" s="5">
        <v>24.1</v>
      </c>
      <c r="D15" s="5">
        <v>19.1</v>
      </c>
      <c r="F15" s="5">
        <v>10.99</v>
      </c>
      <c r="H15" s="5">
        <v>1.81</v>
      </c>
    </row>
    <row r="16">
      <c r="A16" s="4" t="s">
        <v>24</v>
      </c>
      <c r="B16" s="5">
        <v>1515.0</v>
      </c>
      <c r="C16" s="5">
        <v>20.7</v>
      </c>
      <c r="D16" s="5">
        <v>14.6</v>
      </c>
      <c r="F16" s="5">
        <v>8.7</v>
      </c>
      <c r="H16" s="5">
        <v>1.8</v>
      </c>
    </row>
    <row r="17">
      <c r="A17" s="4" t="s">
        <v>25</v>
      </c>
      <c r="B17" s="5">
        <v>1520.0</v>
      </c>
      <c r="C17" s="5">
        <v>26.8</v>
      </c>
      <c r="D17" s="5">
        <v>29.0</v>
      </c>
      <c r="F17" s="5">
        <v>9.69</v>
      </c>
      <c r="H17" s="5">
        <v>2.05</v>
      </c>
    </row>
    <row r="18">
      <c r="A18" s="4" t="s">
        <v>1633</v>
      </c>
      <c r="B18" s="5">
        <v>1521.0</v>
      </c>
      <c r="C18" s="5">
        <v>27.6</v>
      </c>
      <c r="D18" s="5">
        <v>21.1</v>
      </c>
      <c r="F18" s="5">
        <v>8.3</v>
      </c>
      <c r="H18" s="5">
        <v>1.01</v>
      </c>
    </row>
    <row r="19">
      <c r="A19" s="4" t="s">
        <v>1634</v>
      </c>
      <c r="B19" s="5">
        <v>1518.0</v>
      </c>
      <c r="C19" s="5">
        <v>19.9</v>
      </c>
      <c r="D19" s="5">
        <v>23.6</v>
      </c>
      <c r="F19" s="5">
        <v>8.12</v>
      </c>
      <c r="H19" s="5">
        <v>1.17</v>
      </c>
    </row>
    <row r="20">
      <c r="A20" s="4" t="s">
        <v>1207</v>
      </c>
      <c r="B20" s="5">
        <v>1494.0</v>
      </c>
      <c r="C20" s="5">
        <v>18.7</v>
      </c>
      <c r="D20" s="5">
        <v>15.0</v>
      </c>
      <c r="F20" s="5">
        <v>9.43</v>
      </c>
      <c r="H20" s="5">
        <v>1.2</v>
      </c>
    </row>
    <row r="21">
      <c r="A21" s="4" t="s">
        <v>1635</v>
      </c>
      <c r="B21" s="5">
        <v>1512.0</v>
      </c>
      <c r="C21" s="5">
        <v>19.2</v>
      </c>
      <c r="D21" s="5">
        <v>19.7</v>
      </c>
      <c r="F21" s="5">
        <v>7.05</v>
      </c>
      <c r="H21" s="5">
        <v>0.68</v>
      </c>
    </row>
    <row r="22">
      <c r="A22" s="4" t="s">
        <v>1208</v>
      </c>
      <c r="B22" s="5">
        <v>1513.0</v>
      </c>
      <c r="C22" s="5">
        <v>16.0</v>
      </c>
      <c r="D22" s="5">
        <v>16.6</v>
      </c>
      <c r="F22" s="5">
        <v>7.91</v>
      </c>
      <c r="H22" s="5">
        <v>0.9</v>
      </c>
    </row>
    <row r="23">
      <c r="A23" s="4" t="s">
        <v>1209</v>
      </c>
      <c r="B23" s="5">
        <v>1511.0</v>
      </c>
      <c r="C23" s="5">
        <v>15.2</v>
      </c>
      <c r="D23" s="5">
        <v>16.6</v>
      </c>
      <c r="F23" s="5">
        <v>8.76</v>
      </c>
      <c r="H23" s="5">
        <v>0.91</v>
      </c>
    </row>
    <row r="24">
      <c r="A24" s="4" t="s">
        <v>21</v>
      </c>
      <c r="B24" s="5">
        <v>1509.0</v>
      </c>
      <c r="C24" s="5">
        <v>20.4</v>
      </c>
      <c r="D24" s="5">
        <v>20.4</v>
      </c>
      <c r="F24" s="5">
        <v>9.14</v>
      </c>
      <c r="H24" s="5">
        <v>0.81</v>
      </c>
    </row>
    <row r="25">
      <c r="A25" s="4" t="s">
        <v>1205</v>
      </c>
      <c r="B25" s="5">
        <v>1526.0</v>
      </c>
      <c r="C25" s="5">
        <v>18.7</v>
      </c>
      <c r="D25" s="5">
        <v>16.1</v>
      </c>
      <c r="F25" s="5">
        <v>7.05</v>
      </c>
      <c r="H25" s="5">
        <v>0.39</v>
      </c>
    </row>
    <row r="26">
      <c r="A26" s="4" t="s">
        <v>1636</v>
      </c>
      <c r="B26" s="5">
        <v>1505.0</v>
      </c>
      <c r="C26" s="5">
        <v>17.7</v>
      </c>
      <c r="D26" s="5">
        <v>16.7</v>
      </c>
      <c r="F26" s="5">
        <v>7.8</v>
      </c>
      <c r="H26" s="5">
        <v>1.12</v>
      </c>
    </row>
    <row r="27">
      <c r="A27" s="4" t="s">
        <v>1637</v>
      </c>
    </row>
    <row r="28">
      <c r="A28" s="4" t="s">
        <v>39</v>
      </c>
      <c r="B28" s="5">
        <v>1508.0</v>
      </c>
      <c r="C28" s="5">
        <v>16.7</v>
      </c>
      <c r="D28" s="5">
        <v>18.2</v>
      </c>
      <c r="F28" s="5">
        <v>9.04</v>
      </c>
      <c r="H28" s="5">
        <v>1.51</v>
      </c>
    </row>
    <row r="29">
      <c r="A29" s="4" t="s">
        <v>27</v>
      </c>
      <c r="B29" s="5">
        <v>1514.0</v>
      </c>
      <c r="C29" s="5">
        <v>27.0</v>
      </c>
      <c r="D29" s="5">
        <v>25.1</v>
      </c>
      <c r="F29" s="5">
        <v>9.61</v>
      </c>
      <c r="H29" s="5">
        <v>1.39</v>
      </c>
    </row>
    <row r="30">
      <c r="A30" s="4" t="s">
        <v>34</v>
      </c>
      <c r="B30" s="5">
        <v>1502.0</v>
      </c>
      <c r="C30" s="5">
        <v>16.7</v>
      </c>
      <c r="D30" s="5">
        <v>15.3</v>
      </c>
      <c r="F30" s="5">
        <v>7.94</v>
      </c>
      <c r="H30" s="5">
        <v>1.31</v>
      </c>
    </row>
    <row r="31">
      <c r="A31" s="4" t="s">
        <v>38</v>
      </c>
      <c r="B31" s="5">
        <v>1501.0</v>
      </c>
      <c r="C31" s="5">
        <v>17.4</v>
      </c>
      <c r="D31" s="5">
        <v>17.2</v>
      </c>
      <c r="F31" s="5">
        <v>8.34</v>
      </c>
      <c r="H31" s="5">
        <v>1.12</v>
      </c>
    </row>
    <row r="32">
      <c r="A32" s="4" t="s">
        <v>36</v>
      </c>
      <c r="B32" s="5">
        <v>1516.0</v>
      </c>
      <c r="C32" s="5">
        <v>20.0</v>
      </c>
      <c r="D32" s="5">
        <v>22.1</v>
      </c>
      <c r="F32" s="5">
        <v>8.63</v>
      </c>
      <c r="H32" s="5">
        <v>0.85</v>
      </c>
    </row>
    <row r="33">
      <c r="A33" s="4" t="s">
        <v>1638</v>
      </c>
      <c r="B33" s="5">
        <v>1510.0</v>
      </c>
      <c r="C33" s="5">
        <v>16.1</v>
      </c>
      <c r="D33" s="5">
        <v>17.0</v>
      </c>
      <c r="F33" s="5">
        <v>8.58</v>
      </c>
      <c r="H33" s="5">
        <v>1.04</v>
      </c>
    </row>
    <row r="34">
      <c r="A34" s="4" t="s">
        <v>1418</v>
      </c>
      <c r="B34" s="5">
        <v>1490.0</v>
      </c>
      <c r="C34" s="5">
        <v>13.4</v>
      </c>
      <c r="D34" s="5">
        <v>13.2</v>
      </c>
      <c r="F34" s="5">
        <v>6.78</v>
      </c>
      <c r="H34" s="5">
        <v>0.83</v>
      </c>
    </row>
    <row r="35">
      <c r="A35" s="4" t="s">
        <v>1639</v>
      </c>
      <c r="B35" s="5">
        <v>1496.0</v>
      </c>
      <c r="C35" s="5">
        <v>10.2</v>
      </c>
      <c r="D35" s="5">
        <v>11.0</v>
      </c>
      <c r="F35" s="5">
        <v>6.31</v>
      </c>
      <c r="H35" s="5">
        <v>0.42</v>
      </c>
    </row>
    <row r="36">
      <c r="A36" s="4" t="s">
        <v>1216</v>
      </c>
      <c r="B36" s="5">
        <v>1491.0</v>
      </c>
      <c r="C36" s="5">
        <v>13.5</v>
      </c>
      <c r="D36" s="5">
        <v>12.0</v>
      </c>
      <c r="F36" s="5">
        <v>6.48</v>
      </c>
      <c r="H36" s="5">
        <v>0.57</v>
      </c>
    </row>
    <row r="37">
      <c r="A37" s="4" t="s">
        <v>1640</v>
      </c>
      <c r="B37" s="5">
        <v>1507.0</v>
      </c>
      <c r="C37" s="5">
        <v>11.2</v>
      </c>
      <c r="D37" s="5">
        <v>13.8</v>
      </c>
      <c r="F37" s="5">
        <v>6.49</v>
      </c>
      <c r="H37" s="5">
        <v>0.34</v>
      </c>
    </row>
    <row r="38">
      <c r="A38" s="4" t="s">
        <v>1217</v>
      </c>
    </row>
    <row r="39">
      <c r="A39" s="4" t="s">
        <v>32</v>
      </c>
      <c r="B39" s="5">
        <v>1499.0</v>
      </c>
      <c r="C39" s="5">
        <v>11.5</v>
      </c>
      <c r="D39" s="5">
        <v>13.1</v>
      </c>
      <c r="F39" s="5">
        <v>6.08</v>
      </c>
      <c r="H39" s="5">
        <v>0.59</v>
      </c>
    </row>
    <row r="40">
      <c r="A40" s="4" t="s">
        <v>1641</v>
      </c>
      <c r="B40" s="5">
        <v>1487.0</v>
      </c>
      <c r="C40" s="5">
        <v>12.3</v>
      </c>
      <c r="D40" s="5">
        <v>10.7</v>
      </c>
      <c r="F40" s="5">
        <v>4.9</v>
      </c>
      <c r="H40" s="5">
        <v>0.37</v>
      </c>
    </row>
    <row r="41">
      <c r="A41" s="4" t="s">
        <v>47</v>
      </c>
    </row>
    <row r="42">
      <c r="A42" s="4" t="s">
        <v>40</v>
      </c>
    </row>
    <row r="43">
      <c r="A43" s="4" t="s">
        <v>48</v>
      </c>
      <c r="B43" s="5">
        <v>1492.0</v>
      </c>
      <c r="C43" s="5">
        <v>15.4</v>
      </c>
      <c r="D43" s="5">
        <v>11.7</v>
      </c>
      <c r="F43" s="5">
        <v>7.74</v>
      </c>
      <c r="H43" s="5">
        <v>0.77</v>
      </c>
    </row>
    <row r="44">
      <c r="A44" s="4" t="s">
        <v>35</v>
      </c>
      <c r="B44" s="5">
        <v>1503.0</v>
      </c>
      <c r="C44" s="5">
        <v>14.1</v>
      </c>
      <c r="D44" s="5">
        <v>13.6</v>
      </c>
      <c r="F44" s="5">
        <v>6.36</v>
      </c>
      <c r="H44" s="5">
        <v>0.45</v>
      </c>
    </row>
    <row r="45">
      <c r="A45" s="4" t="s">
        <v>1642</v>
      </c>
      <c r="B45" s="5">
        <v>1500.0</v>
      </c>
      <c r="C45" s="5">
        <v>15.4</v>
      </c>
      <c r="D45" s="5">
        <v>14.8</v>
      </c>
      <c r="F45" s="5">
        <v>6.92</v>
      </c>
      <c r="H45" s="5">
        <v>0.66</v>
      </c>
    </row>
    <row r="46">
      <c r="A46" s="4" t="s">
        <v>45</v>
      </c>
      <c r="B46" s="5">
        <v>1498.0</v>
      </c>
      <c r="C46" s="5">
        <v>17.5</v>
      </c>
      <c r="D46" s="5">
        <v>15.1</v>
      </c>
      <c r="F46" s="5">
        <v>8.52</v>
      </c>
      <c r="H46" s="5">
        <v>1.14</v>
      </c>
    </row>
    <row r="47">
      <c r="A47" s="4" t="s">
        <v>1643</v>
      </c>
      <c r="B47" s="5">
        <v>1504.0</v>
      </c>
      <c r="C47" s="5">
        <v>19.1</v>
      </c>
      <c r="D47" s="5">
        <v>20.7</v>
      </c>
      <c r="F47" s="5">
        <v>8.28</v>
      </c>
      <c r="H47" s="5">
        <v>0.84</v>
      </c>
    </row>
    <row r="48">
      <c r="A48" s="4" t="s">
        <v>1644</v>
      </c>
      <c r="B48" s="5">
        <v>1484.0</v>
      </c>
      <c r="C48" s="5">
        <v>15.2</v>
      </c>
      <c r="D48" s="5">
        <v>14.6</v>
      </c>
      <c r="F48" s="5">
        <v>7.04</v>
      </c>
      <c r="H48" s="5">
        <v>0.75</v>
      </c>
    </row>
    <row r="49">
      <c r="A49" s="4" t="s">
        <v>1645</v>
      </c>
      <c r="B49" s="5">
        <v>1486.0</v>
      </c>
      <c r="C49" s="5">
        <v>9.7</v>
      </c>
      <c r="D49" s="5">
        <v>12.1</v>
      </c>
      <c r="F49" s="5">
        <v>6.7</v>
      </c>
      <c r="H49" s="5">
        <v>0.47</v>
      </c>
    </row>
    <row r="50">
      <c r="A50" s="4" t="s">
        <v>1646</v>
      </c>
      <c r="B50" s="5">
        <v>1482.0</v>
      </c>
      <c r="C50" s="5">
        <v>11.6</v>
      </c>
      <c r="D50" s="5">
        <v>11.2</v>
      </c>
      <c r="F50" s="5">
        <v>6.06</v>
      </c>
      <c r="H50" s="5">
        <v>0.36</v>
      </c>
    </row>
    <row r="51">
      <c r="A51" s="4" t="s">
        <v>1647</v>
      </c>
      <c r="B51" s="5">
        <v>1475.0</v>
      </c>
      <c r="C51" s="5">
        <v>11.6</v>
      </c>
      <c r="D51" s="5">
        <v>8.7</v>
      </c>
      <c r="F51" s="5">
        <v>5.93</v>
      </c>
    </row>
    <row r="52">
      <c r="A52" s="4" t="s">
        <v>1648</v>
      </c>
      <c r="B52" s="5">
        <v>1497.0</v>
      </c>
      <c r="C52" s="5">
        <v>12.7</v>
      </c>
      <c r="D52" s="5">
        <v>11.4</v>
      </c>
      <c r="F52" s="5">
        <v>7.22</v>
      </c>
      <c r="H52" s="5">
        <v>0.62</v>
      </c>
    </row>
    <row r="53">
      <c r="A53" s="4" t="s">
        <v>1649</v>
      </c>
      <c r="B53" s="5">
        <v>1483.0</v>
      </c>
      <c r="C53" s="5">
        <v>11.7</v>
      </c>
      <c r="D53" s="5">
        <v>9.7</v>
      </c>
      <c r="F53" s="5">
        <v>5.84</v>
      </c>
      <c r="H53" s="5">
        <v>0.3</v>
      </c>
    </row>
    <row r="54">
      <c r="A54" s="4" t="s">
        <v>1650</v>
      </c>
      <c r="B54" s="5">
        <v>1481.0</v>
      </c>
      <c r="C54" s="5">
        <v>11.7</v>
      </c>
      <c r="D54" s="5">
        <v>9.0</v>
      </c>
      <c r="F54" s="5">
        <v>6.5</v>
      </c>
      <c r="H54" s="5">
        <v>0.33</v>
      </c>
    </row>
    <row r="55">
      <c r="A55" s="4" t="s">
        <v>1651</v>
      </c>
      <c r="B55" s="5">
        <v>1479.0</v>
      </c>
      <c r="C55" s="5">
        <v>13.2</v>
      </c>
      <c r="D55" s="5">
        <v>10.2</v>
      </c>
      <c r="F55" s="5">
        <v>5.63</v>
      </c>
      <c r="H55" s="5">
        <v>0.24</v>
      </c>
    </row>
    <row r="56">
      <c r="A56" s="4" t="s">
        <v>1652</v>
      </c>
      <c r="B56" s="5">
        <v>1485.0</v>
      </c>
      <c r="C56" s="5">
        <v>13.3</v>
      </c>
      <c r="D56" s="5">
        <v>13.1</v>
      </c>
      <c r="F56" s="5">
        <v>6.66</v>
      </c>
      <c r="H56" s="5">
        <v>0.62</v>
      </c>
    </row>
    <row r="57">
      <c r="A57" s="4" t="s">
        <v>1653</v>
      </c>
    </row>
    <row r="58">
      <c r="A58" s="4" t="s">
        <v>1654</v>
      </c>
    </row>
    <row r="59">
      <c r="A59" s="4" t="s">
        <v>1655</v>
      </c>
      <c r="B59" s="5">
        <v>1493.0</v>
      </c>
      <c r="C59" s="5">
        <v>12.0</v>
      </c>
      <c r="D59" s="5">
        <v>9.9</v>
      </c>
      <c r="F59" s="5">
        <v>6.12</v>
      </c>
      <c r="H59" s="5">
        <v>0.35</v>
      </c>
    </row>
    <row r="60">
      <c r="A60" s="4" t="s">
        <v>49</v>
      </c>
      <c r="B60" s="5">
        <v>1480.0</v>
      </c>
      <c r="C60" s="5">
        <v>11.6</v>
      </c>
      <c r="D60" s="5">
        <v>11.5</v>
      </c>
      <c r="F60" s="5">
        <v>6.63</v>
      </c>
      <c r="H60" s="5">
        <v>0.32</v>
      </c>
    </row>
    <row r="61">
      <c r="A61" s="4" t="s">
        <v>1656</v>
      </c>
      <c r="B61" s="5">
        <v>1489.0</v>
      </c>
      <c r="C61" s="5">
        <v>11.2</v>
      </c>
      <c r="D61" s="5">
        <v>10.1</v>
      </c>
      <c r="F61" s="5">
        <v>6.5</v>
      </c>
      <c r="H61" s="5">
        <v>0.34</v>
      </c>
    </row>
    <row r="62">
      <c r="A62" s="4" t="s">
        <v>1657</v>
      </c>
      <c r="B62" s="5">
        <v>1488.0</v>
      </c>
      <c r="C62" s="5">
        <v>10.2</v>
      </c>
      <c r="D62" s="5">
        <v>8.6</v>
      </c>
      <c r="F62" s="5">
        <v>3.89</v>
      </c>
      <c r="H62" s="5">
        <v>0.11</v>
      </c>
    </row>
    <row r="63">
      <c r="A63" s="4" t="s">
        <v>1658</v>
      </c>
      <c r="B63" s="5">
        <v>1495.0</v>
      </c>
      <c r="C63" s="5">
        <v>8.9</v>
      </c>
      <c r="D63" s="5">
        <v>9.0</v>
      </c>
      <c r="F63" s="5">
        <v>5.5</v>
      </c>
      <c r="H63" s="5">
        <v>0.2</v>
      </c>
    </row>
    <row r="64">
      <c r="A64" s="4"/>
    </row>
    <row r="65">
      <c r="A65" s="4" t="s">
        <v>50</v>
      </c>
      <c r="B65" s="5">
        <v>1574.0</v>
      </c>
      <c r="C65" s="5">
        <v>20.5</v>
      </c>
      <c r="D65" s="5">
        <v>13.0</v>
      </c>
      <c r="F65" s="5">
        <v>9.02</v>
      </c>
      <c r="H65" s="5">
        <v>5.34</v>
      </c>
    </row>
    <row r="66">
      <c r="A66" s="4" t="s">
        <v>51</v>
      </c>
      <c r="B66" s="5">
        <v>1571.0</v>
      </c>
      <c r="C66" s="5">
        <v>17.7</v>
      </c>
      <c r="D66" s="5">
        <v>19.1</v>
      </c>
      <c r="F66" s="5">
        <v>8.8</v>
      </c>
      <c r="H66" s="5">
        <v>3.85</v>
      </c>
    </row>
    <row r="67">
      <c r="A67" s="11" t="s">
        <v>52</v>
      </c>
      <c r="B67" s="5">
        <v>1573.0</v>
      </c>
      <c r="C67" s="5">
        <v>5.1</v>
      </c>
      <c r="D67" s="5">
        <v>17.1</v>
      </c>
      <c r="F67" s="5">
        <v>7.39</v>
      </c>
      <c r="H67" s="5">
        <v>1.38</v>
      </c>
    </row>
    <row r="68">
      <c r="A68" s="4" t="s">
        <v>53</v>
      </c>
      <c r="B68" s="5">
        <v>1567.0</v>
      </c>
      <c r="C68" s="5">
        <v>28.0</v>
      </c>
      <c r="D68" s="5">
        <v>26.5</v>
      </c>
      <c r="F68" s="5">
        <v>6.93</v>
      </c>
      <c r="H68" s="5">
        <v>3.84</v>
      </c>
    </row>
    <row r="69">
      <c r="A69" s="4" t="s">
        <v>1419</v>
      </c>
      <c r="B69" s="5">
        <v>1558.0</v>
      </c>
      <c r="C69" s="5">
        <v>29.0</v>
      </c>
      <c r="D69" s="5">
        <v>25.0</v>
      </c>
      <c r="F69" s="5">
        <v>8.24</v>
      </c>
      <c r="H69" s="5">
        <v>1.51</v>
      </c>
    </row>
    <row r="70">
      <c r="A70" s="4" t="s">
        <v>1220</v>
      </c>
      <c r="B70" s="5">
        <v>1568.0</v>
      </c>
      <c r="C70" s="5">
        <v>29.1</v>
      </c>
      <c r="D70" s="5">
        <v>21.1</v>
      </c>
      <c r="F70" s="5">
        <v>8.79</v>
      </c>
      <c r="H70" s="5">
        <v>1.67</v>
      </c>
    </row>
    <row r="71">
      <c r="A71" s="4" t="s">
        <v>54</v>
      </c>
      <c r="B71" s="5">
        <v>1570.0</v>
      </c>
      <c r="C71" s="5">
        <v>33.7</v>
      </c>
      <c r="D71" s="5">
        <v>41.5</v>
      </c>
      <c r="F71" s="5">
        <v>8.3</v>
      </c>
      <c r="H71" s="5">
        <v>3.31</v>
      </c>
    </row>
    <row r="72">
      <c r="A72" s="4" t="s">
        <v>1659</v>
      </c>
      <c r="B72" s="5">
        <v>1565.0</v>
      </c>
      <c r="C72" s="5">
        <v>30.9</v>
      </c>
      <c r="D72" s="5">
        <v>26.0</v>
      </c>
      <c r="F72" s="5">
        <v>6.99</v>
      </c>
      <c r="H72" s="5">
        <v>0.69</v>
      </c>
    </row>
    <row r="73">
      <c r="A73" s="4" t="s">
        <v>59</v>
      </c>
      <c r="B73" s="5">
        <v>1562.0</v>
      </c>
      <c r="C73" s="5">
        <v>28.0</v>
      </c>
      <c r="D73" s="5">
        <v>28.8</v>
      </c>
      <c r="F73" s="5">
        <v>5.63</v>
      </c>
      <c r="H73" s="5">
        <v>1.28</v>
      </c>
    </row>
    <row r="74">
      <c r="A74" s="4" t="s">
        <v>55</v>
      </c>
      <c r="B74" s="5">
        <v>1572.0</v>
      </c>
      <c r="C74" s="5">
        <v>25.8</v>
      </c>
      <c r="D74" s="5">
        <v>29.1</v>
      </c>
      <c r="F74" s="5">
        <v>8.18</v>
      </c>
      <c r="H74" s="5">
        <v>2.1</v>
      </c>
    </row>
    <row r="75">
      <c r="A75" s="4" t="s">
        <v>1420</v>
      </c>
      <c r="B75" s="5">
        <v>1548.0</v>
      </c>
      <c r="C75" s="5">
        <v>15.7</v>
      </c>
      <c r="D75" s="5">
        <v>19.0</v>
      </c>
      <c r="F75" s="5">
        <v>8.25</v>
      </c>
      <c r="H75" s="5">
        <v>1.28</v>
      </c>
    </row>
    <row r="76">
      <c r="A76" s="4" t="s">
        <v>1421</v>
      </c>
      <c r="B76" s="5">
        <v>1559.0</v>
      </c>
      <c r="C76" s="5">
        <v>30.2</v>
      </c>
      <c r="D76" s="5">
        <v>29.6</v>
      </c>
      <c r="F76" s="5">
        <v>8.51</v>
      </c>
      <c r="H76" s="5">
        <v>1.39</v>
      </c>
    </row>
    <row r="77">
      <c r="A77" s="4" t="s">
        <v>56</v>
      </c>
      <c r="B77" s="5">
        <v>1566.0</v>
      </c>
      <c r="C77" s="5">
        <v>31.7</v>
      </c>
      <c r="D77" s="5">
        <v>33.0</v>
      </c>
      <c r="F77" s="5">
        <v>5.51</v>
      </c>
      <c r="H77" s="5">
        <v>0.79</v>
      </c>
    </row>
    <row r="78">
      <c r="A78" s="4" t="s">
        <v>57</v>
      </c>
      <c r="B78" s="5">
        <v>1553.0</v>
      </c>
      <c r="C78" s="5">
        <v>20.0</v>
      </c>
      <c r="D78" s="5">
        <v>20.1</v>
      </c>
      <c r="F78" s="5">
        <v>6.66</v>
      </c>
      <c r="H78" s="5">
        <v>0.64</v>
      </c>
    </row>
    <row r="79">
      <c r="A79" s="4" t="s">
        <v>1223</v>
      </c>
      <c r="B79" s="5">
        <v>1563.0</v>
      </c>
      <c r="C79" s="5">
        <v>23.2</v>
      </c>
      <c r="D79" s="5">
        <v>24.3</v>
      </c>
      <c r="F79" s="5">
        <v>5.58</v>
      </c>
      <c r="H79" s="5">
        <v>0.71</v>
      </c>
    </row>
    <row r="80">
      <c r="A80" s="4" t="s">
        <v>1228</v>
      </c>
      <c r="B80" s="5">
        <v>1556.0</v>
      </c>
      <c r="C80" s="5">
        <v>20.1</v>
      </c>
      <c r="D80" s="5">
        <v>21.7</v>
      </c>
      <c r="F80" s="5">
        <v>8.22</v>
      </c>
      <c r="H80" s="5">
        <v>0.96</v>
      </c>
    </row>
    <row r="81">
      <c r="A81" s="4" t="s">
        <v>58</v>
      </c>
    </row>
    <row r="82">
      <c r="A82" s="4" t="s">
        <v>69</v>
      </c>
    </row>
    <row r="83">
      <c r="A83" s="4" t="s">
        <v>70</v>
      </c>
      <c r="B83" s="5">
        <v>1569.0</v>
      </c>
      <c r="C83" s="5">
        <v>33.1</v>
      </c>
      <c r="D83" s="5">
        <v>27.7</v>
      </c>
      <c r="F83" s="5">
        <v>7.16</v>
      </c>
      <c r="H83" s="5">
        <v>1.41</v>
      </c>
    </row>
    <row r="84">
      <c r="A84" s="4" t="s">
        <v>71</v>
      </c>
      <c r="B84" s="5">
        <v>1555.0</v>
      </c>
      <c r="C84" s="5">
        <v>16.8</v>
      </c>
      <c r="D84" s="5">
        <v>18.8</v>
      </c>
      <c r="F84" s="5">
        <v>7.04</v>
      </c>
      <c r="H84" s="5">
        <v>1.01</v>
      </c>
    </row>
    <row r="85">
      <c r="A85" s="4" t="s">
        <v>1660</v>
      </c>
      <c r="B85" s="5">
        <v>1564.0</v>
      </c>
      <c r="C85" s="5">
        <v>16.6</v>
      </c>
      <c r="D85" s="5">
        <v>20.6</v>
      </c>
      <c r="F85" s="5">
        <v>6.79</v>
      </c>
      <c r="H85" s="5">
        <v>0.67</v>
      </c>
    </row>
    <row r="86">
      <c r="A86" s="4" t="s">
        <v>60</v>
      </c>
      <c r="B86" s="5">
        <v>1561.0</v>
      </c>
      <c r="C86" s="5">
        <v>22.7</v>
      </c>
      <c r="D86" s="5">
        <v>20.0</v>
      </c>
      <c r="F86" s="5">
        <v>6.26</v>
      </c>
      <c r="H86" s="5">
        <v>1.16</v>
      </c>
    </row>
    <row r="87">
      <c r="A87" s="4" t="s">
        <v>61</v>
      </c>
      <c r="B87" s="5">
        <v>1560.0</v>
      </c>
      <c r="C87" s="5">
        <v>17.4</v>
      </c>
      <c r="D87" s="5">
        <v>21.9</v>
      </c>
      <c r="F87" s="5">
        <v>6.55</v>
      </c>
      <c r="H87" s="5">
        <v>1.03</v>
      </c>
    </row>
    <row r="88">
      <c r="A88" s="4" t="s">
        <v>1423</v>
      </c>
      <c r="B88" s="5">
        <v>1541.0</v>
      </c>
      <c r="C88" s="5">
        <v>17.8</v>
      </c>
      <c r="D88" s="5">
        <v>16.1</v>
      </c>
      <c r="F88" s="5">
        <v>7.2</v>
      </c>
      <c r="H88" s="5">
        <v>1.04</v>
      </c>
    </row>
    <row r="89">
      <c r="A89" s="4" t="s">
        <v>1661</v>
      </c>
      <c r="B89" s="5">
        <v>1557.0</v>
      </c>
      <c r="C89" s="5">
        <v>20.2</v>
      </c>
      <c r="D89" s="5">
        <v>19.3</v>
      </c>
      <c r="F89" s="5">
        <v>6.65</v>
      </c>
      <c r="H89" s="5">
        <v>0.77</v>
      </c>
    </row>
    <row r="90">
      <c r="A90" s="4" t="s">
        <v>1422</v>
      </c>
      <c r="B90" s="5">
        <v>1549.0</v>
      </c>
      <c r="C90" s="5">
        <v>19.2</v>
      </c>
      <c r="D90" s="5">
        <v>19.0</v>
      </c>
      <c r="F90" s="5">
        <v>7.53</v>
      </c>
      <c r="H90" s="5">
        <v>1.16</v>
      </c>
    </row>
    <row r="91">
      <c r="A91" s="4" t="s">
        <v>73</v>
      </c>
      <c r="B91" s="5">
        <v>1552.0</v>
      </c>
      <c r="C91" s="5">
        <v>13.1</v>
      </c>
      <c r="D91" s="5">
        <v>16.1</v>
      </c>
      <c r="F91" s="5">
        <v>6.28</v>
      </c>
      <c r="H91" s="5">
        <v>0.59</v>
      </c>
    </row>
    <row r="92">
      <c r="A92" s="4" t="s">
        <v>74</v>
      </c>
      <c r="B92" s="5">
        <v>1554.0</v>
      </c>
      <c r="C92" s="5">
        <v>18.1</v>
      </c>
      <c r="D92" s="5">
        <v>20.2</v>
      </c>
      <c r="F92" s="5">
        <v>5.3</v>
      </c>
      <c r="H92" s="5">
        <v>0.47</v>
      </c>
    </row>
    <row r="93">
      <c r="A93" s="4" t="s">
        <v>80</v>
      </c>
    </row>
    <row r="94">
      <c r="A94" s="4" t="s">
        <v>90</v>
      </c>
      <c r="B94" s="5">
        <v>1545.0</v>
      </c>
      <c r="C94" s="5">
        <v>20.1</v>
      </c>
      <c r="D94" s="5">
        <v>21.6</v>
      </c>
      <c r="F94" s="5">
        <v>7.91</v>
      </c>
      <c r="H94" s="5">
        <v>0.95</v>
      </c>
    </row>
    <row r="95">
      <c r="A95" s="4" t="s">
        <v>81</v>
      </c>
      <c r="B95" s="5">
        <v>1546.0</v>
      </c>
      <c r="C95" s="5">
        <v>18.0</v>
      </c>
      <c r="D95" s="5">
        <v>14.7</v>
      </c>
      <c r="F95" s="5">
        <v>6.19</v>
      </c>
      <c r="H95" s="5">
        <v>0.95</v>
      </c>
    </row>
    <row r="96">
      <c r="A96" s="4" t="s">
        <v>1662</v>
      </c>
      <c r="B96" s="5">
        <v>1547.0</v>
      </c>
      <c r="C96" s="5">
        <v>14.1</v>
      </c>
      <c r="D96" s="5">
        <v>17.7</v>
      </c>
      <c r="F96" s="5">
        <v>6.57</v>
      </c>
      <c r="H96" s="5">
        <v>0.74</v>
      </c>
    </row>
    <row r="97">
      <c r="A97" s="4" t="s">
        <v>84</v>
      </c>
      <c r="B97" s="5">
        <v>1544.0</v>
      </c>
      <c r="C97" s="5">
        <v>15.8</v>
      </c>
      <c r="D97" s="5">
        <v>14.6</v>
      </c>
      <c r="F97" s="5">
        <v>7.92</v>
      </c>
      <c r="H97" s="5">
        <v>0.85</v>
      </c>
    </row>
    <row r="98">
      <c r="A98" s="4" t="s">
        <v>1663</v>
      </c>
      <c r="B98" s="5">
        <v>1538.0</v>
      </c>
      <c r="C98" s="5">
        <v>18.7</v>
      </c>
      <c r="D98" s="5">
        <v>11.8</v>
      </c>
      <c r="F98" s="5">
        <v>6.29</v>
      </c>
      <c r="H98" s="5">
        <v>0.46</v>
      </c>
    </row>
    <row r="99">
      <c r="A99" s="4" t="s">
        <v>1664</v>
      </c>
      <c r="B99" s="5">
        <v>1542.0</v>
      </c>
      <c r="C99" s="5">
        <v>15.6</v>
      </c>
      <c r="D99" s="5">
        <v>10.4</v>
      </c>
      <c r="F99" s="5">
        <v>4.47</v>
      </c>
      <c r="H99" s="5">
        <v>0.14</v>
      </c>
    </row>
    <row r="100">
      <c r="A100" s="4" t="s">
        <v>1665</v>
      </c>
      <c r="B100" s="5">
        <v>1534.0</v>
      </c>
      <c r="C100" s="5">
        <v>14.2</v>
      </c>
      <c r="D100" s="5">
        <v>14.1</v>
      </c>
      <c r="F100" s="5">
        <v>5.77</v>
      </c>
      <c r="H100" s="5">
        <v>0.35</v>
      </c>
    </row>
    <row r="101">
      <c r="A101" s="4" t="s">
        <v>78</v>
      </c>
      <c r="B101" s="5">
        <v>1536.0</v>
      </c>
      <c r="C101" s="5">
        <v>11.1</v>
      </c>
      <c r="D101" s="5">
        <v>13.7</v>
      </c>
      <c r="F101" s="5">
        <v>5.93</v>
      </c>
      <c r="H101" s="5">
        <v>0.31</v>
      </c>
    </row>
    <row r="102">
      <c r="A102" s="4" t="s">
        <v>1666</v>
      </c>
      <c r="B102" s="5">
        <v>1550.0</v>
      </c>
      <c r="C102" s="5">
        <v>13.9</v>
      </c>
      <c r="D102" s="5">
        <v>17.9</v>
      </c>
      <c r="F102" s="5">
        <v>5.64</v>
      </c>
      <c r="H102" s="5">
        <v>0.38</v>
      </c>
    </row>
    <row r="103">
      <c r="A103" s="4" t="s">
        <v>1424</v>
      </c>
      <c r="B103" s="5">
        <v>1551.0</v>
      </c>
      <c r="C103" s="5">
        <v>14.1</v>
      </c>
      <c r="D103" s="5">
        <v>17.0</v>
      </c>
      <c r="F103" s="5">
        <v>5.11</v>
      </c>
      <c r="H103" s="5">
        <v>0.3</v>
      </c>
    </row>
    <row r="104">
      <c r="A104" s="4" t="s">
        <v>1667</v>
      </c>
      <c r="B104" s="5">
        <v>1539.0</v>
      </c>
      <c r="C104" s="5">
        <v>14.5</v>
      </c>
      <c r="D104" s="5">
        <v>14.6</v>
      </c>
      <c r="F104" s="5">
        <v>5.94</v>
      </c>
      <c r="H104" s="5">
        <v>0.57</v>
      </c>
    </row>
    <row r="105">
      <c r="A105" s="4" t="s">
        <v>1668</v>
      </c>
    </row>
    <row r="106">
      <c r="A106" s="4" t="s">
        <v>1669</v>
      </c>
      <c r="B106" s="5">
        <v>1537.0</v>
      </c>
      <c r="C106" s="5">
        <v>17.1</v>
      </c>
      <c r="D106" s="5">
        <v>14.1</v>
      </c>
      <c r="F106" s="5">
        <v>7.07</v>
      </c>
      <c r="H106" s="5">
        <v>0.71</v>
      </c>
    </row>
    <row r="107">
      <c r="A107" s="4" t="s">
        <v>1670</v>
      </c>
      <c r="B107" s="5">
        <v>1543.0</v>
      </c>
      <c r="C107" s="5">
        <v>16.0</v>
      </c>
      <c r="D107" s="5">
        <v>15.4</v>
      </c>
      <c r="F107" s="5">
        <v>6.13</v>
      </c>
      <c r="H107" s="5">
        <v>0.56</v>
      </c>
    </row>
    <row r="108">
      <c r="A108" s="4" t="s">
        <v>1671</v>
      </c>
      <c r="B108" s="5">
        <v>1540.0</v>
      </c>
      <c r="C108" s="5">
        <v>12.5</v>
      </c>
      <c r="D108" s="5">
        <v>9.5</v>
      </c>
      <c r="F108" s="5">
        <v>4.9</v>
      </c>
      <c r="H108" s="5">
        <v>0.24</v>
      </c>
    </row>
    <row r="109">
      <c r="A109" s="4" t="s">
        <v>1672</v>
      </c>
      <c r="B109" s="5">
        <v>1535.0</v>
      </c>
      <c r="C109" s="5">
        <v>16.3</v>
      </c>
      <c r="D109" s="5">
        <v>15.7</v>
      </c>
      <c r="F109" s="5">
        <v>6.24</v>
      </c>
      <c r="H109" s="5">
        <v>0.48</v>
      </c>
    </row>
    <row r="110">
      <c r="A110" s="4"/>
    </row>
    <row r="111">
      <c r="A111" s="4" t="s">
        <v>93</v>
      </c>
      <c r="B111" s="5">
        <v>1817.0</v>
      </c>
      <c r="C111" s="5">
        <v>20.5</v>
      </c>
      <c r="D111" s="5">
        <v>19.0</v>
      </c>
      <c r="F111" s="5">
        <v>9.23</v>
      </c>
      <c r="H111" s="5">
        <v>3.76</v>
      </c>
    </row>
    <row r="112">
      <c r="A112" s="4" t="s">
        <v>1231</v>
      </c>
      <c r="B112" s="5">
        <v>1815.0</v>
      </c>
      <c r="C112" s="5">
        <v>32.1</v>
      </c>
      <c r="D112" s="5">
        <v>27.8</v>
      </c>
      <c r="F112" s="5">
        <v>7.57</v>
      </c>
      <c r="H112" s="5">
        <v>2.37</v>
      </c>
    </row>
    <row r="113">
      <c r="A113" s="4" t="s">
        <v>1233</v>
      </c>
      <c r="B113" s="5">
        <v>1575.0</v>
      </c>
      <c r="C113" s="5">
        <v>26.2</v>
      </c>
      <c r="D113" s="5">
        <v>25.0</v>
      </c>
      <c r="F113" s="5">
        <v>6.88</v>
      </c>
      <c r="H113" s="5">
        <v>1.29</v>
      </c>
    </row>
    <row r="114">
      <c r="A114" s="4" t="s">
        <v>97</v>
      </c>
      <c r="B114" s="5">
        <v>1816.0</v>
      </c>
      <c r="C114" s="5">
        <v>27.4</v>
      </c>
      <c r="D114" s="5">
        <v>25.5</v>
      </c>
      <c r="F114" s="5">
        <v>7.46</v>
      </c>
      <c r="H114" s="5">
        <v>1.61</v>
      </c>
    </row>
    <row r="115">
      <c r="A115" s="4" t="s">
        <v>104</v>
      </c>
      <c r="B115" s="5">
        <v>1812.0</v>
      </c>
      <c r="C115" s="5">
        <v>27.1</v>
      </c>
      <c r="D115" s="5">
        <v>28.8</v>
      </c>
      <c r="F115" s="5">
        <v>6.32</v>
      </c>
      <c r="H115" s="5">
        <v>1.88</v>
      </c>
    </row>
    <row r="116">
      <c r="A116" s="4" t="s">
        <v>1234</v>
      </c>
    </row>
    <row r="117">
      <c r="A117" s="4" t="s">
        <v>95</v>
      </c>
      <c r="B117" s="5">
        <v>1801.0</v>
      </c>
      <c r="C117" s="5">
        <v>22.2</v>
      </c>
      <c r="D117" s="5">
        <v>32.1</v>
      </c>
      <c r="F117" s="5">
        <v>6.82</v>
      </c>
      <c r="H117" s="5">
        <v>0.82</v>
      </c>
    </row>
    <row r="118">
      <c r="A118" s="4" t="s">
        <v>1232</v>
      </c>
      <c r="B118" s="5">
        <v>1802.0</v>
      </c>
      <c r="C118" s="5">
        <v>28.2</v>
      </c>
      <c r="D118" s="5">
        <v>22.2</v>
      </c>
      <c r="F118" s="5">
        <v>5.72</v>
      </c>
      <c r="H118" s="5">
        <v>0.64</v>
      </c>
    </row>
    <row r="119">
      <c r="A119" s="4" t="s">
        <v>1236</v>
      </c>
      <c r="B119" s="5">
        <v>1800.0</v>
      </c>
      <c r="C119" s="5">
        <v>16.2</v>
      </c>
      <c r="D119" s="5">
        <v>23.0</v>
      </c>
      <c r="F119" s="5">
        <v>5.6</v>
      </c>
      <c r="H119" s="5">
        <v>0.59</v>
      </c>
    </row>
    <row r="120">
      <c r="A120" s="4" t="s">
        <v>1428</v>
      </c>
      <c r="B120" s="5">
        <v>1814.0</v>
      </c>
      <c r="C120" s="5">
        <v>37.2</v>
      </c>
      <c r="D120" s="5">
        <v>30.2</v>
      </c>
      <c r="F120" s="5">
        <v>4.37</v>
      </c>
      <c r="H120" s="5">
        <v>0.68</v>
      </c>
    </row>
    <row r="121">
      <c r="A121" s="4" t="s">
        <v>105</v>
      </c>
      <c r="B121" s="5">
        <v>1811.0</v>
      </c>
      <c r="C121" s="5">
        <v>18.1</v>
      </c>
      <c r="D121" s="5">
        <v>21.2</v>
      </c>
      <c r="F121" s="5">
        <v>7.2</v>
      </c>
      <c r="H121" s="5">
        <v>1.54</v>
      </c>
    </row>
    <row r="122">
      <c r="A122" s="4" t="s">
        <v>1673</v>
      </c>
      <c r="B122" s="5">
        <v>1808.0</v>
      </c>
      <c r="C122" s="5">
        <v>25.2</v>
      </c>
      <c r="D122" s="5">
        <v>28.3</v>
      </c>
      <c r="F122" s="5">
        <v>6.52</v>
      </c>
      <c r="H122" s="5">
        <v>0.62</v>
      </c>
    </row>
    <row r="123">
      <c r="A123" s="4" t="s">
        <v>1235</v>
      </c>
    </row>
    <row r="124">
      <c r="A124" s="4" t="s">
        <v>1430</v>
      </c>
    </row>
    <row r="125">
      <c r="A125" s="4" t="s">
        <v>101</v>
      </c>
      <c r="B125" s="5">
        <v>1807.0</v>
      </c>
      <c r="C125" s="5">
        <v>17.9</v>
      </c>
      <c r="D125" s="5">
        <v>16.2</v>
      </c>
      <c r="F125" s="5">
        <v>6.47</v>
      </c>
      <c r="H125" s="5">
        <v>0.72</v>
      </c>
    </row>
    <row r="126">
      <c r="A126" s="4" t="s">
        <v>1237</v>
      </c>
      <c r="B126" s="5">
        <v>1810.0</v>
      </c>
      <c r="C126" s="5">
        <v>15.7</v>
      </c>
      <c r="D126" s="5">
        <v>17.1</v>
      </c>
      <c r="F126" s="5">
        <v>5.82</v>
      </c>
      <c r="H126" s="5">
        <v>0.7</v>
      </c>
    </row>
    <row r="127">
      <c r="A127" s="4" t="s">
        <v>1429</v>
      </c>
      <c r="B127" s="5">
        <v>1799.0</v>
      </c>
      <c r="C127" s="5">
        <v>18.0</v>
      </c>
      <c r="D127" s="5">
        <v>20.2</v>
      </c>
      <c r="F127" s="5">
        <v>5.35</v>
      </c>
      <c r="H127" s="5">
        <v>0.46</v>
      </c>
    </row>
    <row r="128">
      <c r="A128" s="4" t="s">
        <v>1431</v>
      </c>
      <c r="B128" s="5">
        <v>1803.0</v>
      </c>
      <c r="C128" s="5">
        <v>13.0</v>
      </c>
      <c r="D128" s="5">
        <v>16.2</v>
      </c>
      <c r="F128" s="5">
        <v>5.6</v>
      </c>
      <c r="H128" s="5">
        <v>0.45</v>
      </c>
    </row>
    <row r="129">
      <c r="A129" s="4" t="s">
        <v>103</v>
      </c>
      <c r="B129" s="5">
        <v>1813.0</v>
      </c>
      <c r="C129" s="5">
        <v>21.7</v>
      </c>
      <c r="D129" s="5">
        <v>20.8</v>
      </c>
      <c r="F129" s="5">
        <v>5.64</v>
      </c>
      <c r="H129" s="5">
        <v>0.68</v>
      </c>
    </row>
    <row r="130">
      <c r="A130" s="4" t="s">
        <v>114</v>
      </c>
      <c r="B130" s="5">
        <v>1809.0</v>
      </c>
      <c r="C130" s="5">
        <v>18.5</v>
      </c>
      <c r="D130" s="5">
        <v>19.2</v>
      </c>
      <c r="F130" s="5">
        <v>6.98</v>
      </c>
      <c r="H130" s="5">
        <v>0.96</v>
      </c>
    </row>
    <row r="131">
      <c r="A131" s="4" t="s">
        <v>1674</v>
      </c>
      <c r="B131" s="5">
        <v>1576.0</v>
      </c>
      <c r="C131" s="5">
        <v>16.0</v>
      </c>
      <c r="D131" s="5">
        <v>19.0</v>
      </c>
      <c r="F131" s="5">
        <v>6.51</v>
      </c>
      <c r="H131" s="5">
        <v>0.49</v>
      </c>
    </row>
    <row r="132">
      <c r="A132" s="4" t="s">
        <v>113</v>
      </c>
      <c r="B132" s="5">
        <v>1577.0</v>
      </c>
      <c r="C132" s="5">
        <v>18.0</v>
      </c>
      <c r="D132" s="5">
        <v>20.1</v>
      </c>
      <c r="F132" s="5">
        <v>6.36</v>
      </c>
      <c r="H132" s="5">
        <v>0.54</v>
      </c>
    </row>
    <row r="133">
      <c r="A133" s="4" t="s">
        <v>118</v>
      </c>
      <c r="B133" s="5">
        <v>1806.0</v>
      </c>
      <c r="C133" s="5">
        <v>17.0</v>
      </c>
      <c r="D133" s="5">
        <v>15.0</v>
      </c>
      <c r="F133" s="5">
        <v>5.55</v>
      </c>
      <c r="H133" s="5">
        <v>0.52</v>
      </c>
    </row>
    <row r="134">
      <c r="A134" s="4" t="s">
        <v>1432</v>
      </c>
      <c r="B134" s="5">
        <v>1578.0</v>
      </c>
      <c r="C134" s="5">
        <v>10.4</v>
      </c>
      <c r="D134" s="5">
        <v>14.2</v>
      </c>
      <c r="F134" s="5">
        <v>4.33</v>
      </c>
      <c r="H134" s="5">
        <v>0.24</v>
      </c>
    </row>
    <row r="135">
      <c r="A135" s="4" t="s">
        <v>1439</v>
      </c>
      <c r="B135" s="5">
        <v>1580.0</v>
      </c>
      <c r="C135" s="5">
        <v>13.1</v>
      </c>
      <c r="D135" s="5">
        <v>13.6</v>
      </c>
      <c r="E135" s="5" t="s">
        <v>1543</v>
      </c>
      <c r="F135" s="5">
        <v>5.05</v>
      </c>
      <c r="H135" s="5">
        <v>0.28</v>
      </c>
    </row>
    <row r="136">
      <c r="A136" s="4" t="s">
        <v>110</v>
      </c>
      <c r="B136" s="5">
        <v>1804.0</v>
      </c>
      <c r="C136" s="5">
        <v>20.1</v>
      </c>
      <c r="D136" s="5">
        <v>17.0</v>
      </c>
      <c r="F136" s="5">
        <v>6.21</v>
      </c>
      <c r="H136" s="5">
        <v>0.5</v>
      </c>
    </row>
    <row r="137">
      <c r="A137" s="4" t="s">
        <v>109</v>
      </c>
      <c r="B137" s="5">
        <v>1579.0</v>
      </c>
      <c r="C137" s="5">
        <v>11.7</v>
      </c>
      <c r="D137" s="5">
        <v>15.7</v>
      </c>
      <c r="F137" s="5">
        <v>5.07</v>
      </c>
    </row>
    <row r="138">
      <c r="A138" s="4" t="s">
        <v>1435</v>
      </c>
    </row>
    <row r="139">
      <c r="A139" s="4" t="s">
        <v>1238</v>
      </c>
    </row>
    <row r="140">
      <c r="A140" s="9" t="s">
        <v>1675</v>
      </c>
      <c r="B140" s="5">
        <v>1805.0</v>
      </c>
      <c r="C140" s="5">
        <v>19.6</v>
      </c>
      <c r="D140" s="5">
        <v>21.0</v>
      </c>
      <c r="F140" s="5">
        <v>6.15</v>
      </c>
      <c r="H140" s="5">
        <v>0.7</v>
      </c>
    </row>
    <row r="141">
      <c r="A141" s="4"/>
    </row>
    <row r="142">
      <c r="A142" s="4" t="s">
        <v>128</v>
      </c>
      <c r="B142" s="5">
        <v>1848.0</v>
      </c>
      <c r="C142" s="5">
        <v>20.9</v>
      </c>
      <c r="D142" s="5">
        <v>23.0</v>
      </c>
      <c r="F142" s="5">
        <v>8.14</v>
      </c>
      <c r="H142" s="5">
        <v>3.42</v>
      </c>
    </row>
    <row r="143">
      <c r="A143" s="4" t="s">
        <v>129</v>
      </c>
      <c r="B143" s="5">
        <v>1847.0</v>
      </c>
      <c r="C143" s="5">
        <v>30.1</v>
      </c>
      <c r="D143" s="5">
        <v>28.5</v>
      </c>
      <c r="F143" s="5">
        <v>7.95</v>
      </c>
      <c r="H143" s="5">
        <v>2.51</v>
      </c>
    </row>
    <row r="144">
      <c r="A144" s="4" t="s">
        <v>130</v>
      </c>
      <c r="B144" s="5">
        <v>1844.0</v>
      </c>
      <c r="C144" s="5">
        <v>32.0</v>
      </c>
      <c r="D144" s="5">
        <v>20.8</v>
      </c>
      <c r="F144" s="5">
        <v>7.72</v>
      </c>
      <c r="H144" s="5">
        <v>1.9</v>
      </c>
    </row>
    <row r="145">
      <c r="A145" s="4" t="s">
        <v>136</v>
      </c>
      <c r="B145" s="5">
        <v>1846.0</v>
      </c>
      <c r="C145" s="5">
        <v>26.5</v>
      </c>
      <c r="D145" s="5">
        <v>23.0</v>
      </c>
      <c r="F145" s="5">
        <v>7.39</v>
      </c>
      <c r="H145" s="5">
        <v>2.7</v>
      </c>
    </row>
    <row r="146">
      <c r="A146" s="4" t="s">
        <v>138</v>
      </c>
      <c r="B146" s="5">
        <v>1840.0</v>
      </c>
      <c r="C146" s="5">
        <v>31.2</v>
      </c>
      <c r="D146" s="5">
        <v>33.6</v>
      </c>
      <c r="F146" s="5">
        <v>8.15</v>
      </c>
      <c r="H146" s="5">
        <v>1.6</v>
      </c>
    </row>
    <row r="147">
      <c r="A147" s="4" t="s">
        <v>1239</v>
      </c>
      <c r="B147" s="5">
        <v>1843.0</v>
      </c>
      <c r="C147" s="5">
        <v>36.7</v>
      </c>
      <c r="D147" s="5">
        <v>33.1</v>
      </c>
      <c r="F147" s="5">
        <v>8.35</v>
      </c>
      <c r="H147" s="5">
        <v>1.11</v>
      </c>
    </row>
    <row r="148">
      <c r="A148" s="4" t="s">
        <v>131</v>
      </c>
      <c r="B148" s="5">
        <v>1845.0</v>
      </c>
      <c r="C148" s="5">
        <v>29.0</v>
      </c>
      <c r="D148" s="5">
        <v>27.7</v>
      </c>
      <c r="F148" s="5">
        <v>8.19</v>
      </c>
      <c r="H148" s="5">
        <v>1.46</v>
      </c>
    </row>
    <row r="149">
      <c r="A149" s="4" t="s">
        <v>137</v>
      </c>
      <c r="B149" s="5">
        <v>1833.0</v>
      </c>
      <c r="C149" s="5">
        <v>18.7</v>
      </c>
      <c r="D149" s="5">
        <v>24.2</v>
      </c>
      <c r="F149" s="5">
        <v>6.89</v>
      </c>
      <c r="H149" s="5">
        <v>1.16</v>
      </c>
    </row>
    <row r="150">
      <c r="A150" s="4" t="s">
        <v>139</v>
      </c>
      <c r="B150" s="5">
        <v>1831.0</v>
      </c>
      <c r="C150" s="5">
        <v>12.7</v>
      </c>
      <c r="D150" s="5">
        <v>11.2</v>
      </c>
      <c r="F150" s="5">
        <v>6.58</v>
      </c>
      <c r="H150" s="5">
        <v>0.95</v>
      </c>
    </row>
    <row r="151">
      <c r="A151" s="4" t="s">
        <v>141</v>
      </c>
      <c r="B151" s="5">
        <v>1834.0</v>
      </c>
      <c r="C151" s="5">
        <v>18.7</v>
      </c>
      <c r="D151" s="5">
        <v>15.4</v>
      </c>
      <c r="F151" s="5">
        <v>8.17</v>
      </c>
      <c r="H151" s="5">
        <v>0.87</v>
      </c>
    </row>
    <row r="152">
      <c r="A152" s="4" t="s">
        <v>1240</v>
      </c>
      <c r="B152" s="5">
        <v>1837.0</v>
      </c>
      <c r="C152" s="5">
        <v>22.3</v>
      </c>
      <c r="D152" s="5">
        <v>23.0</v>
      </c>
      <c r="F152" s="5">
        <v>7.69</v>
      </c>
      <c r="H152" s="5">
        <v>1.27</v>
      </c>
    </row>
    <row r="153">
      <c r="A153" s="4" t="s">
        <v>1241</v>
      </c>
      <c r="B153" s="5">
        <v>1836.0</v>
      </c>
      <c r="C153" s="5">
        <v>15.5</v>
      </c>
      <c r="D153" s="5">
        <v>18.7</v>
      </c>
      <c r="F153" s="5">
        <v>6.88</v>
      </c>
      <c r="H153" s="5">
        <v>0.85</v>
      </c>
    </row>
    <row r="154">
      <c r="A154" s="4" t="s">
        <v>135</v>
      </c>
    </row>
    <row r="155">
      <c r="A155" s="4" t="s">
        <v>132</v>
      </c>
      <c r="B155" s="5">
        <v>1841.0</v>
      </c>
      <c r="C155" s="5">
        <v>23.6</v>
      </c>
      <c r="D155" s="5">
        <v>19.7</v>
      </c>
      <c r="F155" s="5">
        <v>8.74</v>
      </c>
      <c r="H155" s="5">
        <v>1.4</v>
      </c>
    </row>
    <row r="156">
      <c r="A156" s="4" t="s">
        <v>147</v>
      </c>
      <c r="B156" s="5">
        <v>1835.0</v>
      </c>
      <c r="C156" s="5">
        <v>16.4</v>
      </c>
      <c r="D156" s="5">
        <v>20.7</v>
      </c>
      <c r="F156" s="5">
        <v>5.94</v>
      </c>
      <c r="H156" s="5">
        <v>0.41</v>
      </c>
    </row>
    <row r="157">
      <c r="A157" s="4" t="s">
        <v>1676</v>
      </c>
      <c r="B157" s="5">
        <v>1842.0</v>
      </c>
      <c r="C157" s="5">
        <v>19.3</v>
      </c>
      <c r="D157" s="5">
        <v>21.0</v>
      </c>
      <c r="F157" s="5">
        <v>6.46</v>
      </c>
      <c r="H157" s="5">
        <v>0.41</v>
      </c>
    </row>
    <row r="158">
      <c r="A158" s="4" t="s">
        <v>1677</v>
      </c>
      <c r="B158" s="5">
        <v>1839.0</v>
      </c>
      <c r="C158" s="5">
        <v>10.7</v>
      </c>
      <c r="D158" s="5">
        <v>16.5</v>
      </c>
      <c r="F158" s="5">
        <v>5.9</v>
      </c>
      <c r="H158" s="5">
        <v>0.29</v>
      </c>
    </row>
    <row r="159">
      <c r="A159" s="4" t="s">
        <v>155</v>
      </c>
      <c r="B159" s="5">
        <v>1828.0</v>
      </c>
      <c r="C159" s="5">
        <v>6.2</v>
      </c>
      <c r="D159" s="5">
        <v>7.0</v>
      </c>
      <c r="F159" s="5">
        <v>4.33</v>
      </c>
      <c r="H159" s="5">
        <v>0.23</v>
      </c>
    </row>
    <row r="160">
      <c r="A160" s="4" t="s">
        <v>1678</v>
      </c>
      <c r="B160" s="5">
        <v>1832.0</v>
      </c>
      <c r="C160" s="5">
        <v>12.5</v>
      </c>
      <c r="D160" s="5">
        <v>16.1</v>
      </c>
      <c r="F160" s="5">
        <v>5.69</v>
      </c>
      <c r="H160" s="5">
        <v>0.42</v>
      </c>
    </row>
    <row r="161">
      <c r="A161" s="4" t="s">
        <v>151</v>
      </c>
      <c r="B161" s="5">
        <v>1830.0</v>
      </c>
      <c r="C161" s="5">
        <v>12.7</v>
      </c>
      <c r="D161" s="5">
        <v>14.0</v>
      </c>
      <c r="F161" s="5">
        <v>5.98</v>
      </c>
      <c r="H161" s="5">
        <v>0.33</v>
      </c>
    </row>
    <row r="162">
      <c r="A162" s="4" t="s">
        <v>149</v>
      </c>
      <c r="B162" s="5">
        <v>1829.0</v>
      </c>
      <c r="C162" s="5">
        <v>12.1</v>
      </c>
      <c r="D162" s="5">
        <v>13.6</v>
      </c>
      <c r="F162" s="5">
        <v>5.63</v>
      </c>
      <c r="H162" s="5">
        <v>0.38</v>
      </c>
    </row>
    <row r="163">
      <c r="A163" s="4" t="s">
        <v>144</v>
      </c>
      <c r="B163" s="5">
        <v>1838.0</v>
      </c>
      <c r="C163" s="5">
        <v>20.7</v>
      </c>
      <c r="D163" s="5">
        <v>25.0</v>
      </c>
      <c r="F163" s="5">
        <v>6.39</v>
      </c>
      <c r="H163" s="5">
        <v>0.62</v>
      </c>
    </row>
    <row r="164">
      <c r="A164" s="4" t="s">
        <v>142</v>
      </c>
    </row>
    <row r="165">
      <c r="A165" s="4"/>
    </row>
    <row r="166">
      <c r="A166" s="4" t="s">
        <v>1679</v>
      </c>
      <c r="B166" s="5">
        <v>1864.0</v>
      </c>
      <c r="C166" s="5">
        <v>21.5</v>
      </c>
      <c r="D166" s="5">
        <v>30.0</v>
      </c>
      <c r="E166" s="5">
        <v>5.0</v>
      </c>
      <c r="F166" s="5">
        <v>7.12</v>
      </c>
      <c r="H166" s="5">
        <v>0.93</v>
      </c>
    </row>
    <row r="167">
      <c r="A167" s="4" t="s">
        <v>1680</v>
      </c>
      <c r="B167" s="5">
        <v>1859.0</v>
      </c>
      <c r="C167" s="5">
        <v>34.0</v>
      </c>
      <c r="D167" s="5">
        <v>26.7</v>
      </c>
      <c r="F167" s="5">
        <v>8.72</v>
      </c>
      <c r="H167" s="5">
        <v>1.2</v>
      </c>
    </row>
    <row r="168">
      <c r="A168" s="4" t="s">
        <v>164</v>
      </c>
      <c r="B168" s="5">
        <v>1863.0</v>
      </c>
      <c r="C168" s="5">
        <v>37.8</v>
      </c>
      <c r="D168" s="5">
        <v>22.7</v>
      </c>
      <c r="F168" s="5">
        <v>5.83</v>
      </c>
      <c r="H168" s="5">
        <v>0.87</v>
      </c>
    </row>
    <row r="169">
      <c r="A169" s="4" t="s">
        <v>1450</v>
      </c>
      <c r="B169" s="5">
        <v>1858.0</v>
      </c>
      <c r="C169" s="5">
        <v>35.2</v>
      </c>
      <c r="D169" s="5">
        <v>30.2</v>
      </c>
      <c r="F169" s="5">
        <v>6.72</v>
      </c>
      <c r="H169" s="5">
        <v>1.49</v>
      </c>
    </row>
    <row r="170">
      <c r="A170" s="4" t="s">
        <v>1681</v>
      </c>
      <c r="B170" s="5">
        <v>1857.0</v>
      </c>
      <c r="C170" s="5">
        <v>23.0</v>
      </c>
      <c r="D170" s="5">
        <v>24.6</v>
      </c>
      <c r="F170" s="5">
        <v>7.95</v>
      </c>
      <c r="H170" s="5">
        <v>1.3</v>
      </c>
    </row>
    <row r="171">
      <c r="A171" s="4" t="s">
        <v>1242</v>
      </c>
      <c r="B171" s="5">
        <v>1865.0</v>
      </c>
      <c r="C171" s="5">
        <v>20.0</v>
      </c>
      <c r="D171" s="5">
        <v>28.0</v>
      </c>
      <c r="F171" s="5">
        <v>8.41</v>
      </c>
      <c r="H171" s="5">
        <v>1.34</v>
      </c>
    </row>
    <row r="172">
      <c r="A172" s="4" t="s">
        <v>1682</v>
      </c>
      <c r="B172" s="5">
        <v>1862.0</v>
      </c>
      <c r="C172" s="5">
        <v>13.5</v>
      </c>
      <c r="D172" s="5">
        <v>16.0</v>
      </c>
      <c r="F172" s="5">
        <v>5.14</v>
      </c>
      <c r="H172" s="5">
        <v>0.35</v>
      </c>
    </row>
    <row r="173">
      <c r="A173" s="4" t="s">
        <v>1453</v>
      </c>
      <c r="B173" s="5">
        <v>1861.0</v>
      </c>
      <c r="C173" s="5">
        <v>25.0</v>
      </c>
      <c r="D173" s="5">
        <v>24.0</v>
      </c>
      <c r="F173" s="5">
        <v>8.24</v>
      </c>
      <c r="H173" s="5">
        <v>1.28</v>
      </c>
    </row>
    <row r="174">
      <c r="A174" s="4" t="s">
        <v>1454</v>
      </c>
      <c r="B174" s="5">
        <v>1853.0</v>
      </c>
      <c r="C174" s="5">
        <v>15.1</v>
      </c>
      <c r="D174" s="5">
        <v>19.0</v>
      </c>
      <c r="F174" s="5">
        <v>6.52</v>
      </c>
      <c r="H174" s="5">
        <v>0.97</v>
      </c>
    </row>
    <row r="175">
      <c r="A175" s="4" t="s">
        <v>1683</v>
      </c>
      <c r="B175" s="5">
        <v>1854.0</v>
      </c>
      <c r="C175" s="5">
        <v>23.7</v>
      </c>
      <c r="D175" s="5">
        <v>26.5</v>
      </c>
      <c r="F175" s="5">
        <v>6.83</v>
      </c>
      <c r="H175" s="5">
        <v>0.75</v>
      </c>
    </row>
    <row r="176">
      <c r="A176" s="4" t="s">
        <v>1684</v>
      </c>
      <c r="B176" s="5">
        <v>1856.0</v>
      </c>
      <c r="C176" s="5">
        <v>17.6</v>
      </c>
      <c r="D176" s="5">
        <v>18.0</v>
      </c>
      <c r="F176" s="5">
        <v>7.95</v>
      </c>
      <c r="H176" s="5">
        <v>1.4</v>
      </c>
    </row>
    <row r="177">
      <c r="A177" s="4" t="s">
        <v>169</v>
      </c>
    </row>
    <row r="178">
      <c r="A178" s="4" t="s">
        <v>1243</v>
      </c>
      <c r="B178" s="5">
        <v>1850.0</v>
      </c>
      <c r="C178" s="5">
        <v>16.2</v>
      </c>
      <c r="D178" s="5">
        <v>16.0</v>
      </c>
      <c r="F178" s="5">
        <v>6.48</v>
      </c>
      <c r="H178" s="5">
        <v>0.77</v>
      </c>
    </row>
    <row r="179">
      <c r="A179" s="4" t="s">
        <v>1685</v>
      </c>
      <c r="B179" s="5">
        <v>1860.0</v>
      </c>
      <c r="C179" s="5">
        <v>12.6</v>
      </c>
      <c r="D179" s="5">
        <v>20.7</v>
      </c>
      <c r="F179" s="5">
        <v>5.2</v>
      </c>
      <c r="H179" s="5">
        <v>0.37</v>
      </c>
    </row>
    <row r="180">
      <c r="A180" s="4" t="s">
        <v>1455</v>
      </c>
      <c r="B180" s="5">
        <v>1852.0</v>
      </c>
      <c r="C180" s="5">
        <v>14.9</v>
      </c>
      <c r="D180" s="5">
        <v>15.7</v>
      </c>
      <c r="F180" s="5">
        <v>5.07</v>
      </c>
      <c r="H180" s="5">
        <v>0.45</v>
      </c>
    </row>
    <row r="181">
      <c r="A181" s="4" t="s">
        <v>1686</v>
      </c>
      <c r="B181" s="5">
        <v>1851.0</v>
      </c>
      <c r="C181" s="5">
        <v>14.8</v>
      </c>
      <c r="D181" s="5">
        <v>14.0</v>
      </c>
      <c r="F181" s="5">
        <v>6.14</v>
      </c>
      <c r="H181" s="5">
        <v>0.37</v>
      </c>
    </row>
    <row r="182">
      <c r="A182" s="4" t="s">
        <v>174</v>
      </c>
    </row>
    <row r="183">
      <c r="A183" s="4" t="s">
        <v>1244</v>
      </c>
      <c r="B183" s="5">
        <v>1849.0</v>
      </c>
      <c r="C183" s="5">
        <v>15.4</v>
      </c>
      <c r="D183" s="5">
        <v>19.0</v>
      </c>
      <c r="F183" s="5">
        <v>5.79</v>
      </c>
      <c r="H183" s="5">
        <v>0.49</v>
      </c>
    </row>
    <row r="184">
      <c r="A184" s="4" t="s">
        <v>1687</v>
      </c>
      <c r="B184" s="5">
        <v>1855.0</v>
      </c>
      <c r="C184" s="5">
        <v>14.1</v>
      </c>
      <c r="D184" s="5">
        <v>17.5</v>
      </c>
      <c r="F184" s="5">
        <v>5.26</v>
      </c>
      <c r="H184" s="5">
        <v>0.32</v>
      </c>
    </row>
    <row r="185">
      <c r="A185" s="4"/>
    </row>
    <row r="186">
      <c r="A186" s="4" t="s">
        <v>183</v>
      </c>
      <c r="B186" s="5">
        <v>1827.0</v>
      </c>
      <c r="C186" s="5">
        <v>27.3</v>
      </c>
      <c r="D186" s="5">
        <v>20.7</v>
      </c>
      <c r="F186" s="5">
        <v>8.03</v>
      </c>
      <c r="H186" s="5">
        <v>2.45</v>
      </c>
    </row>
    <row r="187">
      <c r="A187" s="4" t="s">
        <v>184</v>
      </c>
      <c r="B187" s="5">
        <v>1826.0</v>
      </c>
      <c r="C187" s="5">
        <v>25.3</v>
      </c>
      <c r="D187" s="5">
        <v>25.7</v>
      </c>
      <c r="F187" s="5">
        <v>6.26</v>
      </c>
      <c r="H187" s="5">
        <v>2.53</v>
      </c>
    </row>
    <row r="188">
      <c r="A188" s="4" t="s">
        <v>1688</v>
      </c>
      <c r="B188" s="5">
        <v>1825.0</v>
      </c>
      <c r="C188" s="5">
        <v>15.2</v>
      </c>
      <c r="D188" s="5">
        <v>10.2</v>
      </c>
      <c r="E188" s="5">
        <v>6.0</v>
      </c>
      <c r="F188" s="5">
        <v>6.66</v>
      </c>
      <c r="H188" s="5">
        <v>0.83</v>
      </c>
    </row>
    <row r="189">
      <c r="A189" s="4" t="s">
        <v>185</v>
      </c>
      <c r="B189" s="5">
        <v>1823.0</v>
      </c>
      <c r="C189" s="5">
        <v>20.7</v>
      </c>
      <c r="D189" s="5">
        <v>21.2</v>
      </c>
      <c r="F189" s="5">
        <v>8.18</v>
      </c>
      <c r="H189" s="5">
        <v>2.12</v>
      </c>
    </row>
    <row r="190">
      <c r="A190" s="4" t="s">
        <v>187</v>
      </c>
      <c r="B190" s="5">
        <v>1822.0</v>
      </c>
      <c r="C190" s="5">
        <v>22.0</v>
      </c>
      <c r="D190" s="5">
        <v>17.5</v>
      </c>
      <c r="F190" s="5">
        <v>8.15</v>
      </c>
      <c r="H190" s="5">
        <v>1.23</v>
      </c>
    </row>
    <row r="191">
      <c r="A191" s="4" t="s">
        <v>195</v>
      </c>
      <c r="B191" s="5">
        <v>1821.0</v>
      </c>
      <c r="C191" s="5">
        <v>15.3</v>
      </c>
      <c r="D191" s="5">
        <v>16.5</v>
      </c>
      <c r="F191" s="5">
        <v>6.75</v>
      </c>
      <c r="H191" s="5">
        <v>0.72</v>
      </c>
    </row>
    <row r="192">
      <c r="A192" s="4" t="s">
        <v>1689</v>
      </c>
      <c r="B192" s="5">
        <v>1824.0</v>
      </c>
      <c r="C192" s="5">
        <v>19.8</v>
      </c>
      <c r="D192" s="5">
        <v>20.7</v>
      </c>
      <c r="F192" s="5">
        <v>5.71</v>
      </c>
      <c r="H192" s="5">
        <v>0.52</v>
      </c>
    </row>
    <row r="193">
      <c r="A193" s="4" t="s">
        <v>1690</v>
      </c>
      <c r="B193" s="5">
        <v>1820.0</v>
      </c>
      <c r="C193" s="5">
        <v>14.9</v>
      </c>
      <c r="D193" s="5">
        <v>21.6</v>
      </c>
      <c r="F193" s="5">
        <v>5.94</v>
      </c>
      <c r="H193" s="5">
        <v>0.66</v>
      </c>
    </row>
    <row r="194">
      <c r="A194" s="4" t="s">
        <v>1691</v>
      </c>
      <c r="B194" s="5">
        <v>1819.0</v>
      </c>
      <c r="C194" s="5">
        <v>17.1</v>
      </c>
      <c r="D194" s="5">
        <v>19.1</v>
      </c>
      <c r="F194" s="5">
        <v>5.57</v>
      </c>
      <c r="H194" s="5">
        <v>0.35</v>
      </c>
    </row>
    <row r="195">
      <c r="A195" s="4" t="s">
        <v>1692</v>
      </c>
      <c r="B195" s="5">
        <v>1818.0</v>
      </c>
      <c r="C195" s="5">
        <v>16.0</v>
      </c>
      <c r="D195" s="5">
        <v>13.4</v>
      </c>
      <c r="F195" s="5">
        <v>5.81</v>
      </c>
      <c r="H195" s="5">
        <v>0.38</v>
      </c>
    </row>
    <row r="196">
      <c r="A196" s="4"/>
    </row>
    <row r="197">
      <c r="A197" s="4" t="s">
        <v>199</v>
      </c>
    </row>
    <row r="198">
      <c r="A198" s="4" t="s">
        <v>200</v>
      </c>
    </row>
    <row r="199">
      <c r="A199" s="4" t="s">
        <v>1474</v>
      </c>
    </row>
    <row r="200">
      <c r="A200" s="4" t="s">
        <v>201</v>
      </c>
    </row>
    <row r="201">
      <c r="A201" s="4" t="s">
        <v>203</v>
      </c>
    </row>
    <row r="202">
      <c r="A202" s="4" t="s">
        <v>1476</v>
      </c>
    </row>
    <row r="203">
      <c r="A203" s="4" t="s">
        <v>1481</v>
      </c>
    </row>
    <row r="204">
      <c r="A204" s="4" t="s">
        <v>207</v>
      </c>
    </row>
    <row r="205">
      <c r="A205" s="4"/>
    </row>
    <row r="206">
      <c r="A206" s="4" t="s">
        <v>1251</v>
      </c>
    </row>
    <row r="207">
      <c r="A207" s="4" t="s">
        <v>1252</v>
      </c>
    </row>
    <row r="208">
      <c r="A208" s="4" t="s">
        <v>1253</v>
      </c>
    </row>
    <row r="209">
      <c r="A209" s="4" t="s">
        <v>1484</v>
      </c>
    </row>
    <row r="210">
      <c r="A210" s="4" t="s">
        <v>1488</v>
      </c>
    </row>
    <row r="211">
      <c r="A211" s="4" t="s">
        <v>1693</v>
      </c>
    </row>
    <row r="212">
      <c r="A212" s="4" t="s">
        <v>223</v>
      </c>
    </row>
    <row r="213">
      <c r="A213" s="4" t="s">
        <v>219</v>
      </c>
    </row>
    <row r="214">
      <c r="A214" s="4" t="s">
        <v>1254</v>
      </c>
    </row>
    <row r="215">
      <c r="A215" s="4" t="s">
        <v>1487</v>
      </c>
    </row>
    <row r="216">
      <c r="A216" s="4"/>
    </row>
    <row r="217">
      <c r="A217" s="4" t="s">
        <v>237</v>
      </c>
    </row>
    <row r="218">
      <c r="A218" s="4" t="s">
        <v>238</v>
      </c>
    </row>
    <row r="219">
      <c r="A219" s="4" t="s">
        <v>241</v>
      </c>
    </row>
    <row r="220">
      <c r="A220" s="4" t="s">
        <v>247</v>
      </c>
    </row>
    <row r="221">
      <c r="A221" s="4" t="s">
        <v>242</v>
      </c>
    </row>
    <row r="222">
      <c r="A222" s="4" t="s">
        <v>245</v>
      </c>
    </row>
    <row r="223">
      <c r="A223" s="4"/>
    </row>
    <row r="224">
      <c r="A224" s="4" t="s">
        <v>250</v>
      </c>
    </row>
    <row r="225">
      <c r="A225" s="4" t="s">
        <v>251</v>
      </c>
    </row>
    <row r="226">
      <c r="A226" s="4" t="s">
        <v>252</v>
      </c>
    </row>
    <row r="227">
      <c r="A227" s="4" t="s">
        <v>1694</v>
      </c>
    </row>
    <row r="228">
      <c r="A228" s="4" t="s">
        <v>1695</v>
      </c>
    </row>
    <row r="229">
      <c r="A229" s="4"/>
    </row>
    <row r="230">
      <c r="A230" s="4" t="s">
        <v>263</v>
      </c>
    </row>
    <row r="231">
      <c r="A231" s="4" t="s">
        <v>264</v>
      </c>
    </row>
    <row r="232">
      <c r="A232" s="4" t="s">
        <v>265</v>
      </c>
    </row>
    <row r="233">
      <c r="A233" s="4"/>
    </row>
    <row r="234">
      <c r="A234" s="4" t="s">
        <v>273</v>
      </c>
    </row>
    <row r="235">
      <c r="A235" s="4" t="s">
        <v>274</v>
      </c>
    </row>
    <row r="236">
      <c r="A236" s="4" t="s">
        <v>276</v>
      </c>
    </row>
    <row r="237">
      <c r="A237" s="4" t="s">
        <v>1696</v>
      </c>
    </row>
    <row r="238">
      <c r="A238" s="4" t="s">
        <v>275</v>
      </c>
    </row>
    <row r="239">
      <c r="A239" s="4"/>
    </row>
    <row r="240">
      <c r="A240" s="4" t="s">
        <v>1697</v>
      </c>
    </row>
    <row r="241">
      <c r="A241" s="4" t="s">
        <v>1698</v>
      </c>
    </row>
    <row r="242">
      <c r="A242" s="4" t="s">
        <v>1699</v>
      </c>
    </row>
    <row r="243">
      <c r="A243" s="4"/>
    </row>
    <row r="244">
      <c r="A244" s="4" t="s">
        <v>1700</v>
      </c>
    </row>
    <row r="245">
      <c r="A245" s="4" t="s">
        <v>1701</v>
      </c>
    </row>
    <row r="246">
      <c r="A246" s="4"/>
    </row>
    <row r="247">
      <c r="A247" s="4" t="s">
        <v>1702</v>
      </c>
    </row>
    <row r="248">
      <c r="A248" s="4" t="s">
        <v>1703</v>
      </c>
    </row>
    <row r="249">
      <c r="A249" s="4"/>
    </row>
    <row r="250">
      <c r="A250" s="4" t="s">
        <v>304</v>
      </c>
    </row>
    <row r="251">
      <c r="A251" s="4"/>
    </row>
    <row r="252">
      <c r="A252" s="4" t="s">
        <v>310</v>
      </c>
    </row>
    <row r="253">
      <c r="A253" s="4"/>
    </row>
    <row r="254">
      <c r="A254" s="4" t="s">
        <v>329</v>
      </c>
      <c r="B254" s="5">
        <v>2063.0</v>
      </c>
      <c r="C254" s="5">
        <v>22.0</v>
      </c>
      <c r="D254" s="5">
        <v>20.6</v>
      </c>
      <c r="F254" s="5">
        <v>8.57</v>
      </c>
      <c r="G254" s="5">
        <v>0.0</v>
      </c>
      <c r="H254" s="5">
        <v>6.62</v>
      </c>
      <c r="J254" s="2" t="s">
        <v>14</v>
      </c>
    </row>
    <row r="255">
      <c r="A255" s="4" t="s">
        <v>330</v>
      </c>
      <c r="B255" s="5">
        <v>2062.0</v>
      </c>
      <c r="C255" s="5">
        <v>20.0</v>
      </c>
      <c r="D255" s="5">
        <v>17.2</v>
      </c>
      <c r="F255" s="5">
        <v>9.8</v>
      </c>
      <c r="H255" s="5">
        <v>2.9</v>
      </c>
      <c r="J255" s="6">
        <f>counta(H254:H478)</f>
        <v>134</v>
      </c>
    </row>
    <row r="256">
      <c r="A256" s="4" t="s">
        <v>331</v>
      </c>
      <c r="B256" s="5">
        <v>2058.0</v>
      </c>
      <c r="C256" s="5">
        <v>15.5</v>
      </c>
      <c r="D256" s="5">
        <v>12.4</v>
      </c>
      <c r="F256" s="5">
        <v>7.67</v>
      </c>
      <c r="H256" s="5">
        <v>2.17</v>
      </c>
      <c r="J256" s="6">
        <f>sum(H254:H478)/J255</f>
        <v>1.04858209</v>
      </c>
    </row>
    <row r="257">
      <c r="A257" s="4" t="s">
        <v>332</v>
      </c>
      <c r="B257" s="5">
        <v>2054.0</v>
      </c>
      <c r="C257" s="5">
        <v>21.8</v>
      </c>
      <c r="D257" s="5">
        <v>20.2</v>
      </c>
      <c r="F257" s="5">
        <v>8.14</v>
      </c>
      <c r="H257" s="5">
        <v>2.47</v>
      </c>
    </row>
    <row r="258">
      <c r="A258" s="4" t="s">
        <v>1258</v>
      </c>
      <c r="B258" s="5">
        <v>2046.0</v>
      </c>
      <c r="C258" s="5">
        <v>22.3</v>
      </c>
      <c r="D258" s="5">
        <v>18.5</v>
      </c>
      <c r="F258" s="5">
        <v>8.05</v>
      </c>
      <c r="H258" s="5">
        <v>3.21</v>
      </c>
    </row>
    <row r="259">
      <c r="A259" s="4" t="s">
        <v>1263</v>
      </c>
      <c r="B259" s="5">
        <v>2044.0</v>
      </c>
      <c r="C259" s="5">
        <v>20.7</v>
      </c>
      <c r="D259" s="5">
        <v>20.7</v>
      </c>
      <c r="F259" s="5">
        <v>10.13</v>
      </c>
      <c r="H259" s="5">
        <v>2.4</v>
      </c>
    </row>
    <row r="260">
      <c r="A260" s="4" t="s">
        <v>1259</v>
      </c>
      <c r="B260" s="5">
        <v>2061.0</v>
      </c>
      <c r="C260" s="5">
        <v>8.7</v>
      </c>
      <c r="D260" s="5">
        <v>14.5</v>
      </c>
      <c r="F260" s="5">
        <v>5.91</v>
      </c>
      <c r="H260" s="5">
        <v>0.82</v>
      </c>
    </row>
    <row r="261">
      <c r="A261" s="4" t="s">
        <v>345</v>
      </c>
      <c r="B261" s="5">
        <v>2053.0</v>
      </c>
      <c r="C261" s="5">
        <v>17.6</v>
      </c>
      <c r="D261" s="5">
        <v>15.7</v>
      </c>
      <c r="F261" s="5">
        <v>10.41</v>
      </c>
      <c r="H261" s="5">
        <v>1.89</v>
      </c>
    </row>
    <row r="262">
      <c r="A262" s="4" t="s">
        <v>337</v>
      </c>
      <c r="B262" s="5">
        <v>2040.0</v>
      </c>
      <c r="C262" s="5">
        <v>17.2</v>
      </c>
      <c r="D262" s="5">
        <v>19.0</v>
      </c>
      <c r="F262" s="5">
        <v>7.16</v>
      </c>
      <c r="H262" s="5">
        <v>0.96</v>
      </c>
    </row>
    <row r="263">
      <c r="A263" s="4" t="s">
        <v>333</v>
      </c>
      <c r="B263" s="5">
        <v>2057.0</v>
      </c>
      <c r="C263" s="5">
        <v>19.6</v>
      </c>
      <c r="D263" s="5">
        <v>26.6</v>
      </c>
      <c r="F263" s="5">
        <v>6.91</v>
      </c>
      <c r="H263" s="5">
        <v>1.14</v>
      </c>
    </row>
    <row r="264">
      <c r="A264" s="4" t="s">
        <v>338</v>
      </c>
      <c r="B264" s="5">
        <v>2042.0</v>
      </c>
      <c r="C264" s="5">
        <v>15.8</v>
      </c>
      <c r="D264" s="5">
        <v>19.5</v>
      </c>
      <c r="F264" s="5">
        <v>7.39</v>
      </c>
      <c r="H264" s="5">
        <v>0.97</v>
      </c>
    </row>
    <row r="265">
      <c r="A265" s="4" t="s">
        <v>1261</v>
      </c>
      <c r="B265" s="5">
        <v>2060.0</v>
      </c>
      <c r="C265" s="5">
        <v>15.5</v>
      </c>
      <c r="D265" s="5">
        <v>18.5</v>
      </c>
      <c r="F265" s="5">
        <v>7.76</v>
      </c>
      <c r="H265" s="5">
        <v>0.94</v>
      </c>
    </row>
    <row r="266">
      <c r="A266" s="4" t="s">
        <v>1269</v>
      </c>
      <c r="B266" s="5">
        <v>2043.0</v>
      </c>
      <c r="C266" s="5">
        <v>18.6</v>
      </c>
      <c r="D266" s="5">
        <v>19.2</v>
      </c>
      <c r="F266" s="5">
        <v>9.14</v>
      </c>
      <c r="H266" s="5">
        <v>1.21</v>
      </c>
    </row>
    <row r="267">
      <c r="A267" s="4" t="s">
        <v>335</v>
      </c>
      <c r="B267" s="5">
        <v>2048.0</v>
      </c>
      <c r="C267" s="5">
        <v>20.0</v>
      </c>
      <c r="D267" s="5">
        <v>27.4</v>
      </c>
      <c r="F267" s="5">
        <v>9.4</v>
      </c>
      <c r="H267" s="5">
        <v>1.72</v>
      </c>
    </row>
    <row r="268">
      <c r="A268" s="4" t="s">
        <v>336</v>
      </c>
      <c r="B268" s="5">
        <v>2059.0</v>
      </c>
      <c r="C268" s="5">
        <v>21.2</v>
      </c>
      <c r="D268" s="5">
        <v>30.1</v>
      </c>
      <c r="F268" s="5">
        <v>7.61</v>
      </c>
      <c r="H268" s="5">
        <v>1.6</v>
      </c>
    </row>
    <row r="269">
      <c r="A269" s="4" t="s">
        <v>341</v>
      </c>
      <c r="B269" s="5">
        <v>2055.0</v>
      </c>
      <c r="C269" s="5">
        <v>19.9</v>
      </c>
      <c r="D269" s="5">
        <v>18.7</v>
      </c>
      <c r="F269" s="5">
        <v>6.94</v>
      </c>
      <c r="H269" s="5">
        <v>1.29</v>
      </c>
    </row>
    <row r="270">
      <c r="A270" s="4" t="s">
        <v>1704</v>
      </c>
      <c r="B270" s="5">
        <v>2050.0</v>
      </c>
      <c r="C270" s="5">
        <v>26.4</v>
      </c>
      <c r="D270" s="5">
        <v>30.2</v>
      </c>
      <c r="F270" s="5">
        <v>6.65</v>
      </c>
      <c r="H270" s="5">
        <v>1.05</v>
      </c>
    </row>
    <row r="271">
      <c r="A271" s="4" t="s">
        <v>1271</v>
      </c>
      <c r="B271" s="5">
        <v>2049.0</v>
      </c>
      <c r="C271" s="5">
        <v>16.5</v>
      </c>
      <c r="D271" s="5">
        <v>15.0</v>
      </c>
      <c r="F271" s="5">
        <v>9.04</v>
      </c>
      <c r="H271" s="5">
        <v>1.38</v>
      </c>
    </row>
    <row r="272">
      <c r="A272" s="4" t="s">
        <v>348</v>
      </c>
      <c r="B272" s="5">
        <v>2034.0</v>
      </c>
      <c r="C272" s="5">
        <v>13.4</v>
      </c>
      <c r="D272" s="5">
        <v>13.6</v>
      </c>
      <c r="F272" s="5">
        <v>8.01</v>
      </c>
      <c r="H272" s="5">
        <v>0.83</v>
      </c>
    </row>
    <row r="273">
      <c r="A273" s="4" t="s">
        <v>349</v>
      </c>
      <c r="B273" s="5">
        <v>2036.0</v>
      </c>
      <c r="C273" s="5">
        <v>14.5</v>
      </c>
      <c r="D273" s="5">
        <v>15.0</v>
      </c>
      <c r="F273" s="5">
        <v>6.4</v>
      </c>
      <c r="H273" s="5">
        <v>0.84</v>
      </c>
    </row>
    <row r="274">
      <c r="A274" s="4" t="s">
        <v>1267</v>
      </c>
      <c r="B274" s="5">
        <v>2041.0</v>
      </c>
      <c r="C274" s="5">
        <v>18.6</v>
      </c>
      <c r="D274" s="5">
        <v>16.5</v>
      </c>
      <c r="F274" s="5">
        <v>8.52</v>
      </c>
      <c r="H274" s="5">
        <v>1.31</v>
      </c>
    </row>
    <row r="275">
      <c r="A275" s="4" t="s">
        <v>1280</v>
      </c>
    </row>
    <row r="276">
      <c r="A276" s="4" t="s">
        <v>343</v>
      </c>
      <c r="B276" s="5">
        <v>2038.0</v>
      </c>
      <c r="C276" s="5">
        <v>17.5</v>
      </c>
      <c r="D276" s="5">
        <v>15.6</v>
      </c>
      <c r="F276" s="5">
        <v>8.93</v>
      </c>
      <c r="H276" s="5">
        <v>1.28</v>
      </c>
    </row>
    <row r="277">
      <c r="A277" s="4" t="s">
        <v>1705</v>
      </c>
      <c r="B277" s="5">
        <v>2052.0</v>
      </c>
      <c r="C277" s="5">
        <v>15.8</v>
      </c>
      <c r="D277" s="5">
        <v>19.7</v>
      </c>
      <c r="F277" s="5">
        <v>7.83</v>
      </c>
      <c r="H277" s="5">
        <v>0.93</v>
      </c>
    </row>
    <row r="278">
      <c r="A278" s="4" t="s">
        <v>1706</v>
      </c>
      <c r="B278" s="5">
        <v>2045.0</v>
      </c>
      <c r="C278" s="5">
        <v>18.6</v>
      </c>
      <c r="D278" s="5">
        <v>18.3</v>
      </c>
      <c r="F278" s="5">
        <v>7.69</v>
      </c>
      <c r="H278" s="5">
        <v>1.11</v>
      </c>
    </row>
    <row r="279">
      <c r="A279" s="4" t="s">
        <v>340</v>
      </c>
      <c r="B279" s="5">
        <v>2056.0</v>
      </c>
      <c r="C279" s="5">
        <v>17.3</v>
      </c>
      <c r="D279" s="5">
        <v>18.5</v>
      </c>
      <c r="F279" s="5">
        <v>9.91</v>
      </c>
      <c r="H279" s="5">
        <v>1.33</v>
      </c>
    </row>
    <row r="280">
      <c r="A280" s="4" t="s">
        <v>1276</v>
      </c>
      <c r="B280" s="5">
        <v>2030.0</v>
      </c>
      <c r="C280" s="5">
        <v>8.3</v>
      </c>
      <c r="D280" s="5">
        <v>10.7</v>
      </c>
      <c r="F280" s="5">
        <v>6.44</v>
      </c>
      <c r="H280" s="5">
        <v>0.46</v>
      </c>
    </row>
    <row r="281">
      <c r="A281" s="4" t="s">
        <v>1494</v>
      </c>
      <c r="B281" s="5">
        <v>2020.0</v>
      </c>
      <c r="C281" s="5">
        <v>7.6</v>
      </c>
      <c r="D281" s="5">
        <v>10.0</v>
      </c>
      <c r="F281" s="5">
        <v>5.71</v>
      </c>
      <c r="H281" s="5">
        <v>0.54</v>
      </c>
    </row>
    <row r="282">
      <c r="A282" s="4" t="s">
        <v>1273</v>
      </c>
      <c r="B282" s="5">
        <v>2037.0</v>
      </c>
      <c r="C282" s="5">
        <v>18.8</v>
      </c>
      <c r="D282" s="5">
        <v>18.8</v>
      </c>
      <c r="F282" s="5">
        <v>7.29</v>
      </c>
      <c r="H282" s="5">
        <v>1.05</v>
      </c>
    </row>
    <row r="283">
      <c r="A283" s="4" t="s">
        <v>1707</v>
      </c>
      <c r="B283" s="5">
        <v>2032.0</v>
      </c>
      <c r="C283" s="5">
        <v>11.6</v>
      </c>
      <c r="D283" s="5">
        <v>11.1</v>
      </c>
      <c r="F283" s="5">
        <v>6.15</v>
      </c>
      <c r="H283" s="5">
        <v>0.61</v>
      </c>
    </row>
    <row r="284">
      <c r="A284" s="4" t="s">
        <v>346</v>
      </c>
      <c r="B284" s="5">
        <v>2031.0</v>
      </c>
      <c r="C284" s="5">
        <v>15.2</v>
      </c>
      <c r="D284" s="5">
        <v>14.6</v>
      </c>
      <c r="F284" s="5">
        <v>7.37</v>
      </c>
      <c r="H284" s="5">
        <v>0.86</v>
      </c>
    </row>
    <row r="285">
      <c r="A285" s="4" t="s">
        <v>1708</v>
      </c>
      <c r="B285" s="5">
        <v>2028.0</v>
      </c>
      <c r="C285" s="5">
        <v>14.2</v>
      </c>
      <c r="D285" s="5">
        <v>11.0</v>
      </c>
      <c r="F285" s="5">
        <v>5.92</v>
      </c>
      <c r="H285" s="5">
        <v>0.39</v>
      </c>
    </row>
    <row r="286">
      <c r="A286" s="4" t="s">
        <v>1709</v>
      </c>
      <c r="B286" s="5">
        <v>2039.0</v>
      </c>
      <c r="C286" s="5">
        <v>16.8</v>
      </c>
      <c r="D286" s="5">
        <v>19.0</v>
      </c>
      <c r="F286" s="5">
        <v>6.6</v>
      </c>
      <c r="H286" s="5">
        <v>0.8</v>
      </c>
    </row>
    <row r="287">
      <c r="A287" s="4" t="s">
        <v>1710</v>
      </c>
      <c r="B287" s="5">
        <v>2047.0</v>
      </c>
      <c r="C287" s="5">
        <v>21.8</v>
      </c>
      <c r="D287" s="5">
        <v>20.2</v>
      </c>
      <c r="F287" s="5">
        <v>5.22</v>
      </c>
      <c r="H287" s="5">
        <v>0.66</v>
      </c>
    </row>
    <row r="288">
      <c r="A288" s="4" t="s">
        <v>352</v>
      </c>
      <c r="B288" s="5">
        <v>2024.0</v>
      </c>
      <c r="C288" s="5">
        <v>17.6</v>
      </c>
      <c r="D288" s="5">
        <v>16.7</v>
      </c>
      <c r="F288" s="5">
        <v>7.03</v>
      </c>
      <c r="H288" s="5">
        <v>0.67</v>
      </c>
    </row>
    <row r="289">
      <c r="A289" s="4" t="s">
        <v>1711</v>
      </c>
      <c r="B289" s="5">
        <v>2051.0</v>
      </c>
      <c r="C289" s="5">
        <v>11.2</v>
      </c>
      <c r="D289" s="5">
        <v>11.7</v>
      </c>
      <c r="F289" s="5">
        <v>6.4</v>
      </c>
      <c r="H289" s="5">
        <v>0.51</v>
      </c>
    </row>
    <row r="290">
      <c r="A290" s="4" t="s">
        <v>1712</v>
      </c>
      <c r="B290" s="5">
        <v>2035.0</v>
      </c>
      <c r="C290" s="5">
        <v>15.3</v>
      </c>
      <c r="D290" s="5">
        <v>16.3</v>
      </c>
      <c r="F290" s="5">
        <v>5.79</v>
      </c>
      <c r="H290" s="5">
        <v>0.36</v>
      </c>
    </row>
    <row r="291">
      <c r="A291" s="4" t="s">
        <v>1713</v>
      </c>
      <c r="B291" s="5">
        <v>2018.0</v>
      </c>
      <c r="C291" s="5">
        <v>11.1</v>
      </c>
      <c r="D291" s="5">
        <v>13.3</v>
      </c>
      <c r="F291" s="5">
        <v>4.33</v>
      </c>
      <c r="H291" s="5">
        <v>0.09</v>
      </c>
    </row>
    <row r="292">
      <c r="A292" s="7" t="s">
        <v>1714</v>
      </c>
      <c r="B292" s="15">
        <v>2033.0</v>
      </c>
      <c r="C292" s="15">
        <v>12.1</v>
      </c>
      <c r="D292" s="16"/>
      <c r="E292" s="16"/>
      <c r="F292" s="15">
        <v>4.06</v>
      </c>
      <c r="G292" s="16"/>
      <c r="H292" s="15">
        <v>0.11</v>
      </c>
      <c r="I292" s="15" t="s">
        <v>1715</v>
      </c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</row>
    <row r="293">
      <c r="A293" s="4" t="s">
        <v>1716</v>
      </c>
      <c r="B293" s="5">
        <v>2025.0</v>
      </c>
      <c r="C293" s="5">
        <v>6.8</v>
      </c>
      <c r="D293" s="5">
        <v>7.6</v>
      </c>
      <c r="F293" s="5">
        <v>3.76</v>
      </c>
      <c r="H293" s="5">
        <v>0.1</v>
      </c>
    </row>
    <row r="294">
      <c r="A294" s="4" t="s">
        <v>1275</v>
      </c>
      <c r="B294" s="5">
        <v>2022.0</v>
      </c>
      <c r="C294" s="5">
        <v>8.6</v>
      </c>
      <c r="D294" s="5">
        <v>10.2</v>
      </c>
      <c r="F294" s="5">
        <v>3.84</v>
      </c>
      <c r="H294" s="5">
        <v>0.09</v>
      </c>
    </row>
    <row r="295">
      <c r="A295" s="4" t="s">
        <v>354</v>
      </c>
      <c r="B295" s="5">
        <v>2029.0</v>
      </c>
      <c r="C295" s="5">
        <v>13.8</v>
      </c>
      <c r="D295" s="5">
        <v>11.1</v>
      </c>
      <c r="F295" s="5">
        <v>5.45</v>
      </c>
      <c r="H295" s="5">
        <v>0.41</v>
      </c>
    </row>
    <row r="296">
      <c r="A296" s="4" t="s">
        <v>1717</v>
      </c>
      <c r="B296" s="5">
        <v>2021.0</v>
      </c>
      <c r="C296" s="5">
        <v>15.2</v>
      </c>
      <c r="D296" s="5">
        <v>14.3</v>
      </c>
      <c r="F296" s="5">
        <v>5.9</v>
      </c>
      <c r="H296" s="5">
        <v>0.5</v>
      </c>
    </row>
    <row r="297">
      <c r="A297" s="4" t="s">
        <v>355</v>
      </c>
      <c r="B297" s="5">
        <v>2026.0</v>
      </c>
      <c r="C297" s="5">
        <v>11.0</v>
      </c>
      <c r="D297" s="5">
        <v>10.2</v>
      </c>
      <c r="F297" s="5">
        <v>5.9</v>
      </c>
      <c r="H297" s="5">
        <v>0.41</v>
      </c>
    </row>
    <row r="298">
      <c r="A298" s="4" t="s">
        <v>1718</v>
      </c>
      <c r="B298" s="5">
        <v>2023.0</v>
      </c>
      <c r="C298" s="5">
        <v>10.1</v>
      </c>
      <c r="D298" s="5">
        <v>9.9</v>
      </c>
      <c r="F298" s="5">
        <v>4.47</v>
      </c>
      <c r="H298" s="5">
        <v>0.23</v>
      </c>
    </row>
    <row r="299">
      <c r="A299" s="4" t="s">
        <v>1719</v>
      </c>
      <c r="B299" s="5">
        <v>2019.0</v>
      </c>
      <c r="C299" s="5">
        <v>9.3</v>
      </c>
      <c r="D299" s="5">
        <v>10.5</v>
      </c>
      <c r="F299" s="5">
        <v>5.13</v>
      </c>
      <c r="H299" s="5">
        <v>0.24</v>
      </c>
    </row>
    <row r="300">
      <c r="A300" s="4" t="s">
        <v>1493</v>
      </c>
      <c r="B300" s="5">
        <v>2027.0</v>
      </c>
      <c r="C300" s="5">
        <v>7.4</v>
      </c>
      <c r="D300" s="5">
        <v>8.2</v>
      </c>
      <c r="F300" s="5">
        <v>5.31</v>
      </c>
      <c r="H300" s="5">
        <v>0.22</v>
      </c>
    </row>
    <row r="301">
      <c r="A301" s="4"/>
    </row>
    <row r="302">
      <c r="A302" s="4" t="s">
        <v>356</v>
      </c>
    </row>
    <row r="303">
      <c r="A303" s="4" t="s">
        <v>357</v>
      </c>
    </row>
    <row r="304">
      <c r="A304" s="4" t="s">
        <v>359</v>
      </c>
    </row>
    <row r="305">
      <c r="A305" s="4" t="s">
        <v>361</v>
      </c>
    </row>
    <row r="306">
      <c r="A306" s="4" t="s">
        <v>375</v>
      </c>
    </row>
    <row r="307">
      <c r="A307" s="4" t="s">
        <v>1281</v>
      </c>
    </row>
    <row r="308">
      <c r="A308" s="4" t="s">
        <v>378</v>
      </c>
    </row>
    <row r="309">
      <c r="A309" s="4" t="s">
        <v>367</v>
      </c>
    </row>
    <row r="310">
      <c r="A310" s="4" t="s">
        <v>369</v>
      </c>
    </row>
    <row r="311">
      <c r="A311" s="4" t="s">
        <v>1283</v>
      </c>
    </row>
    <row r="312">
      <c r="A312" s="4" t="s">
        <v>1284</v>
      </c>
    </row>
    <row r="313">
      <c r="A313" s="4" t="s">
        <v>1285</v>
      </c>
    </row>
    <row r="314">
      <c r="A314" s="4" t="s">
        <v>365</v>
      </c>
    </row>
    <row r="315">
      <c r="A315" s="4" t="s">
        <v>1720</v>
      </c>
    </row>
    <row r="316">
      <c r="A316" s="4" t="s">
        <v>380</v>
      </c>
    </row>
    <row r="317">
      <c r="A317" s="4" t="s">
        <v>1290</v>
      </c>
    </row>
    <row r="318">
      <c r="A318" s="4" t="s">
        <v>1294</v>
      </c>
    </row>
    <row r="319">
      <c r="A319" s="4" t="s">
        <v>1721</v>
      </c>
    </row>
    <row r="320">
      <c r="A320" s="4" t="s">
        <v>1722</v>
      </c>
    </row>
    <row r="321">
      <c r="A321" s="4" t="s">
        <v>1723</v>
      </c>
    </row>
    <row r="322">
      <c r="A322" s="4" t="s">
        <v>1498</v>
      </c>
    </row>
    <row r="323">
      <c r="A323" s="4" t="s">
        <v>1502</v>
      </c>
    </row>
    <row r="324">
      <c r="A324" s="4" t="s">
        <v>371</v>
      </c>
    </row>
    <row r="325">
      <c r="A325" s="4" t="s">
        <v>1724</v>
      </c>
    </row>
    <row r="326">
      <c r="A326" s="4" t="s">
        <v>1725</v>
      </c>
    </row>
    <row r="327">
      <c r="A327" s="4" t="s">
        <v>1726</v>
      </c>
    </row>
    <row r="328">
      <c r="A328" s="4" t="s">
        <v>385</v>
      </c>
    </row>
    <row r="329">
      <c r="A329" s="4" t="s">
        <v>1727</v>
      </c>
    </row>
    <row r="330">
      <c r="A330" s="4" t="s">
        <v>1728</v>
      </c>
    </row>
    <row r="331">
      <c r="A331" s="4" t="s">
        <v>1729</v>
      </c>
    </row>
    <row r="332">
      <c r="A332" s="4" t="s">
        <v>1730</v>
      </c>
    </row>
    <row r="333">
      <c r="A333" s="4"/>
    </row>
    <row r="334">
      <c r="A334" s="4" t="s">
        <v>386</v>
      </c>
    </row>
    <row r="335">
      <c r="A335" s="4" t="s">
        <v>387</v>
      </c>
    </row>
    <row r="336">
      <c r="A336" s="4" t="s">
        <v>389</v>
      </c>
    </row>
    <row r="337">
      <c r="A337" s="4" t="s">
        <v>388</v>
      </c>
    </row>
    <row r="338">
      <c r="A338" s="4" t="s">
        <v>390</v>
      </c>
    </row>
    <row r="339">
      <c r="A339" s="4" t="s">
        <v>1295</v>
      </c>
    </row>
    <row r="340">
      <c r="A340" s="4" t="s">
        <v>1296</v>
      </c>
    </row>
    <row r="341">
      <c r="A341" s="4" t="s">
        <v>1505</v>
      </c>
    </row>
    <row r="342">
      <c r="A342" s="4" t="s">
        <v>1506</v>
      </c>
    </row>
    <row r="343">
      <c r="A343" s="4" t="s">
        <v>393</v>
      </c>
    </row>
    <row r="344">
      <c r="A344" s="4" t="s">
        <v>400</v>
      </c>
    </row>
    <row r="345">
      <c r="A345" s="4" t="s">
        <v>399</v>
      </c>
    </row>
    <row r="346">
      <c r="A346" s="4" t="s">
        <v>1297</v>
      </c>
    </row>
    <row r="347">
      <c r="A347" s="4" t="s">
        <v>1507</v>
      </c>
    </row>
    <row r="348">
      <c r="A348" s="4" t="s">
        <v>1731</v>
      </c>
    </row>
    <row r="349">
      <c r="A349" s="4" t="s">
        <v>396</v>
      </c>
    </row>
    <row r="350">
      <c r="A350" s="4" t="s">
        <v>395</v>
      </c>
    </row>
    <row r="351">
      <c r="A351" s="4" t="s">
        <v>398</v>
      </c>
    </row>
    <row r="352">
      <c r="A352" s="4" t="s">
        <v>1300</v>
      </c>
    </row>
    <row r="353">
      <c r="A353" s="4" t="s">
        <v>1301</v>
      </c>
    </row>
    <row r="354">
      <c r="A354" s="4" t="s">
        <v>1508</v>
      </c>
    </row>
    <row r="355">
      <c r="A355" s="4" t="s">
        <v>1732</v>
      </c>
    </row>
    <row r="356">
      <c r="A356" s="4" t="s">
        <v>1733</v>
      </c>
    </row>
    <row r="357">
      <c r="A357" s="4" t="s">
        <v>404</v>
      </c>
    </row>
    <row r="358">
      <c r="A358" s="4" t="s">
        <v>1299</v>
      </c>
    </row>
    <row r="359">
      <c r="A359" s="4" t="s">
        <v>1734</v>
      </c>
    </row>
    <row r="360">
      <c r="A360" s="4" t="s">
        <v>1735</v>
      </c>
    </row>
    <row r="361">
      <c r="A361" s="4" t="s">
        <v>1511</v>
      </c>
    </row>
    <row r="362">
      <c r="A362" s="4" t="s">
        <v>1736</v>
      </c>
    </row>
    <row r="363">
      <c r="A363" s="4" t="s">
        <v>1515</v>
      </c>
    </row>
    <row r="364">
      <c r="A364" s="4" t="s">
        <v>1737</v>
      </c>
    </row>
    <row r="365">
      <c r="A365" s="4" t="s">
        <v>1513</v>
      </c>
    </row>
    <row r="366">
      <c r="A366" s="4" t="s">
        <v>1512</v>
      </c>
    </row>
    <row r="367">
      <c r="A367" s="4" t="s">
        <v>1510</v>
      </c>
    </row>
    <row r="368">
      <c r="A368" s="4"/>
    </row>
    <row r="369">
      <c r="A369" s="4" t="s">
        <v>406</v>
      </c>
      <c r="B369" s="5">
        <v>2101.0</v>
      </c>
      <c r="C369" s="5">
        <v>19.0</v>
      </c>
      <c r="D369" s="5">
        <v>19.1</v>
      </c>
      <c r="F369" s="5">
        <v>8.26</v>
      </c>
      <c r="H369" s="5">
        <v>5.18</v>
      </c>
    </row>
    <row r="370">
      <c r="A370" s="4" t="s">
        <v>1303</v>
      </c>
      <c r="B370" s="5">
        <v>2096.0</v>
      </c>
      <c r="C370" s="5">
        <v>24.4</v>
      </c>
      <c r="D370" s="5">
        <v>23.7</v>
      </c>
      <c r="F370" s="5">
        <v>6.14</v>
      </c>
      <c r="H370" s="5">
        <v>1.18</v>
      </c>
    </row>
    <row r="371">
      <c r="A371" s="4" t="s">
        <v>407</v>
      </c>
      <c r="B371" s="5">
        <v>2100.0</v>
      </c>
      <c r="C371" s="5">
        <v>27.5</v>
      </c>
      <c r="D371" s="5">
        <v>24.5</v>
      </c>
      <c r="F371" s="5">
        <v>7.36</v>
      </c>
      <c r="H371" s="5">
        <v>3.04</v>
      </c>
    </row>
    <row r="372">
      <c r="A372" s="4" t="s">
        <v>408</v>
      </c>
      <c r="B372" s="5">
        <v>2098.0</v>
      </c>
      <c r="C372" s="5">
        <v>26.5</v>
      </c>
      <c r="D372" s="5">
        <v>26.0</v>
      </c>
      <c r="F372" s="5">
        <v>8.37</v>
      </c>
      <c r="H372" s="5">
        <v>3.07</v>
      </c>
    </row>
    <row r="373">
      <c r="A373" s="4" t="s">
        <v>409</v>
      </c>
      <c r="B373" s="5">
        <v>2099.0</v>
      </c>
      <c r="C373" s="5">
        <v>38.3</v>
      </c>
      <c r="D373" s="5">
        <v>36.7</v>
      </c>
      <c r="F373" s="5">
        <v>7.83</v>
      </c>
      <c r="H373" s="5">
        <v>1.64</v>
      </c>
    </row>
    <row r="374">
      <c r="A374" s="4" t="s">
        <v>1305</v>
      </c>
      <c r="B374" s="5">
        <v>2095.0</v>
      </c>
      <c r="C374" s="5">
        <v>22.0</v>
      </c>
      <c r="D374" s="5">
        <v>26.0</v>
      </c>
      <c r="F374" s="5">
        <v>6.1</v>
      </c>
      <c r="H374" s="5">
        <v>1.13</v>
      </c>
    </row>
    <row r="375">
      <c r="A375" s="4" t="s">
        <v>411</v>
      </c>
      <c r="B375" s="5">
        <v>2090.0</v>
      </c>
      <c r="C375" s="5">
        <v>21.8</v>
      </c>
      <c r="D375" s="5">
        <v>23.2</v>
      </c>
      <c r="F375" s="5">
        <v>6.87</v>
      </c>
      <c r="H375" s="5">
        <v>1.28</v>
      </c>
    </row>
    <row r="376">
      <c r="A376" s="4" t="s">
        <v>1308</v>
      </c>
      <c r="B376" s="5">
        <v>2091.0</v>
      </c>
      <c r="C376" s="5">
        <v>24.8</v>
      </c>
      <c r="D376" s="5">
        <v>24.5</v>
      </c>
      <c r="F376" s="5">
        <v>6.33</v>
      </c>
      <c r="H376" s="5">
        <v>1.51</v>
      </c>
    </row>
    <row r="377">
      <c r="A377" s="4" t="s">
        <v>410</v>
      </c>
      <c r="B377" s="5">
        <v>2094.0</v>
      </c>
      <c r="C377" s="5">
        <v>24.4</v>
      </c>
      <c r="D377" s="5">
        <v>23.7</v>
      </c>
      <c r="F377" s="5">
        <v>5.84</v>
      </c>
      <c r="H377" s="5">
        <v>1.15</v>
      </c>
    </row>
    <row r="378">
      <c r="A378" s="4" t="s">
        <v>1304</v>
      </c>
      <c r="B378" s="5">
        <v>2097.0</v>
      </c>
      <c r="C378" s="5">
        <v>28.1</v>
      </c>
      <c r="D378" s="5">
        <v>20.6</v>
      </c>
      <c r="F378" s="5">
        <v>6.56</v>
      </c>
      <c r="H378" s="5">
        <v>0.56</v>
      </c>
    </row>
    <row r="379">
      <c r="A379" s="4" t="s">
        <v>1307</v>
      </c>
      <c r="B379" s="5">
        <v>2092.0</v>
      </c>
      <c r="C379" s="5">
        <v>19.0</v>
      </c>
      <c r="D379" s="5">
        <v>25.2</v>
      </c>
      <c r="F379" s="5">
        <v>6.41</v>
      </c>
      <c r="H379" s="5">
        <v>0.74</v>
      </c>
    </row>
    <row r="380">
      <c r="A380" s="4" t="s">
        <v>1738</v>
      </c>
      <c r="B380" s="5">
        <v>2088.0</v>
      </c>
      <c r="C380" s="5">
        <v>13.6</v>
      </c>
      <c r="D380" s="5">
        <v>16.2</v>
      </c>
      <c r="F380" s="5">
        <v>5.24</v>
      </c>
      <c r="H380" s="5">
        <v>0.42</v>
      </c>
    </row>
    <row r="381">
      <c r="A381" s="4" t="s">
        <v>413</v>
      </c>
      <c r="B381" s="5">
        <v>2082.0</v>
      </c>
      <c r="C381" s="5">
        <v>19.2</v>
      </c>
      <c r="D381" s="5">
        <v>22.8</v>
      </c>
      <c r="F381" s="5">
        <v>7.33</v>
      </c>
      <c r="H381" s="5">
        <v>0.82</v>
      </c>
    </row>
    <row r="382">
      <c r="A382" s="4" t="s">
        <v>415</v>
      </c>
      <c r="B382" s="5">
        <v>2080.0</v>
      </c>
      <c r="C382" s="5">
        <v>19.1</v>
      </c>
      <c r="D382" s="5">
        <v>15.2</v>
      </c>
      <c r="F382" s="5">
        <v>4.56</v>
      </c>
      <c r="H382" s="5">
        <v>0.76</v>
      </c>
    </row>
    <row r="383">
      <c r="A383" s="4" t="s">
        <v>412</v>
      </c>
      <c r="B383" s="5">
        <v>2089.0</v>
      </c>
      <c r="C383" s="5">
        <v>18.7</v>
      </c>
      <c r="D383" s="5">
        <v>19.0</v>
      </c>
      <c r="F383" s="5">
        <v>6.82</v>
      </c>
      <c r="H383" s="5">
        <v>1.01</v>
      </c>
    </row>
    <row r="384">
      <c r="A384" s="4" t="s">
        <v>1516</v>
      </c>
      <c r="B384" s="5">
        <v>2093.0</v>
      </c>
      <c r="C384" s="5">
        <v>27.5</v>
      </c>
      <c r="D384" s="5">
        <v>25.2</v>
      </c>
      <c r="F384" s="5">
        <v>4.76</v>
      </c>
      <c r="H384" s="5">
        <v>0.46</v>
      </c>
    </row>
    <row r="385">
      <c r="A385" s="4" t="s">
        <v>1311</v>
      </c>
      <c r="B385" s="5">
        <v>2087.0</v>
      </c>
      <c r="C385" s="5">
        <v>20.7</v>
      </c>
      <c r="D385" s="5">
        <v>19.2</v>
      </c>
      <c r="F385" s="5">
        <v>6.69</v>
      </c>
      <c r="H385" s="5">
        <v>0.99</v>
      </c>
    </row>
    <row r="386">
      <c r="A386" s="4" t="s">
        <v>418</v>
      </c>
      <c r="B386" s="5">
        <v>2078.0</v>
      </c>
      <c r="C386" s="5">
        <v>16.1</v>
      </c>
      <c r="D386" s="5">
        <v>14.1</v>
      </c>
      <c r="F386" s="5">
        <v>5.63</v>
      </c>
      <c r="H386" s="5">
        <v>0.37</v>
      </c>
    </row>
    <row r="387">
      <c r="A387" s="4" t="s">
        <v>1739</v>
      </c>
      <c r="B387" s="5">
        <v>2081.0</v>
      </c>
      <c r="C387" s="5">
        <v>19.2</v>
      </c>
      <c r="D387" s="5">
        <v>19.3</v>
      </c>
      <c r="F387" s="5">
        <v>4.81</v>
      </c>
      <c r="H387" s="5">
        <v>0.34</v>
      </c>
    </row>
    <row r="388">
      <c r="A388" s="4" t="s">
        <v>1314</v>
      </c>
      <c r="B388" s="5">
        <v>2083.0</v>
      </c>
      <c r="C388" s="5">
        <v>16.7</v>
      </c>
      <c r="D388" s="5">
        <v>14.2</v>
      </c>
      <c r="F388" s="5">
        <v>5.08</v>
      </c>
      <c r="H388" s="5">
        <v>0.54</v>
      </c>
    </row>
    <row r="389">
      <c r="A389" s="4" t="s">
        <v>414</v>
      </c>
      <c r="B389" s="5">
        <v>2084.0</v>
      </c>
      <c r="C389" s="5">
        <v>17.0</v>
      </c>
      <c r="D389" s="5">
        <v>16.1</v>
      </c>
      <c r="F389" s="5">
        <v>5.74</v>
      </c>
      <c r="H389" s="5">
        <v>0.55</v>
      </c>
    </row>
    <row r="390">
      <c r="A390" s="4" t="s">
        <v>422</v>
      </c>
      <c r="B390" s="5">
        <v>2079.0</v>
      </c>
      <c r="C390" s="5">
        <v>13.0</v>
      </c>
      <c r="D390" s="5">
        <v>10.8</v>
      </c>
      <c r="F390" s="5">
        <v>4.06</v>
      </c>
      <c r="H390" s="5">
        <v>0.18</v>
      </c>
    </row>
    <row r="391">
      <c r="A391" s="4" t="s">
        <v>1521</v>
      </c>
      <c r="B391" s="5">
        <v>2086.0</v>
      </c>
      <c r="C391" s="5">
        <v>17.2</v>
      </c>
      <c r="D391" s="5">
        <v>19.0</v>
      </c>
      <c r="F391" s="5">
        <v>5.04</v>
      </c>
      <c r="H391" s="5">
        <v>0.43</v>
      </c>
    </row>
    <row r="392">
      <c r="A392" s="4" t="s">
        <v>1313</v>
      </c>
      <c r="B392" s="5">
        <v>2085.0</v>
      </c>
      <c r="C392" s="5">
        <v>15.1</v>
      </c>
      <c r="D392" s="5">
        <v>15.7</v>
      </c>
      <c r="F392" s="5">
        <v>5.19</v>
      </c>
      <c r="H392" s="5">
        <v>0.22</v>
      </c>
    </row>
    <row r="393">
      <c r="A393" s="4" t="s">
        <v>1740</v>
      </c>
      <c r="B393" s="5">
        <v>2076.0</v>
      </c>
      <c r="C393" s="5">
        <v>13.8</v>
      </c>
      <c r="D393" s="5">
        <v>9.9</v>
      </c>
      <c r="F393" s="5">
        <v>3.93</v>
      </c>
      <c r="H393" s="5">
        <v>0.2</v>
      </c>
    </row>
    <row r="394">
      <c r="A394" s="4" t="s">
        <v>416</v>
      </c>
      <c r="B394" s="5">
        <v>2077.0</v>
      </c>
      <c r="C394" s="5">
        <v>14.6</v>
      </c>
      <c r="D394" s="5">
        <v>13.6</v>
      </c>
      <c r="F394" s="5">
        <v>4.32</v>
      </c>
      <c r="H394" s="5">
        <v>0.4</v>
      </c>
    </row>
    <row r="395">
      <c r="A395" s="4"/>
    </row>
    <row r="396">
      <c r="A396" s="4" t="s">
        <v>425</v>
      </c>
      <c r="B396" s="5">
        <v>2075.0</v>
      </c>
      <c r="C396" s="5">
        <v>25.0</v>
      </c>
      <c r="D396" s="5">
        <v>29.4</v>
      </c>
      <c r="F396" s="5">
        <v>9.43</v>
      </c>
      <c r="H396" s="5">
        <v>3.94</v>
      </c>
    </row>
    <row r="397">
      <c r="A397" s="4" t="s">
        <v>426</v>
      </c>
      <c r="B397" s="5">
        <v>2072.0</v>
      </c>
      <c r="C397" s="5">
        <v>25.7</v>
      </c>
      <c r="D397" s="5">
        <v>24.0</v>
      </c>
      <c r="F397" s="5">
        <v>7.78</v>
      </c>
      <c r="H397" s="5">
        <v>2.46</v>
      </c>
    </row>
    <row r="398">
      <c r="A398" s="4" t="s">
        <v>427</v>
      </c>
      <c r="B398" s="5">
        <v>2067.0</v>
      </c>
      <c r="C398" s="5">
        <v>24.4</v>
      </c>
      <c r="D398" s="5">
        <v>25.5</v>
      </c>
      <c r="F398" s="5">
        <v>10.2</v>
      </c>
      <c r="H398" s="5">
        <v>2.52</v>
      </c>
    </row>
    <row r="399">
      <c r="A399" s="4" t="s">
        <v>1317</v>
      </c>
      <c r="B399" s="5">
        <v>2069.0</v>
      </c>
      <c r="C399" s="5">
        <v>23.1</v>
      </c>
      <c r="D399" s="5">
        <v>22.2</v>
      </c>
      <c r="F399" s="5">
        <v>6.76</v>
      </c>
      <c r="H399" s="5">
        <v>0.67</v>
      </c>
    </row>
    <row r="400">
      <c r="A400" s="4" t="s">
        <v>1316</v>
      </c>
      <c r="B400" s="5">
        <v>2074.0</v>
      </c>
      <c r="C400" s="5">
        <v>38.2</v>
      </c>
      <c r="D400" s="5">
        <v>31.5</v>
      </c>
      <c r="F400" s="5">
        <v>8.82</v>
      </c>
      <c r="H400" s="5">
        <v>1.76</v>
      </c>
    </row>
    <row r="401">
      <c r="A401" s="4" t="s">
        <v>1321</v>
      </c>
      <c r="B401" s="5">
        <v>2068.0</v>
      </c>
      <c r="C401" s="5">
        <v>18.8</v>
      </c>
      <c r="D401" s="5">
        <v>21.2</v>
      </c>
      <c r="F401" s="5">
        <v>7.32</v>
      </c>
      <c r="H401" s="5">
        <v>0.92</v>
      </c>
    </row>
    <row r="402">
      <c r="A402" s="8" t="s">
        <v>1324</v>
      </c>
    </row>
    <row r="403">
      <c r="A403" s="4" t="s">
        <v>1322</v>
      </c>
      <c r="B403" s="5">
        <v>2073.0</v>
      </c>
      <c r="C403" s="5">
        <v>20.5</v>
      </c>
      <c r="D403" s="5">
        <v>22.5</v>
      </c>
      <c r="F403" s="5">
        <v>6.97</v>
      </c>
      <c r="H403" s="5">
        <v>0.95</v>
      </c>
    </row>
    <row r="404">
      <c r="A404" s="4" t="s">
        <v>1325</v>
      </c>
      <c r="B404" s="5">
        <v>2071.0</v>
      </c>
      <c r="C404" s="5">
        <v>16.5</v>
      </c>
      <c r="D404" s="5">
        <v>20.2</v>
      </c>
      <c r="F404" s="5">
        <v>5.62</v>
      </c>
      <c r="H404" s="5">
        <v>0.69</v>
      </c>
    </row>
    <row r="405">
      <c r="A405" s="4" t="s">
        <v>428</v>
      </c>
      <c r="B405" s="5">
        <v>2066.0</v>
      </c>
      <c r="C405" s="5">
        <v>24.3</v>
      </c>
      <c r="D405" s="5">
        <v>24.0</v>
      </c>
      <c r="F405" s="5">
        <v>7.31</v>
      </c>
      <c r="H405" s="5">
        <v>1.3</v>
      </c>
    </row>
    <row r="406">
      <c r="A406" s="4" t="s">
        <v>433</v>
      </c>
      <c r="B406" s="5">
        <v>2065.0</v>
      </c>
      <c r="C406" s="5">
        <v>18.3</v>
      </c>
      <c r="D406" s="5">
        <v>18.5</v>
      </c>
      <c r="F406" s="5">
        <v>6.17</v>
      </c>
      <c r="H406" s="5">
        <v>0.63</v>
      </c>
    </row>
    <row r="407">
      <c r="A407" s="4" t="s">
        <v>434</v>
      </c>
      <c r="B407" s="5">
        <v>2064.0</v>
      </c>
      <c r="C407" s="5">
        <v>13.1</v>
      </c>
      <c r="D407" s="5">
        <v>12.9</v>
      </c>
      <c r="F407" s="5">
        <v>4.88</v>
      </c>
      <c r="H407" s="5">
        <v>0.18</v>
      </c>
    </row>
    <row r="408">
      <c r="A408" s="4" t="s">
        <v>1535</v>
      </c>
      <c r="B408" s="5">
        <v>2070.0</v>
      </c>
      <c r="C408" s="5">
        <v>15.0</v>
      </c>
      <c r="D408" s="5">
        <v>12.5</v>
      </c>
      <c r="F408" s="5">
        <v>5.52</v>
      </c>
      <c r="H408" s="5">
        <v>0.3</v>
      </c>
    </row>
    <row r="409">
      <c r="A409" s="4"/>
    </row>
    <row r="410">
      <c r="A410" s="4" t="s">
        <v>438</v>
      </c>
      <c r="B410" s="5">
        <v>2134.0</v>
      </c>
      <c r="C410" s="5">
        <v>29.7</v>
      </c>
      <c r="D410" s="5">
        <v>31.0</v>
      </c>
      <c r="F410" s="5">
        <v>8.05</v>
      </c>
      <c r="H410" s="5">
        <v>3.79</v>
      </c>
    </row>
    <row r="411">
      <c r="A411" s="4" t="s">
        <v>439</v>
      </c>
      <c r="B411" s="5">
        <v>2133.0</v>
      </c>
      <c r="C411" s="5">
        <v>28.1</v>
      </c>
      <c r="D411" s="5">
        <v>23.6</v>
      </c>
      <c r="F411" s="5">
        <v>7.38</v>
      </c>
      <c r="H411" s="5">
        <v>1.48</v>
      </c>
    </row>
    <row r="412">
      <c r="A412" s="4" t="s">
        <v>440</v>
      </c>
      <c r="B412" s="5">
        <v>2127.0</v>
      </c>
      <c r="C412" s="5">
        <v>33.0</v>
      </c>
      <c r="D412" s="5">
        <v>22.7</v>
      </c>
      <c r="F412" s="5">
        <v>6.13</v>
      </c>
      <c r="H412" s="5">
        <v>1.58</v>
      </c>
    </row>
    <row r="413">
      <c r="A413" s="4" t="s">
        <v>441</v>
      </c>
      <c r="B413" s="5">
        <v>2132.0</v>
      </c>
      <c r="C413" s="5">
        <v>20.8</v>
      </c>
      <c r="D413" s="5">
        <v>20.1</v>
      </c>
      <c r="F413" s="5">
        <v>5.84</v>
      </c>
      <c r="H413" s="5">
        <v>1.54</v>
      </c>
    </row>
    <row r="414">
      <c r="A414" s="4" t="s">
        <v>446</v>
      </c>
      <c r="B414" s="5">
        <v>2126.0</v>
      </c>
      <c r="C414" s="5">
        <v>18.4</v>
      </c>
      <c r="D414" s="5">
        <v>15.4</v>
      </c>
      <c r="F414" s="5">
        <v>5.46</v>
      </c>
      <c r="H414" s="5">
        <v>1.46</v>
      </c>
    </row>
    <row r="415">
      <c r="A415" s="4" t="s">
        <v>1328</v>
      </c>
      <c r="B415" s="5">
        <v>2130.0</v>
      </c>
      <c r="C415" s="5">
        <v>33.0</v>
      </c>
      <c r="D415" s="5">
        <v>30.0</v>
      </c>
      <c r="F415" s="5">
        <v>8.99</v>
      </c>
      <c r="H415" s="5">
        <v>2.03</v>
      </c>
    </row>
    <row r="416">
      <c r="A416" s="4" t="s">
        <v>442</v>
      </c>
      <c r="B416" s="5">
        <v>2115.0</v>
      </c>
      <c r="C416" s="5">
        <v>20.2</v>
      </c>
      <c r="D416" s="5">
        <v>17.6</v>
      </c>
      <c r="F416" s="5">
        <v>5.7</v>
      </c>
      <c r="H416" s="5">
        <v>1.1</v>
      </c>
    </row>
    <row r="417">
      <c r="A417" s="4" t="s">
        <v>443</v>
      </c>
      <c r="B417" s="5">
        <v>2131.0</v>
      </c>
      <c r="C417" s="5">
        <v>30.3</v>
      </c>
      <c r="D417" s="5">
        <v>26.0</v>
      </c>
      <c r="F417" s="5">
        <v>5.69</v>
      </c>
      <c r="H417" s="5">
        <v>0.77</v>
      </c>
    </row>
    <row r="418">
      <c r="A418" s="4" t="s">
        <v>1330</v>
      </c>
      <c r="B418" s="5">
        <v>2125.0</v>
      </c>
      <c r="C418" s="5">
        <v>22.8</v>
      </c>
      <c r="D418" s="5">
        <v>18.7</v>
      </c>
      <c r="F418" s="5">
        <v>6.46</v>
      </c>
      <c r="H418" s="5">
        <v>1.04</v>
      </c>
    </row>
    <row r="419">
      <c r="A419" s="4" t="s">
        <v>1331</v>
      </c>
      <c r="B419" s="5">
        <v>2120.0</v>
      </c>
      <c r="C419" s="5">
        <v>16.3</v>
      </c>
      <c r="D419" s="5">
        <v>20.2</v>
      </c>
      <c r="F419" s="5">
        <v>6.44</v>
      </c>
      <c r="H419" s="5">
        <v>0.76</v>
      </c>
    </row>
    <row r="420">
      <c r="A420" s="4" t="s">
        <v>1741</v>
      </c>
      <c r="B420" s="5">
        <v>2129.0</v>
      </c>
      <c r="C420" s="5">
        <v>34.2</v>
      </c>
      <c r="D420" s="5">
        <v>30.2</v>
      </c>
      <c r="F420" s="5">
        <v>5.29</v>
      </c>
      <c r="H420" s="5">
        <v>0.48</v>
      </c>
    </row>
    <row r="421">
      <c r="A421" s="4" t="s">
        <v>445</v>
      </c>
      <c r="B421" s="5">
        <v>2124.0</v>
      </c>
      <c r="C421" s="5">
        <v>24.3</v>
      </c>
      <c r="D421" s="5">
        <v>22.5</v>
      </c>
      <c r="F421" s="5">
        <v>5.29</v>
      </c>
      <c r="H421" s="5">
        <v>0.6</v>
      </c>
    </row>
    <row r="422">
      <c r="A422" s="4" t="s">
        <v>451</v>
      </c>
      <c r="B422" s="5">
        <v>2123.0</v>
      </c>
      <c r="C422" s="5">
        <v>19.9</v>
      </c>
      <c r="D422" s="5">
        <v>21.2</v>
      </c>
      <c r="F422" s="5">
        <v>5.84</v>
      </c>
      <c r="H422" s="5">
        <v>1.11</v>
      </c>
    </row>
    <row r="423">
      <c r="A423" s="4" t="s">
        <v>1742</v>
      </c>
    </row>
    <row r="424">
      <c r="A424" s="4" t="s">
        <v>1743</v>
      </c>
      <c r="B424" s="5">
        <v>2128.0</v>
      </c>
      <c r="C424" s="5">
        <v>28.3</v>
      </c>
      <c r="D424" s="5">
        <v>18.5</v>
      </c>
      <c r="F424" s="5">
        <v>5.59</v>
      </c>
      <c r="H424" s="5">
        <v>0.63</v>
      </c>
    </row>
    <row r="425">
      <c r="A425" s="4" t="s">
        <v>452</v>
      </c>
      <c r="B425" s="5">
        <v>2116.0</v>
      </c>
      <c r="C425" s="5">
        <v>17.5</v>
      </c>
      <c r="D425" s="5">
        <v>18.7</v>
      </c>
      <c r="F425" s="5">
        <v>5.2</v>
      </c>
      <c r="H425" s="5">
        <v>0.53</v>
      </c>
    </row>
    <row r="426">
      <c r="A426" s="4" t="s">
        <v>1744</v>
      </c>
      <c r="B426" s="5">
        <v>2122.0</v>
      </c>
      <c r="C426" s="5">
        <v>18.8</v>
      </c>
      <c r="D426" s="5">
        <v>22.2</v>
      </c>
      <c r="F426" s="5">
        <v>5.56</v>
      </c>
      <c r="H426" s="5">
        <v>0.36</v>
      </c>
    </row>
    <row r="427">
      <c r="A427" s="4" t="s">
        <v>1745</v>
      </c>
      <c r="B427" s="5">
        <v>2121.0</v>
      </c>
      <c r="C427" s="5">
        <v>17.1</v>
      </c>
      <c r="D427" s="5">
        <v>22.2</v>
      </c>
      <c r="F427" s="5">
        <v>6.34</v>
      </c>
      <c r="H427" s="5">
        <v>0.44</v>
      </c>
    </row>
    <row r="428">
      <c r="A428" s="4" t="s">
        <v>1746</v>
      </c>
      <c r="B428" s="5">
        <v>2119.0</v>
      </c>
      <c r="C428" s="5">
        <v>16.6</v>
      </c>
      <c r="D428" s="5">
        <v>14.0</v>
      </c>
      <c r="F428" s="5">
        <v>4.68</v>
      </c>
      <c r="H428" s="5">
        <v>0.25</v>
      </c>
    </row>
    <row r="429">
      <c r="A429" s="4" t="s">
        <v>1747</v>
      </c>
    </row>
    <row r="430">
      <c r="A430" s="4" t="s">
        <v>1748</v>
      </c>
      <c r="B430" s="5">
        <v>2117.0</v>
      </c>
      <c r="C430" s="5">
        <v>17.1</v>
      </c>
      <c r="D430" s="5">
        <v>18.8</v>
      </c>
      <c r="F430" s="5">
        <v>5.05</v>
      </c>
      <c r="H430" s="5">
        <v>0.4</v>
      </c>
    </row>
    <row r="431">
      <c r="A431" s="4" t="s">
        <v>449</v>
      </c>
      <c r="B431" s="5">
        <v>2113.0</v>
      </c>
      <c r="C431" s="5">
        <v>18.2</v>
      </c>
      <c r="D431" s="5">
        <v>17.6</v>
      </c>
      <c r="F431" s="5">
        <v>5.56</v>
      </c>
      <c r="H431" s="5">
        <v>0.55</v>
      </c>
    </row>
    <row r="432">
      <c r="A432" s="4" t="s">
        <v>447</v>
      </c>
      <c r="B432" s="5">
        <v>2118.0</v>
      </c>
      <c r="C432" s="5">
        <v>19.2</v>
      </c>
      <c r="D432" s="5">
        <v>19.0</v>
      </c>
      <c r="F432" s="5">
        <v>6.09</v>
      </c>
      <c r="H432" s="5">
        <v>0.58</v>
      </c>
    </row>
    <row r="433">
      <c r="A433" s="4" t="s">
        <v>462</v>
      </c>
      <c r="B433" s="5">
        <v>2114.0</v>
      </c>
      <c r="C433" s="5">
        <v>14.5</v>
      </c>
      <c r="D433" s="5">
        <v>10.8</v>
      </c>
      <c r="F433" s="5">
        <v>3.92</v>
      </c>
      <c r="H433" s="5">
        <v>0.19</v>
      </c>
    </row>
    <row r="434">
      <c r="A434" s="4"/>
    </row>
    <row r="435">
      <c r="A435" s="4" t="s">
        <v>463</v>
      </c>
      <c r="B435" s="5">
        <v>2017.0</v>
      </c>
      <c r="C435" s="5">
        <v>25.2</v>
      </c>
      <c r="D435" s="5">
        <v>31.5</v>
      </c>
      <c r="F435" s="5">
        <v>8.78</v>
      </c>
      <c r="H435" s="5">
        <v>2.81</v>
      </c>
    </row>
    <row r="436">
      <c r="A436" s="4" t="s">
        <v>464</v>
      </c>
      <c r="B436" s="5">
        <v>2015.0</v>
      </c>
      <c r="C436" s="5">
        <v>28.4</v>
      </c>
      <c r="D436" s="5">
        <v>23.4</v>
      </c>
      <c r="F436" s="5">
        <v>8.35</v>
      </c>
      <c r="H436" s="5">
        <v>2.51</v>
      </c>
    </row>
    <row r="437">
      <c r="A437" s="4" t="s">
        <v>1545</v>
      </c>
      <c r="B437" s="5">
        <v>2016.0</v>
      </c>
      <c r="C437" s="5">
        <v>26.1</v>
      </c>
      <c r="D437" s="5">
        <v>23.2</v>
      </c>
      <c r="F437" s="5">
        <v>9.6</v>
      </c>
      <c r="H437" s="5">
        <v>1.76</v>
      </c>
    </row>
    <row r="438">
      <c r="A438" s="4" t="s">
        <v>465</v>
      </c>
      <c r="B438" s="5">
        <v>2010.0</v>
      </c>
      <c r="C438" s="5">
        <v>25.3</v>
      </c>
      <c r="D438" s="5">
        <v>15.4</v>
      </c>
      <c r="F438" s="5">
        <v>5.43</v>
      </c>
      <c r="H438" s="5">
        <v>0.44</v>
      </c>
    </row>
    <row r="439">
      <c r="A439" s="4" t="s">
        <v>1332</v>
      </c>
      <c r="B439" s="5">
        <v>2014.0</v>
      </c>
      <c r="C439" s="5">
        <v>23.8</v>
      </c>
      <c r="D439" s="5">
        <v>20.4</v>
      </c>
      <c r="F439" s="5">
        <v>5.78</v>
      </c>
      <c r="H439" s="5">
        <v>0.92</v>
      </c>
    </row>
    <row r="440">
      <c r="A440" s="4" t="s">
        <v>1334</v>
      </c>
      <c r="B440" s="5">
        <v>2013.0</v>
      </c>
      <c r="C440" s="5">
        <v>15.3</v>
      </c>
      <c r="D440" s="5">
        <v>22.8</v>
      </c>
      <c r="F440" s="5">
        <v>5.84</v>
      </c>
      <c r="H440" s="5">
        <v>0.47</v>
      </c>
    </row>
    <row r="441">
      <c r="A441" s="4" t="s">
        <v>1749</v>
      </c>
      <c r="B441" s="5">
        <v>2007.0</v>
      </c>
      <c r="C441" s="5">
        <v>31.0</v>
      </c>
      <c r="D441" s="5">
        <v>31.2</v>
      </c>
      <c r="E441" s="5">
        <v>6.0</v>
      </c>
      <c r="F441" s="5">
        <v>6.14</v>
      </c>
      <c r="H441" s="5">
        <v>1.22</v>
      </c>
    </row>
    <row r="442">
      <c r="A442" s="4" t="s">
        <v>1554</v>
      </c>
      <c r="B442" s="5">
        <v>2008.0</v>
      </c>
      <c r="C442" s="5">
        <v>21.6</v>
      </c>
      <c r="D442" s="5">
        <v>21.5</v>
      </c>
      <c r="F442" s="5">
        <v>5.63</v>
      </c>
      <c r="H442" s="5">
        <v>0.75</v>
      </c>
    </row>
    <row r="443">
      <c r="A443" s="4" t="s">
        <v>1548</v>
      </c>
      <c r="B443" s="5">
        <v>2012.0</v>
      </c>
      <c r="C443" s="5">
        <v>20.7</v>
      </c>
      <c r="D443" s="5">
        <v>21.6</v>
      </c>
      <c r="F443" s="5">
        <v>6.77</v>
      </c>
      <c r="H443" s="5">
        <v>1.18</v>
      </c>
    </row>
    <row r="444">
      <c r="A444" s="4" t="s">
        <v>1550</v>
      </c>
      <c r="B444" s="5">
        <v>2011.0</v>
      </c>
      <c r="C444" s="5">
        <v>15.9</v>
      </c>
      <c r="D444" s="5">
        <v>21.6</v>
      </c>
      <c r="F444" s="5">
        <v>5.82</v>
      </c>
      <c r="H444" s="5">
        <v>0.66</v>
      </c>
    </row>
    <row r="445">
      <c r="A445" s="4" t="s">
        <v>1333</v>
      </c>
      <c r="B445" s="5">
        <v>2009.0</v>
      </c>
      <c r="C445" s="5">
        <v>24.0</v>
      </c>
      <c r="D445" s="5">
        <v>27.5</v>
      </c>
      <c r="F445" s="5">
        <v>6.22</v>
      </c>
      <c r="H445" s="5">
        <v>0.56</v>
      </c>
    </row>
    <row r="446">
      <c r="A446" s="4" t="s">
        <v>1750</v>
      </c>
      <c r="B446" s="5">
        <v>2002.0</v>
      </c>
      <c r="C446" s="5">
        <v>16.0</v>
      </c>
      <c r="D446" s="5">
        <v>19.6</v>
      </c>
      <c r="F446" s="5">
        <v>5.68</v>
      </c>
      <c r="H446" s="5">
        <v>0.53</v>
      </c>
    </row>
    <row r="447">
      <c r="A447" s="4" t="s">
        <v>1751</v>
      </c>
      <c r="B447" s="5">
        <v>2001.0</v>
      </c>
      <c r="C447" s="5">
        <v>16.3</v>
      </c>
      <c r="D447" s="5">
        <v>13.2</v>
      </c>
      <c r="F447" s="5">
        <v>5.75</v>
      </c>
      <c r="H447" s="5">
        <v>0.17</v>
      </c>
    </row>
    <row r="448">
      <c r="A448" s="4" t="s">
        <v>1553</v>
      </c>
      <c r="B448" s="5">
        <v>2004.0</v>
      </c>
      <c r="C448" s="5">
        <v>15.8</v>
      </c>
      <c r="D448" s="5">
        <v>15.3</v>
      </c>
      <c r="F448" s="5">
        <v>5.33</v>
      </c>
      <c r="H448" s="5">
        <v>0.27</v>
      </c>
    </row>
    <row r="449">
      <c r="A449" s="4" t="s">
        <v>1752</v>
      </c>
    </row>
    <row r="450">
      <c r="A450" s="9" t="s">
        <v>1752</v>
      </c>
      <c r="B450" s="5">
        <v>2005.0</v>
      </c>
      <c r="C450" s="5">
        <v>15.7</v>
      </c>
      <c r="D450" s="5">
        <v>17.5</v>
      </c>
      <c r="F450" s="5">
        <v>5.29</v>
      </c>
      <c r="H450" s="5">
        <v>0.28</v>
      </c>
    </row>
    <row r="451">
      <c r="A451" s="4" t="s">
        <v>1753</v>
      </c>
      <c r="B451" s="5">
        <v>2003.0</v>
      </c>
      <c r="C451" s="5">
        <v>26.7</v>
      </c>
      <c r="D451" s="5">
        <v>22.2</v>
      </c>
      <c r="F451" s="5">
        <v>6.04</v>
      </c>
      <c r="H451" s="5">
        <v>0.56</v>
      </c>
    </row>
    <row r="452">
      <c r="A452" s="4" t="s">
        <v>1555</v>
      </c>
      <c r="B452" s="5">
        <v>2006.0</v>
      </c>
      <c r="C452" s="5">
        <v>16.2</v>
      </c>
      <c r="D452" s="5">
        <v>16.2</v>
      </c>
      <c r="F452" s="5">
        <v>5.33</v>
      </c>
      <c r="H452" s="5">
        <v>0.13</v>
      </c>
    </row>
    <row r="453">
      <c r="A453" s="4"/>
    </row>
    <row r="454">
      <c r="A454" s="4" t="s">
        <v>475</v>
      </c>
      <c r="B454" s="5">
        <v>2112.0</v>
      </c>
      <c r="C454" s="5">
        <v>24.0</v>
      </c>
      <c r="D454" s="5">
        <v>32.6</v>
      </c>
      <c r="F454" s="5">
        <v>6.55</v>
      </c>
      <c r="H454" s="5">
        <v>1.57</v>
      </c>
    </row>
    <row r="455">
      <c r="A455" s="4" t="s">
        <v>481</v>
      </c>
      <c r="B455" s="5">
        <v>2109.0</v>
      </c>
      <c r="C455" s="5">
        <v>32.8</v>
      </c>
      <c r="D455" s="5">
        <v>30.1</v>
      </c>
      <c r="F455" s="5">
        <v>5.76</v>
      </c>
      <c r="H455" s="5">
        <v>1.03</v>
      </c>
    </row>
    <row r="456">
      <c r="A456" s="4" t="s">
        <v>476</v>
      </c>
      <c r="B456" s="5">
        <v>2111.0</v>
      </c>
      <c r="C456" s="5">
        <v>27.3</v>
      </c>
      <c r="D456" s="5">
        <v>22.7</v>
      </c>
      <c r="F456" s="5">
        <v>6.08</v>
      </c>
      <c r="H456" s="5">
        <v>1.2</v>
      </c>
    </row>
    <row r="457">
      <c r="A457" s="4" t="s">
        <v>478</v>
      </c>
      <c r="B457" s="5">
        <v>2103.0</v>
      </c>
      <c r="C457" s="5">
        <v>17.9</v>
      </c>
      <c r="D457" s="5">
        <v>23.1</v>
      </c>
      <c r="F457" s="5">
        <v>6.53</v>
      </c>
      <c r="H457" s="5">
        <v>0.83</v>
      </c>
    </row>
    <row r="458">
      <c r="A458" s="4" t="s">
        <v>477</v>
      </c>
      <c r="B458" s="5">
        <v>2110.0</v>
      </c>
      <c r="C458" s="5">
        <v>21.2</v>
      </c>
      <c r="D458" s="5">
        <v>16.3</v>
      </c>
      <c r="F458" s="5">
        <v>5.73</v>
      </c>
      <c r="H458" s="5">
        <v>0.67</v>
      </c>
    </row>
    <row r="459">
      <c r="A459" s="4" t="s">
        <v>480</v>
      </c>
      <c r="B459" s="5">
        <v>2108.0</v>
      </c>
      <c r="C459" s="5">
        <v>15.7</v>
      </c>
      <c r="D459" s="5">
        <v>22.6</v>
      </c>
      <c r="F459" s="5">
        <v>4.92</v>
      </c>
      <c r="H459" s="5">
        <v>0.37</v>
      </c>
    </row>
    <row r="460">
      <c r="A460" s="4" t="s">
        <v>1754</v>
      </c>
      <c r="B460" s="5">
        <v>2107.0</v>
      </c>
      <c r="C460" s="5">
        <v>24.2</v>
      </c>
      <c r="D460" s="5">
        <v>25.0</v>
      </c>
      <c r="F460" s="5">
        <v>6.07</v>
      </c>
      <c r="H460" s="5">
        <v>0.41</v>
      </c>
    </row>
    <row r="461">
      <c r="A461" s="4" t="s">
        <v>488</v>
      </c>
      <c r="B461" s="5">
        <v>2104.0</v>
      </c>
      <c r="C461" s="5">
        <v>18.1</v>
      </c>
      <c r="D461" s="5">
        <v>19.6</v>
      </c>
      <c r="F461" s="5">
        <v>4.3</v>
      </c>
      <c r="H461" s="5">
        <v>0.18</v>
      </c>
    </row>
    <row r="462">
      <c r="A462" s="4" t="s">
        <v>485</v>
      </c>
      <c r="B462" s="5">
        <v>2105.0</v>
      </c>
      <c r="C462" s="5">
        <v>18.0</v>
      </c>
      <c r="D462" s="5">
        <v>22.0</v>
      </c>
      <c r="F462" s="5">
        <v>4.6</v>
      </c>
      <c r="H462" s="5">
        <v>0.37</v>
      </c>
    </row>
    <row r="463">
      <c r="A463" s="4" t="s">
        <v>484</v>
      </c>
      <c r="B463" s="5">
        <v>2106.0</v>
      </c>
      <c r="C463" s="5">
        <v>28.6</v>
      </c>
      <c r="D463" s="5">
        <v>29.0</v>
      </c>
      <c r="F463" s="5">
        <v>5.19</v>
      </c>
      <c r="H463" s="5">
        <v>0.42</v>
      </c>
    </row>
    <row r="464">
      <c r="A464" s="4" t="s">
        <v>479</v>
      </c>
      <c r="B464" s="5">
        <v>2102.0</v>
      </c>
      <c r="C464" s="5">
        <v>19.0</v>
      </c>
      <c r="D464" s="5">
        <v>19.4</v>
      </c>
      <c r="F464" s="5">
        <v>5.19</v>
      </c>
      <c r="H464" s="5">
        <v>0.4</v>
      </c>
    </row>
    <row r="465">
      <c r="A465" s="4"/>
    </row>
    <row r="466">
      <c r="A466" s="4" t="s">
        <v>496</v>
      </c>
    </row>
    <row r="467">
      <c r="A467" s="4" t="s">
        <v>497</v>
      </c>
    </row>
    <row r="468">
      <c r="A468" s="4" t="s">
        <v>504</v>
      </c>
    </row>
    <row r="469">
      <c r="A469" s="4" t="s">
        <v>498</v>
      </c>
    </row>
    <row r="470">
      <c r="A470" s="4"/>
    </row>
    <row r="471">
      <c r="A471" s="4" t="s">
        <v>517</v>
      </c>
    </row>
    <row r="472">
      <c r="A472" s="4" t="s">
        <v>518</v>
      </c>
    </row>
    <row r="473">
      <c r="A473" s="4" t="s">
        <v>519</v>
      </c>
    </row>
    <row r="474">
      <c r="A474" s="4"/>
    </row>
    <row r="475">
      <c r="A475" s="4" t="s">
        <v>537</v>
      </c>
    </row>
    <row r="476">
      <c r="A476" s="4" t="s">
        <v>538</v>
      </c>
    </row>
    <row r="477">
      <c r="A477" s="4"/>
    </row>
    <row r="478">
      <c r="A478" s="4" t="s">
        <v>557</v>
      </c>
    </row>
    <row r="479">
      <c r="A479" s="4"/>
    </row>
    <row r="480">
      <c r="A480" s="4" t="s">
        <v>1755</v>
      </c>
      <c r="B480" s="5">
        <v>932.0</v>
      </c>
      <c r="C480" s="5">
        <v>21.6</v>
      </c>
      <c r="D480" s="5">
        <v>8.6</v>
      </c>
      <c r="E480" s="5">
        <v>17.8</v>
      </c>
      <c r="F480" s="5">
        <v>16.91</v>
      </c>
      <c r="G480" s="5">
        <v>0.0</v>
      </c>
      <c r="H480" s="5">
        <v>5.54</v>
      </c>
      <c r="J480" s="2" t="s">
        <v>14</v>
      </c>
    </row>
    <row r="481">
      <c r="A481" s="4" t="s">
        <v>1756</v>
      </c>
      <c r="B481" s="5">
        <v>931.0</v>
      </c>
      <c r="C481" s="5">
        <v>20.0</v>
      </c>
      <c r="D481" s="5">
        <v>18.2</v>
      </c>
      <c r="E481" s="5" t="s">
        <v>1417</v>
      </c>
      <c r="F481" s="5">
        <v>13.93</v>
      </c>
      <c r="H481" s="5">
        <v>4.01</v>
      </c>
      <c r="J481" s="6">
        <f>counta(H480:H654)</f>
        <v>153</v>
      </c>
    </row>
    <row r="482">
      <c r="A482" s="4" t="s">
        <v>1757</v>
      </c>
      <c r="B482" s="5">
        <v>927.0</v>
      </c>
      <c r="C482" s="5">
        <v>17.3</v>
      </c>
      <c r="D482" s="5">
        <v>18.5</v>
      </c>
      <c r="E482" s="5" t="s">
        <v>1417</v>
      </c>
      <c r="F482" s="5">
        <v>13.01</v>
      </c>
      <c r="H482" s="5">
        <v>3.0</v>
      </c>
      <c r="J482" s="6">
        <f>sum(H480:H654)/J481</f>
        <v>1.110980392</v>
      </c>
    </row>
    <row r="483">
      <c r="A483" s="4" t="s">
        <v>1337</v>
      </c>
      <c r="B483" s="5">
        <v>929.0</v>
      </c>
      <c r="C483" s="5">
        <v>22.9</v>
      </c>
      <c r="D483" s="5">
        <v>22.2</v>
      </c>
      <c r="E483" s="5" t="s">
        <v>1417</v>
      </c>
      <c r="F483" s="5">
        <v>12.02</v>
      </c>
      <c r="H483" s="5">
        <v>2.83</v>
      </c>
    </row>
    <row r="484">
      <c r="A484" s="4" t="s">
        <v>1339</v>
      </c>
      <c r="B484" s="5">
        <v>924.0</v>
      </c>
      <c r="C484" s="5">
        <v>23.6</v>
      </c>
      <c r="D484" s="5">
        <v>19.8</v>
      </c>
      <c r="E484" s="5" t="s">
        <v>1417</v>
      </c>
      <c r="F484" s="5">
        <v>8.88</v>
      </c>
      <c r="H484" s="5">
        <v>1.71</v>
      </c>
    </row>
    <row r="485">
      <c r="A485" s="4" t="s">
        <v>759</v>
      </c>
      <c r="B485" s="5">
        <v>928.0</v>
      </c>
      <c r="C485" s="5">
        <v>17.8</v>
      </c>
      <c r="D485" s="5">
        <v>18.5</v>
      </c>
      <c r="E485" s="5" t="s">
        <v>1417</v>
      </c>
      <c r="F485" s="5">
        <v>7.44</v>
      </c>
      <c r="H485" s="5">
        <v>0.31</v>
      </c>
    </row>
    <row r="486">
      <c r="A486" s="4" t="s">
        <v>1758</v>
      </c>
      <c r="B486" s="5">
        <v>914.0</v>
      </c>
      <c r="C486" s="5">
        <v>23.3</v>
      </c>
      <c r="D486" s="5">
        <v>17.6</v>
      </c>
      <c r="E486" s="5" t="s">
        <v>1417</v>
      </c>
      <c r="F486" s="5">
        <v>13.35</v>
      </c>
      <c r="H486" s="5">
        <v>2.26</v>
      </c>
    </row>
    <row r="487">
      <c r="A487" s="4" t="s">
        <v>1759</v>
      </c>
    </row>
    <row r="488">
      <c r="A488" s="4" t="s">
        <v>1760</v>
      </c>
      <c r="B488" s="5">
        <v>904.0</v>
      </c>
      <c r="C488" s="5">
        <v>23.6</v>
      </c>
      <c r="D488" s="5">
        <v>27.4</v>
      </c>
      <c r="F488" s="5">
        <v>8.64</v>
      </c>
      <c r="H488" s="5">
        <v>1.31</v>
      </c>
    </row>
    <row r="489">
      <c r="A489" s="4" t="s">
        <v>1341</v>
      </c>
      <c r="B489" s="5">
        <v>920.0</v>
      </c>
      <c r="C489" s="5">
        <v>28.5</v>
      </c>
      <c r="D489" s="5">
        <v>26.2</v>
      </c>
      <c r="F489" s="5">
        <v>10.2</v>
      </c>
      <c r="H489" s="5">
        <v>1.67</v>
      </c>
    </row>
    <row r="490">
      <c r="A490" s="4" t="s">
        <v>1344</v>
      </c>
      <c r="B490" s="5">
        <v>912.0</v>
      </c>
      <c r="C490" s="5">
        <v>19.4</v>
      </c>
      <c r="D490" s="5">
        <v>19.7</v>
      </c>
      <c r="F490" s="5">
        <v>8.35</v>
      </c>
      <c r="H490" s="5">
        <v>1.14</v>
      </c>
    </row>
    <row r="491">
      <c r="A491" s="4" t="s">
        <v>764</v>
      </c>
      <c r="B491" s="5">
        <v>926.0</v>
      </c>
      <c r="C491" s="5">
        <v>14.9</v>
      </c>
      <c r="D491" s="5">
        <v>15.4</v>
      </c>
      <c r="F491" s="5">
        <v>8.68</v>
      </c>
      <c r="H491" s="5">
        <v>1.13</v>
      </c>
    </row>
    <row r="492">
      <c r="A492" s="4" t="s">
        <v>1340</v>
      </c>
      <c r="B492" s="5">
        <v>915.0</v>
      </c>
      <c r="C492" s="5">
        <v>20.8</v>
      </c>
      <c r="D492" s="5">
        <v>19.6</v>
      </c>
      <c r="F492" s="5">
        <v>8.74</v>
      </c>
      <c r="H492" s="5">
        <v>1.45</v>
      </c>
    </row>
    <row r="493">
      <c r="A493" s="4" t="s">
        <v>1761</v>
      </c>
      <c r="B493" s="5">
        <v>923.0</v>
      </c>
      <c r="C493" s="5">
        <v>23.5</v>
      </c>
      <c r="D493" s="5">
        <v>30.1</v>
      </c>
      <c r="F493" s="5">
        <v>9.85</v>
      </c>
      <c r="H493" s="5">
        <v>1.24</v>
      </c>
    </row>
    <row r="494">
      <c r="A494" s="4" t="s">
        <v>1762</v>
      </c>
      <c r="B494" s="5">
        <v>925.0</v>
      </c>
      <c r="C494" s="5">
        <v>24.4</v>
      </c>
      <c r="D494" s="5">
        <v>17.6</v>
      </c>
      <c r="F494" s="5">
        <v>7.22</v>
      </c>
    </row>
    <row r="495">
      <c r="A495" s="4" t="s">
        <v>1763</v>
      </c>
      <c r="B495" s="5">
        <v>919.0</v>
      </c>
      <c r="C495" s="5">
        <v>17.6</v>
      </c>
      <c r="D495" s="5">
        <v>22.8</v>
      </c>
      <c r="F495" s="5">
        <v>7.58</v>
      </c>
      <c r="H495" s="5">
        <v>0.76</v>
      </c>
    </row>
    <row r="496">
      <c r="A496" s="4" t="s">
        <v>1764</v>
      </c>
      <c r="B496" s="5">
        <v>930.0</v>
      </c>
      <c r="C496" s="5">
        <v>30.5</v>
      </c>
      <c r="D496" s="5">
        <v>30.3</v>
      </c>
      <c r="F496" s="5">
        <v>9.66</v>
      </c>
      <c r="H496" s="5">
        <v>1.55</v>
      </c>
    </row>
    <row r="497">
      <c r="A497" s="4" t="s">
        <v>1765</v>
      </c>
      <c r="B497" s="5">
        <v>921.0</v>
      </c>
      <c r="C497" s="5">
        <v>23.3</v>
      </c>
      <c r="D497" s="5">
        <v>21.7</v>
      </c>
      <c r="F497" s="5">
        <v>8.91</v>
      </c>
      <c r="H497" s="5">
        <v>1.14</v>
      </c>
    </row>
    <row r="498">
      <c r="A498" s="4" t="s">
        <v>1766</v>
      </c>
    </row>
    <row r="499">
      <c r="A499" s="4" t="s">
        <v>1767</v>
      </c>
      <c r="B499" s="5">
        <v>913.0</v>
      </c>
      <c r="C499" s="5">
        <v>17.7</v>
      </c>
      <c r="D499" s="5">
        <v>19.6</v>
      </c>
      <c r="E499" s="5" t="s">
        <v>1417</v>
      </c>
      <c r="F499" s="5">
        <v>7.22</v>
      </c>
      <c r="H499" s="5">
        <v>0.65</v>
      </c>
    </row>
    <row r="500">
      <c r="A500" s="4" t="s">
        <v>1768</v>
      </c>
      <c r="B500" s="5">
        <v>903.0</v>
      </c>
      <c r="C500" s="5">
        <v>17.3</v>
      </c>
      <c r="D500" s="5">
        <v>14.4</v>
      </c>
      <c r="E500" s="5" t="s">
        <v>1417</v>
      </c>
      <c r="F500" s="5">
        <v>8.15</v>
      </c>
      <c r="H500" s="5">
        <v>0.74</v>
      </c>
    </row>
    <row r="501">
      <c r="A501" s="4" t="s">
        <v>766</v>
      </c>
      <c r="B501" s="5">
        <v>907.0</v>
      </c>
      <c r="C501" s="5">
        <v>18.3</v>
      </c>
      <c r="D501" s="5">
        <v>15.6</v>
      </c>
      <c r="E501" s="5" t="s">
        <v>1417</v>
      </c>
      <c r="F501" s="5">
        <v>7.76</v>
      </c>
      <c r="H501" s="5">
        <v>0.75</v>
      </c>
    </row>
    <row r="502">
      <c r="A502" s="4" t="s">
        <v>1345</v>
      </c>
    </row>
    <row r="503">
      <c r="A503" s="4" t="s">
        <v>1769</v>
      </c>
      <c r="B503" s="5">
        <v>906.0</v>
      </c>
      <c r="C503" s="5">
        <v>16.2</v>
      </c>
      <c r="D503" s="5">
        <v>17.0</v>
      </c>
      <c r="E503" s="5" t="s">
        <v>1417</v>
      </c>
      <c r="F503" s="5">
        <v>7.09</v>
      </c>
      <c r="H503" s="5">
        <v>0.66</v>
      </c>
    </row>
    <row r="504">
      <c r="A504" s="4" t="s">
        <v>1770</v>
      </c>
      <c r="B504" s="5">
        <v>922.0</v>
      </c>
      <c r="C504" s="5">
        <v>23.9</v>
      </c>
      <c r="D504" s="5">
        <v>23.5</v>
      </c>
      <c r="E504" s="5" t="s">
        <v>1417</v>
      </c>
      <c r="F504" s="5">
        <v>7.81</v>
      </c>
      <c r="H504" s="5">
        <v>0.78</v>
      </c>
    </row>
    <row r="505">
      <c r="A505" s="4" t="s">
        <v>1346</v>
      </c>
      <c r="B505" s="5">
        <v>908.0</v>
      </c>
      <c r="C505" s="5">
        <v>20.3</v>
      </c>
      <c r="D505" s="5">
        <v>15.7</v>
      </c>
      <c r="E505" s="5" t="s">
        <v>1417</v>
      </c>
      <c r="F505" s="5">
        <v>7.23</v>
      </c>
      <c r="H505" s="5">
        <v>0.84</v>
      </c>
    </row>
    <row r="506">
      <c r="A506" s="4" t="s">
        <v>1771</v>
      </c>
      <c r="B506" s="5">
        <v>916.0</v>
      </c>
      <c r="C506" s="5">
        <v>20.1</v>
      </c>
      <c r="D506" s="5">
        <v>20.3</v>
      </c>
      <c r="E506" s="5" t="s">
        <v>1417</v>
      </c>
      <c r="F506" s="5">
        <v>8.58</v>
      </c>
      <c r="H506" s="5">
        <v>0.52</v>
      </c>
    </row>
    <row r="507">
      <c r="A507" s="4" t="s">
        <v>1772</v>
      </c>
      <c r="B507" s="5">
        <v>917.0</v>
      </c>
      <c r="C507" s="5">
        <v>18.2</v>
      </c>
      <c r="D507" s="5">
        <v>17.8</v>
      </c>
      <c r="E507" s="5" t="s">
        <v>1417</v>
      </c>
      <c r="F507" s="5">
        <v>7.67</v>
      </c>
      <c r="H507" s="5">
        <v>0.9</v>
      </c>
    </row>
    <row r="508">
      <c r="A508" s="4" t="s">
        <v>1773</v>
      </c>
      <c r="B508" s="5">
        <v>935.0</v>
      </c>
      <c r="C508" s="5">
        <v>17.7</v>
      </c>
      <c r="D508" s="5">
        <v>15.4</v>
      </c>
      <c r="E508" s="5" t="s">
        <v>1417</v>
      </c>
      <c r="F508" s="5">
        <v>7.25</v>
      </c>
      <c r="H508" s="5">
        <v>0.61</v>
      </c>
    </row>
    <row r="509">
      <c r="A509" s="4" t="s">
        <v>1774</v>
      </c>
    </row>
    <row r="510">
      <c r="A510" s="4" t="s">
        <v>1775</v>
      </c>
      <c r="B510" s="5">
        <v>902.0</v>
      </c>
      <c r="C510" s="5">
        <v>9.2</v>
      </c>
      <c r="D510" s="5">
        <v>9.1</v>
      </c>
      <c r="E510" s="5" t="s">
        <v>1417</v>
      </c>
      <c r="F510" s="5">
        <v>5.61</v>
      </c>
      <c r="H510" s="5">
        <v>0.41</v>
      </c>
    </row>
    <row r="511">
      <c r="A511" s="4" t="s">
        <v>1776</v>
      </c>
    </row>
    <row r="512">
      <c r="A512" s="4" t="s">
        <v>1777</v>
      </c>
      <c r="B512" s="5">
        <v>910.0</v>
      </c>
      <c r="C512" s="5">
        <v>10.1</v>
      </c>
      <c r="D512" s="5">
        <v>12.0</v>
      </c>
      <c r="E512" s="5" t="s">
        <v>1417</v>
      </c>
      <c r="F512" s="5">
        <v>5.75</v>
      </c>
      <c r="H512" s="5">
        <v>0.36</v>
      </c>
    </row>
    <row r="513">
      <c r="A513" s="4" t="s">
        <v>1568</v>
      </c>
      <c r="B513" s="5">
        <v>905.0</v>
      </c>
      <c r="C513" s="5">
        <v>16.7</v>
      </c>
      <c r="D513" s="5">
        <v>14.8</v>
      </c>
      <c r="E513" s="5" t="s">
        <v>1417</v>
      </c>
      <c r="F513" s="5">
        <v>6.62</v>
      </c>
      <c r="H513" s="5">
        <v>0.7</v>
      </c>
    </row>
    <row r="514">
      <c r="A514" s="4" t="s">
        <v>1778</v>
      </c>
      <c r="B514" s="5">
        <v>899.0</v>
      </c>
      <c r="C514" s="5">
        <v>13.5</v>
      </c>
      <c r="D514" s="5">
        <v>11.2</v>
      </c>
      <c r="E514" s="5" t="s">
        <v>1417</v>
      </c>
      <c r="F514" s="5">
        <v>5.87</v>
      </c>
      <c r="H514" s="5">
        <v>0.47</v>
      </c>
    </row>
    <row r="515">
      <c r="A515" s="4" t="s">
        <v>1349</v>
      </c>
    </row>
    <row r="516">
      <c r="A516" s="4" t="s">
        <v>1779</v>
      </c>
      <c r="B516" s="5">
        <v>918.0</v>
      </c>
      <c r="C516" s="5">
        <v>12.2</v>
      </c>
      <c r="D516" s="5">
        <v>13.0</v>
      </c>
      <c r="E516" s="5" t="s">
        <v>1417</v>
      </c>
      <c r="F516" s="5">
        <v>7.63</v>
      </c>
      <c r="H516" s="5">
        <v>0.53</v>
      </c>
    </row>
    <row r="517">
      <c r="A517" s="4" t="s">
        <v>1780</v>
      </c>
      <c r="B517" s="5">
        <v>897.0</v>
      </c>
      <c r="C517" s="5">
        <v>10.1</v>
      </c>
      <c r="D517" s="5">
        <v>11.5</v>
      </c>
      <c r="E517" s="5" t="s">
        <v>1417</v>
      </c>
      <c r="F517" s="5">
        <v>5.24</v>
      </c>
      <c r="H517" s="5">
        <v>0.28</v>
      </c>
    </row>
    <row r="518">
      <c r="A518" s="4" t="s">
        <v>1781</v>
      </c>
      <c r="B518" s="5">
        <v>934.0</v>
      </c>
      <c r="C518" s="5">
        <v>14.2</v>
      </c>
      <c r="D518" s="5">
        <v>14.9</v>
      </c>
      <c r="E518" s="5" t="s">
        <v>1417</v>
      </c>
      <c r="F518" s="5">
        <v>5.62</v>
      </c>
      <c r="H518" s="5">
        <v>0.47</v>
      </c>
    </row>
    <row r="519">
      <c r="A519" s="4" t="s">
        <v>1782</v>
      </c>
      <c r="B519" s="5">
        <v>895.0</v>
      </c>
      <c r="C519" s="5">
        <v>15.2</v>
      </c>
      <c r="D519" s="5">
        <v>14.3</v>
      </c>
      <c r="E519" s="5" t="s">
        <v>1417</v>
      </c>
      <c r="F519" s="5">
        <v>6.88</v>
      </c>
      <c r="H519" s="5">
        <v>0.51</v>
      </c>
    </row>
    <row r="520">
      <c r="A520" s="4" t="s">
        <v>1783</v>
      </c>
    </row>
    <row r="521">
      <c r="A521" s="4" t="s">
        <v>1784</v>
      </c>
      <c r="B521" s="5">
        <v>898.0</v>
      </c>
      <c r="C521" s="5">
        <v>11.1</v>
      </c>
      <c r="D521" s="5">
        <v>9.7</v>
      </c>
      <c r="E521" s="5" t="s">
        <v>1417</v>
      </c>
      <c r="F521" s="5">
        <v>4.85</v>
      </c>
      <c r="H521" s="5">
        <v>0.16</v>
      </c>
    </row>
    <row r="522">
      <c r="A522" s="4" t="s">
        <v>1785</v>
      </c>
      <c r="B522" s="5">
        <v>900.0</v>
      </c>
      <c r="C522" s="5">
        <v>10.6</v>
      </c>
      <c r="D522" s="5">
        <v>9.5</v>
      </c>
      <c r="E522" s="5" t="s">
        <v>1417</v>
      </c>
      <c r="F522" s="5">
        <v>5.67</v>
      </c>
      <c r="H522" s="5">
        <v>0.29</v>
      </c>
    </row>
    <row r="523">
      <c r="A523" s="4" t="s">
        <v>1786</v>
      </c>
    </row>
    <row r="524">
      <c r="A524" s="4" t="s">
        <v>1787</v>
      </c>
      <c r="B524" s="5">
        <v>901.0</v>
      </c>
      <c r="C524" s="5">
        <v>9.2</v>
      </c>
      <c r="D524" s="5">
        <v>6.4</v>
      </c>
      <c r="E524" s="5" t="s">
        <v>1417</v>
      </c>
      <c r="F524" s="5">
        <v>3.94</v>
      </c>
      <c r="H524" s="5">
        <v>0.11</v>
      </c>
    </row>
    <row r="525">
      <c r="A525" s="4" t="s">
        <v>1788</v>
      </c>
    </row>
    <row r="526">
      <c r="A526" s="4" t="s">
        <v>1789</v>
      </c>
      <c r="B526" s="5">
        <v>911.0</v>
      </c>
      <c r="C526" s="5">
        <v>11.5</v>
      </c>
      <c r="D526" s="5">
        <v>11.6</v>
      </c>
      <c r="E526" s="5" t="s">
        <v>1417</v>
      </c>
      <c r="F526" s="5">
        <v>5.28</v>
      </c>
      <c r="H526" s="5">
        <v>0.19</v>
      </c>
    </row>
    <row r="527">
      <c r="A527" s="4" t="s">
        <v>1790</v>
      </c>
      <c r="B527" s="5">
        <v>896.0</v>
      </c>
      <c r="C527" s="5">
        <v>9.1</v>
      </c>
      <c r="D527" s="5">
        <v>7.8</v>
      </c>
      <c r="E527" s="5" t="s">
        <v>1417</v>
      </c>
      <c r="F527" s="5">
        <v>2.98</v>
      </c>
      <c r="H527" s="5">
        <v>0.2</v>
      </c>
    </row>
    <row r="528">
      <c r="A528" s="4" t="s">
        <v>1791</v>
      </c>
      <c r="B528" s="5">
        <v>933.0</v>
      </c>
      <c r="C528" s="5">
        <v>12.0</v>
      </c>
      <c r="D528" s="5">
        <v>10.1</v>
      </c>
      <c r="E528" s="5" t="s">
        <v>1417</v>
      </c>
      <c r="F528" s="5">
        <v>3.63</v>
      </c>
      <c r="H528" s="5">
        <v>0.04</v>
      </c>
    </row>
    <row r="529">
      <c r="A529" s="4" t="s">
        <v>1792</v>
      </c>
      <c r="B529" s="5">
        <v>894.0</v>
      </c>
      <c r="C529" s="5">
        <v>12.5</v>
      </c>
      <c r="D529" s="5">
        <v>7.9</v>
      </c>
      <c r="E529" s="5" t="s">
        <v>1417</v>
      </c>
      <c r="F529" s="5">
        <v>4.05</v>
      </c>
      <c r="H529" s="5">
        <v>0.15</v>
      </c>
    </row>
    <row r="530">
      <c r="A530" s="4" t="s">
        <v>1793</v>
      </c>
      <c r="B530" s="5">
        <v>909.0</v>
      </c>
      <c r="C530" s="5">
        <v>9.1</v>
      </c>
      <c r="D530" s="5">
        <v>8.8</v>
      </c>
      <c r="E530" s="5" t="s">
        <v>1417</v>
      </c>
      <c r="F530" s="5">
        <v>3.4</v>
      </c>
      <c r="H530" s="5">
        <v>0.09</v>
      </c>
    </row>
    <row r="531">
      <c r="A531" s="4"/>
    </row>
    <row r="532">
      <c r="A532" s="4" t="s">
        <v>771</v>
      </c>
      <c r="B532" s="5">
        <v>977.0</v>
      </c>
      <c r="C532" s="5">
        <v>23.5</v>
      </c>
      <c r="D532" s="5">
        <v>18.1</v>
      </c>
      <c r="E532" s="5" t="s">
        <v>1417</v>
      </c>
      <c r="F532" s="5">
        <v>14.41</v>
      </c>
      <c r="H532" s="5">
        <v>7.2</v>
      </c>
    </row>
    <row r="533">
      <c r="A533" s="4" t="s">
        <v>772</v>
      </c>
      <c r="B533" s="5">
        <v>976.0</v>
      </c>
      <c r="C533" s="5">
        <v>15.8</v>
      </c>
      <c r="D533" s="5">
        <v>13.2</v>
      </c>
      <c r="E533" s="5" t="s">
        <v>1417</v>
      </c>
      <c r="F533" s="5">
        <v>15.5</v>
      </c>
      <c r="H533" s="5">
        <v>4.86</v>
      </c>
    </row>
    <row r="534">
      <c r="A534" s="4" t="s">
        <v>1353</v>
      </c>
      <c r="B534" s="5">
        <v>973.0</v>
      </c>
      <c r="C534" s="5">
        <v>28.7</v>
      </c>
      <c r="D534" s="5">
        <v>30.5</v>
      </c>
      <c r="E534" s="5" t="s">
        <v>1417</v>
      </c>
      <c r="F534" s="5">
        <v>10.51</v>
      </c>
      <c r="H534" s="5">
        <v>3.16</v>
      </c>
    </row>
    <row r="535">
      <c r="A535" s="4" t="s">
        <v>1354</v>
      </c>
      <c r="B535" s="5">
        <v>969.0</v>
      </c>
      <c r="C535" s="5">
        <v>28.1</v>
      </c>
      <c r="D535" s="5">
        <v>23.6</v>
      </c>
      <c r="E535" s="5" t="s">
        <v>1417</v>
      </c>
      <c r="F535" s="5">
        <v>9.72</v>
      </c>
      <c r="H535" s="5">
        <v>1.89</v>
      </c>
    </row>
    <row r="536">
      <c r="A536" s="4" t="s">
        <v>773</v>
      </c>
      <c r="B536" s="5">
        <v>975.0</v>
      </c>
      <c r="C536" s="5">
        <v>18.4</v>
      </c>
      <c r="D536" s="5">
        <v>16.3</v>
      </c>
      <c r="E536" s="5" t="s">
        <v>1417</v>
      </c>
      <c r="F536" s="5">
        <v>11.01</v>
      </c>
      <c r="H536" s="5">
        <v>2.89</v>
      </c>
    </row>
    <row r="537">
      <c r="A537" s="4" t="s">
        <v>774</v>
      </c>
      <c r="B537" s="5">
        <v>967.0</v>
      </c>
      <c r="C537" s="5">
        <v>27.2</v>
      </c>
      <c r="D537" s="5">
        <v>25.5</v>
      </c>
      <c r="E537" s="5" t="s">
        <v>1417</v>
      </c>
      <c r="F537" s="5">
        <v>9.11</v>
      </c>
      <c r="H537" s="5">
        <v>3.12</v>
      </c>
    </row>
    <row r="538">
      <c r="A538" s="4" t="s">
        <v>779</v>
      </c>
      <c r="B538" s="5">
        <v>957.0</v>
      </c>
      <c r="C538" s="5">
        <v>25.6</v>
      </c>
      <c r="D538" s="5">
        <v>24.9</v>
      </c>
      <c r="E538" s="5" t="s">
        <v>1417</v>
      </c>
      <c r="F538" s="5">
        <v>7.48</v>
      </c>
      <c r="H538" s="5">
        <v>1.94</v>
      </c>
    </row>
    <row r="539">
      <c r="A539" s="4" t="s">
        <v>1794</v>
      </c>
      <c r="B539" s="5">
        <v>968.0</v>
      </c>
      <c r="C539" s="5">
        <v>33.0</v>
      </c>
      <c r="D539" s="5">
        <v>37.5</v>
      </c>
      <c r="E539" s="5" t="s">
        <v>1417</v>
      </c>
      <c r="F539" s="5">
        <v>8.95</v>
      </c>
      <c r="H539" s="5">
        <v>1.53</v>
      </c>
    </row>
    <row r="540">
      <c r="A540" s="4" t="s">
        <v>1355</v>
      </c>
      <c r="B540" s="5">
        <v>964.0</v>
      </c>
      <c r="C540" s="5">
        <v>24.0</v>
      </c>
      <c r="D540" s="5">
        <v>25.8</v>
      </c>
      <c r="E540" s="5" t="s">
        <v>1417</v>
      </c>
      <c r="F540" s="5">
        <v>8.38</v>
      </c>
      <c r="H540" s="5">
        <v>1.63</v>
      </c>
    </row>
    <row r="541">
      <c r="A541" s="4" t="s">
        <v>1356</v>
      </c>
      <c r="B541" s="5">
        <v>956.0</v>
      </c>
      <c r="C541" s="5">
        <v>29.6</v>
      </c>
      <c r="D541" s="5">
        <v>25.0</v>
      </c>
      <c r="E541" s="5" t="s">
        <v>1417</v>
      </c>
      <c r="F541" s="5">
        <v>8.43</v>
      </c>
      <c r="H541" s="5">
        <v>1.74</v>
      </c>
    </row>
    <row r="542">
      <c r="A542" s="4" t="s">
        <v>1795</v>
      </c>
      <c r="B542" s="5">
        <v>970.0</v>
      </c>
      <c r="C542" s="5">
        <v>28.7</v>
      </c>
      <c r="D542" s="5">
        <v>25.8</v>
      </c>
      <c r="E542" s="5" t="s">
        <v>1417</v>
      </c>
      <c r="F542" s="5">
        <v>8.28</v>
      </c>
      <c r="H542" s="5">
        <v>1.04</v>
      </c>
    </row>
    <row r="543">
      <c r="A543" s="4" t="s">
        <v>778</v>
      </c>
      <c r="B543" s="5">
        <v>972.0</v>
      </c>
      <c r="C543" s="5">
        <v>24.4</v>
      </c>
      <c r="D543" s="5">
        <v>23.1</v>
      </c>
      <c r="E543" s="5" t="s">
        <v>1417</v>
      </c>
      <c r="F543" s="5">
        <v>8.81</v>
      </c>
      <c r="H543" s="5">
        <v>2.55</v>
      </c>
    </row>
    <row r="544">
      <c r="A544" s="4" t="s">
        <v>785</v>
      </c>
      <c r="B544" s="5">
        <v>965.0</v>
      </c>
      <c r="C544" s="5">
        <v>24.8</v>
      </c>
      <c r="D544" s="5">
        <v>23.2</v>
      </c>
      <c r="E544" s="5" t="s">
        <v>1417</v>
      </c>
      <c r="F544" s="5">
        <v>8.92</v>
      </c>
      <c r="H544" s="5">
        <v>1.85</v>
      </c>
    </row>
    <row r="545">
      <c r="A545" s="4" t="s">
        <v>1796</v>
      </c>
      <c r="B545" s="5">
        <v>974.0</v>
      </c>
      <c r="C545" s="5">
        <v>21.3</v>
      </c>
      <c r="D545" s="5">
        <v>17.6</v>
      </c>
      <c r="E545" s="5" t="s">
        <v>1417</v>
      </c>
      <c r="F545" s="5">
        <v>8.51</v>
      </c>
      <c r="H545" s="5">
        <v>1.46</v>
      </c>
    </row>
    <row r="546">
      <c r="A546" s="4" t="s">
        <v>1797</v>
      </c>
      <c r="B546" s="5">
        <v>971.0</v>
      </c>
      <c r="C546" s="5">
        <v>20.6</v>
      </c>
      <c r="D546" s="5">
        <v>22.7</v>
      </c>
      <c r="E546" s="5" t="s">
        <v>1417</v>
      </c>
      <c r="F546" s="5">
        <v>8.47</v>
      </c>
      <c r="H546" s="5">
        <v>0.95</v>
      </c>
    </row>
    <row r="547">
      <c r="A547" s="4" t="s">
        <v>1798</v>
      </c>
      <c r="B547" s="5">
        <v>961.0</v>
      </c>
      <c r="C547" s="5">
        <v>22.0</v>
      </c>
      <c r="D547" s="5">
        <v>20.1</v>
      </c>
      <c r="E547" s="5" t="s">
        <v>1417</v>
      </c>
      <c r="F547" s="5">
        <v>7.37</v>
      </c>
      <c r="H547" s="5">
        <v>0.73</v>
      </c>
    </row>
    <row r="548">
      <c r="A548" s="4" t="s">
        <v>781</v>
      </c>
      <c r="B548" s="5">
        <v>940.0</v>
      </c>
      <c r="C548" s="5">
        <v>34.7</v>
      </c>
      <c r="D548" s="5">
        <v>28.3</v>
      </c>
      <c r="E548" s="5" t="s">
        <v>1417</v>
      </c>
      <c r="F548" s="5">
        <v>8.12</v>
      </c>
      <c r="H548" s="5">
        <v>1.22</v>
      </c>
    </row>
    <row r="549">
      <c r="A549" s="4" t="s">
        <v>780</v>
      </c>
      <c r="B549" s="5">
        <v>936.0</v>
      </c>
      <c r="C549" s="5">
        <v>23.2</v>
      </c>
      <c r="D549" s="5">
        <v>21.5</v>
      </c>
      <c r="E549" s="5" t="s">
        <v>1417</v>
      </c>
      <c r="F549" s="5">
        <v>8.64</v>
      </c>
      <c r="H549" s="5">
        <v>1.27</v>
      </c>
    </row>
    <row r="550">
      <c r="A550" s="4" t="s">
        <v>783</v>
      </c>
      <c r="B550" s="5">
        <v>960.0</v>
      </c>
      <c r="C550" s="5">
        <v>26.7</v>
      </c>
      <c r="D550" s="5">
        <v>25.3</v>
      </c>
      <c r="E550" s="5" t="s">
        <v>1417</v>
      </c>
      <c r="F550" s="5">
        <v>7.17</v>
      </c>
      <c r="H550" s="5">
        <v>0.85</v>
      </c>
    </row>
    <row r="551">
      <c r="A551" s="4" t="s">
        <v>777</v>
      </c>
      <c r="B551" s="5">
        <v>959.0</v>
      </c>
      <c r="C551" s="5">
        <v>35.4</v>
      </c>
      <c r="D551" s="5">
        <v>29.2</v>
      </c>
      <c r="E551" s="5" t="s">
        <v>1417</v>
      </c>
      <c r="F551" s="5">
        <v>8.07</v>
      </c>
      <c r="H551" s="5">
        <v>1.43</v>
      </c>
    </row>
    <row r="552">
      <c r="A552" s="4" t="s">
        <v>782</v>
      </c>
      <c r="B552" s="5">
        <v>944.0</v>
      </c>
      <c r="C552" s="5">
        <v>20.2</v>
      </c>
      <c r="D552" s="5">
        <v>19.9</v>
      </c>
      <c r="E552" s="5" t="s">
        <v>1417</v>
      </c>
      <c r="F552" s="5">
        <v>7.16</v>
      </c>
      <c r="H552" s="5">
        <v>0.94</v>
      </c>
    </row>
    <row r="553">
      <c r="A553" s="4" t="s">
        <v>1799</v>
      </c>
      <c r="B553" s="5">
        <v>955.0</v>
      </c>
      <c r="C553" s="5">
        <v>20.1</v>
      </c>
      <c r="D553" s="5">
        <v>23.2</v>
      </c>
      <c r="E553" s="5" t="s">
        <v>1417</v>
      </c>
      <c r="F553" s="5">
        <v>6.3</v>
      </c>
      <c r="H553" s="5">
        <v>0.62</v>
      </c>
    </row>
    <row r="554">
      <c r="A554" s="4" t="s">
        <v>786</v>
      </c>
      <c r="B554" s="5">
        <v>949.0</v>
      </c>
      <c r="C554" s="5">
        <v>23.3</v>
      </c>
      <c r="D554" s="5">
        <v>20.7</v>
      </c>
      <c r="E554" s="5" t="s">
        <v>1417</v>
      </c>
      <c r="F554" s="5">
        <v>7.27</v>
      </c>
      <c r="H554" s="5">
        <v>1.27</v>
      </c>
    </row>
    <row r="555">
      <c r="A555" s="4" t="s">
        <v>1357</v>
      </c>
      <c r="B555" s="5">
        <v>962.0</v>
      </c>
      <c r="C555" s="5">
        <v>20.4</v>
      </c>
      <c r="D555" s="5">
        <v>19.6</v>
      </c>
      <c r="E555" s="5" t="s">
        <v>1417</v>
      </c>
      <c r="F555" s="5">
        <v>7.85</v>
      </c>
      <c r="H555" s="5">
        <v>1.26</v>
      </c>
    </row>
    <row r="556">
      <c r="A556" s="4" t="s">
        <v>1800</v>
      </c>
      <c r="B556" s="5">
        <v>952.0</v>
      </c>
      <c r="C556" s="5">
        <v>19.5</v>
      </c>
      <c r="D556" s="5">
        <v>19.0</v>
      </c>
      <c r="E556" s="5" t="s">
        <v>1417</v>
      </c>
      <c r="F556" s="5">
        <v>6.64</v>
      </c>
      <c r="H556" s="5">
        <v>1.07</v>
      </c>
    </row>
    <row r="557">
      <c r="A557" s="4" t="s">
        <v>1359</v>
      </c>
      <c r="B557" s="5">
        <v>937.0</v>
      </c>
      <c r="C557" s="5">
        <v>24.1</v>
      </c>
      <c r="D557" s="5">
        <v>21.0</v>
      </c>
      <c r="E557" s="5" t="s">
        <v>1417</v>
      </c>
      <c r="F557" s="5">
        <v>9.4</v>
      </c>
      <c r="H557" s="5">
        <v>1.32</v>
      </c>
    </row>
    <row r="558">
      <c r="A558" s="4" t="s">
        <v>1801</v>
      </c>
      <c r="B558" s="5">
        <v>963.0</v>
      </c>
      <c r="C558" s="5">
        <v>22.8</v>
      </c>
      <c r="D558" s="5">
        <v>25.8</v>
      </c>
      <c r="E558" s="5" t="s">
        <v>1417</v>
      </c>
      <c r="F558" s="5">
        <v>6.92</v>
      </c>
      <c r="H558" s="5">
        <v>0.67</v>
      </c>
    </row>
    <row r="559">
      <c r="A559" s="4" t="s">
        <v>1360</v>
      </c>
    </row>
    <row r="560">
      <c r="A560" s="4" t="s">
        <v>1802</v>
      </c>
      <c r="B560" s="5">
        <v>945.0</v>
      </c>
      <c r="C560" s="5">
        <v>21.9</v>
      </c>
      <c r="D560" s="5">
        <v>15.8</v>
      </c>
      <c r="E560" s="5" t="s">
        <v>1417</v>
      </c>
      <c r="F560" s="5">
        <v>5.44</v>
      </c>
      <c r="H560" s="5">
        <v>0.44</v>
      </c>
    </row>
    <row r="561">
      <c r="A561" s="4" t="s">
        <v>794</v>
      </c>
      <c r="B561" s="5">
        <v>939.0</v>
      </c>
      <c r="C561" s="5">
        <v>19.5</v>
      </c>
      <c r="D561" s="5">
        <v>15.1</v>
      </c>
      <c r="E561" s="5" t="s">
        <v>1417</v>
      </c>
      <c r="F561" s="5">
        <v>6.43</v>
      </c>
      <c r="H561" s="5">
        <v>0.63</v>
      </c>
    </row>
    <row r="562">
      <c r="A562" s="4" t="s">
        <v>1803</v>
      </c>
      <c r="B562" s="5">
        <v>979.0</v>
      </c>
      <c r="C562" s="5">
        <v>10.2</v>
      </c>
      <c r="D562" s="5">
        <v>12.5</v>
      </c>
      <c r="E562" s="5" t="s">
        <v>1417</v>
      </c>
      <c r="F562" s="5">
        <v>4.48</v>
      </c>
      <c r="H562" s="5">
        <v>0.48</v>
      </c>
    </row>
    <row r="563">
      <c r="A563" s="4" t="s">
        <v>787</v>
      </c>
      <c r="B563" s="5">
        <v>947.0</v>
      </c>
      <c r="C563" s="5">
        <v>12.1</v>
      </c>
      <c r="D563" s="5">
        <v>13.1</v>
      </c>
      <c r="E563" s="5" t="s">
        <v>1417</v>
      </c>
      <c r="F563" s="5">
        <v>5.98</v>
      </c>
      <c r="H563" s="5">
        <v>0.4</v>
      </c>
    </row>
    <row r="564">
      <c r="A564" s="4" t="s">
        <v>1804</v>
      </c>
      <c r="B564" s="5">
        <v>946.0</v>
      </c>
      <c r="C564" s="5">
        <v>18.9</v>
      </c>
      <c r="D564" s="5">
        <v>14.8</v>
      </c>
      <c r="E564" s="5" t="s">
        <v>1417</v>
      </c>
      <c r="F564" s="5">
        <v>5.8</v>
      </c>
      <c r="H564" s="5">
        <v>0.63</v>
      </c>
    </row>
    <row r="565">
      <c r="A565" s="4" t="s">
        <v>791</v>
      </c>
      <c r="B565" s="5">
        <v>948.0</v>
      </c>
      <c r="C565" s="5">
        <v>17.8</v>
      </c>
      <c r="D565" s="5">
        <v>11.7</v>
      </c>
      <c r="E565" s="5" t="s">
        <v>1417</v>
      </c>
      <c r="F565" s="5">
        <v>6.57</v>
      </c>
      <c r="H565" s="5">
        <v>0.71</v>
      </c>
    </row>
    <row r="566">
      <c r="A566" s="4" t="s">
        <v>1805</v>
      </c>
      <c r="B566" s="5">
        <v>958.0</v>
      </c>
      <c r="C566" s="5">
        <v>13.1</v>
      </c>
      <c r="D566" s="5">
        <v>15.7</v>
      </c>
      <c r="E566" s="5" t="s">
        <v>1417</v>
      </c>
      <c r="F566" s="5">
        <v>6.43</v>
      </c>
      <c r="H566" s="5">
        <v>0.43</v>
      </c>
    </row>
    <row r="567">
      <c r="A567" s="4" t="s">
        <v>1363</v>
      </c>
      <c r="B567" s="5">
        <v>966.0</v>
      </c>
      <c r="C567" s="5">
        <v>19.7</v>
      </c>
      <c r="D567" s="5">
        <v>16.1</v>
      </c>
      <c r="E567" s="5" t="s">
        <v>1417</v>
      </c>
      <c r="F567" s="5">
        <v>6.01</v>
      </c>
      <c r="H567" s="5">
        <v>0.59</v>
      </c>
    </row>
    <row r="568">
      <c r="A568" s="4" t="s">
        <v>788</v>
      </c>
      <c r="B568" s="5">
        <v>943.0</v>
      </c>
      <c r="C568" s="5">
        <v>14.6</v>
      </c>
      <c r="D568" s="5">
        <v>12.5</v>
      </c>
      <c r="E568" s="5" t="s">
        <v>1417</v>
      </c>
      <c r="F568" s="5">
        <v>5.51</v>
      </c>
      <c r="H568" s="5">
        <v>0.42</v>
      </c>
    </row>
    <row r="569">
      <c r="A569" s="4" t="s">
        <v>1806</v>
      </c>
      <c r="B569" s="5">
        <v>954.0</v>
      </c>
      <c r="C569" s="5">
        <v>19.7</v>
      </c>
      <c r="D569" s="5">
        <v>11.9</v>
      </c>
      <c r="E569" s="5" t="s">
        <v>1417</v>
      </c>
      <c r="F569" s="5">
        <v>6.42</v>
      </c>
      <c r="H569" s="5">
        <v>0.42</v>
      </c>
    </row>
    <row r="570">
      <c r="A570" s="4" t="s">
        <v>1807</v>
      </c>
      <c r="B570" s="5">
        <v>950.0</v>
      </c>
      <c r="C570" s="5">
        <v>16.4</v>
      </c>
      <c r="D570" s="5">
        <v>16.8</v>
      </c>
      <c r="E570" s="5" t="s">
        <v>1417</v>
      </c>
      <c r="F570" s="5">
        <v>5.84</v>
      </c>
      <c r="H570" s="5">
        <v>0.35</v>
      </c>
    </row>
    <row r="571">
      <c r="A571" s="4" t="s">
        <v>1808</v>
      </c>
      <c r="B571" s="5">
        <v>951.0</v>
      </c>
      <c r="C571" s="5">
        <v>11.7</v>
      </c>
      <c r="D571" s="5">
        <v>10.8</v>
      </c>
      <c r="E571" s="5" t="s">
        <v>1417</v>
      </c>
      <c r="F571" s="5">
        <v>4.77</v>
      </c>
      <c r="H571" s="5">
        <v>0.11</v>
      </c>
    </row>
    <row r="572">
      <c r="A572" s="4" t="s">
        <v>1809</v>
      </c>
      <c r="B572" s="5">
        <v>980.0</v>
      </c>
      <c r="C572" s="5">
        <v>8.2</v>
      </c>
      <c r="D572" s="5">
        <v>11.1</v>
      </c>
      <c r="E572" s="5" t="s">
        <v>1417</v>
      </c>
      <c r="F572" s="5">
        <v>4.4</v>
      </c>
      <c r="H572" s="5">
        <v>0.26</v>
      </c>
    </row>
    <row r="573">
      <c r="A573" s="4" t="s">
        <v>1810</v>
      </c>
    </row>
    <row r="574">
      <c r="A574" s="4" t="s">
        <v>1579</v>
      </c>
      <c r="B574" s="5">
        <v>941.0</v>
      </c>
      <c r="C574" s="5">
        <v>12.4</v>
      </c>
      <c r="D574" s="5">
        <v>8.6</v>
      </c>
      <c r="E574" s="5" t="s">
        <v>1417</v>
      </c>
      <c r="F574" s="5">
        <v>5.81</v>
      </c>
      <c r="H574" s="5">
        <v>0.31</v>
      </c>
    </row>
    <row r="575">
      <c r="A575" s="4" t="s">
        <v>1811</v>
      </c>
      <c r="B575" s="5">
        <v>953.0</v>
      </c>
      <c r="C575" s="5">
        <v>11.2</v>
      </c>
      <c r="D575" s="5">
        <v>10.1</v>
      </c>
      <c r="E575" s="5" t="s">
        <v>1417</v>
      </c>
      <c r="F575" s="5">
        <v>5.11</v>
      </c>
      <c r="H575" s="5">
        <v>0.17</v>
      </c>
    </row>
    <row r="576">
      <c r="A576" s="4" t="s">
        <v>1812</v>
      </c>
      <c r="B576" s="5">
        <v>942.0</v>
      </c>
      <c r="C576" s="5">
        <v>10.5</v>
      </c>
      <c r="D576" s="5">
        <v>8.3</v>
      </c>
      <c r="E576" s="5" t="s">
        <v>1417</v>
      </c>
      <c r="F576" s="5">
        <v>3.33</v>
      </c>
      <c r="H576" s="5">
        <v>0.05</v>
      </c>
    </row>
    <row r="577">
      <c r="A577" s="4" t="s">
        <v>1361</v>
      </c>
    </row>
    <row r="578">
      <c r="A578" s="4" t="s">
        <v>1813</v>
      </c>
      <c r="B578" s="5">
        <v>978.0</v>
      </c>
      <c r="C578" s="5">
        <v>11.7</v>
      </c>
      <c r="D578" s="5">
        <v>9.4</v>
      </c>
      <c r="E578" s="5" t="s">
        <v>1417</v>
      </c>
      <c r="F578" s="5">
        <v>4.62</v>
      </c>
      <c r="H578" s="5">
        <v>0.18</v>
      </c>
    </row>
    <row r="579">
      <c r="A579" s="4" t="s">
        <v>1814</v>
      </c>
      <c r="B579" s="5">
        <v>938.0</v>
      </c>
      <c r="C579" s="5">
        <v>7.2</v>
      </c>
      <c r="D579" s="5">
        <v>7.1</v>
      </c>
      <c r="E579" s="5" t="s">
        <v>1417</v>
      </c>
      <c r="F579" s="5">
        <v>3.23</v>
      </c>
      <c r="H579" s="5">
        <v>0.09</v>
      </c>
    </row>
    <row r="580">
      <c r="A580" s="4" t="s">
        <v>1576</v>
      </c>
    </row>
    <row r="581">
      <c r="A581" s="4" t="s">
        <v>1364</v>
      </c>
    </row>
    <row r="582">
      <c r="A582" s="4" t="s">
        <v>1815</v>
      </c>
    </row>
    <row r="583">
      <c r="A583" s="4"/>
    </row>
    <row r="584">
      <c r="A584" s="4" t="s">
        <v>796</v>
      </c>
      <c r="B584" s="5">
        <v>1208.0</v>
      </c>
      <c r="C584" s="5">
        <v>21.4</v>
      </c>
      <c r="D584" s="5">
        <v>22.8</v>
      </c>
      <c r="E584" s="5" t="s">
        <v>1417</v>
      </c>
      <c r="F584" s="5">
        <v>15.55</v>
      </c>
      <c r="H584" s="5">
        <v>5.46</v>
      </c>
    </row>
    <row r="585">
      <c r="A585" s="4" t="s">
        <v>797</v>
      </c>
      <c r="B585" s="5">
        <v>1207.0</v>
      </c>
      <c r="C585" s="5">
        <v>25.3</v>
      </c>
      <c r="D585" s="5">
        <v>23.2</v>
      </c>
      <c r="E585" s="5" t="s">
        <v>1417</v>
      </c>
      <c r="F585" s="5">
        <v>12.0</v>
      </c>
      <c r="H585" s="5">
        <v>3.94</v>
      </c>
    </row>
    <row r="586">
      <c r="A586" s="4" t="s">
        <v>1366</v>
      </c>
      <c r="B586" s="5">
        <v>1205.0</v>
      </c>
      <c r="C586" s="5">
        <v>22.8</v>
      </c>
      <c r="D586" s="5">
        <v>21.1</v>
      </c>
      <c r="E586" s="5" t="s">
        <v>1417</v>
      </c>
      <c r="F586" s="5">
        <v>8.58</v>
      </c>
      <c r="H586" s="5">
        <v>2.15</v>
      </c>
    </row>
    <row r="587">
      <c r="A587" s="4" t="s">
        <v>798</v>
      </c>
      <c r="B587" s="5">
        <v>1099.0</v>
      </c>
      <c r="C587" s="5">
        <v>28.7</v>
      </c>
      <c r="D587" s="5">
        <v>27.6</v>
      </c>
      <c r="E587" s="5" t="s">
        <v>1417</v>
      </c>
      <c r="F587" s="5">
        <v>8.81</v>
      </c>
      <c r="H587" s="5">
        <v>2.46</v>
      </c>
    </row>
    <row r="588">
      <c r="A588" s="4" t="s">
        <v>1816</v>
      </c>
      <c r="B588" s="5">
        <v>1206.0</v>
      </c>
      <c r="C588" s="5">
        <v>29.1</v>
      </c>
      <c r="D588" s="5">
        <v>27.8</v>
      </c>
      <c r="E588" s="5" t="s">
        <v>1417</v>
      </c>
      <c r="F588" s="5">
        <v>7.34</v>
      </c>
      <c r="H588" s="5">
        <v>1.22</v>
      </c>
    </row>
    <row r="589">
      <c r="A589" s="4" t="s">
        <v>1817</v>
      </c>
      <c r="B589" s="5">
        <v>1095.0</v>
      </c>
      <c r="C589" s="5">
        <v>36.5</v>
      </c>
      <c r="D589" s="5">
        <v>34.7</v>
      </c>
      <c r="E589" s="5">
        <v>1.9</v>
      </c>
      <c r="F589" s="5">
        <v>6.7</v>
      </c>
      <c r="H589" s="5">
        <v>0.98</v>
      </c>
    </row>
    <row r="590">
      <c r="A590" s="4" t="s">
        <v>1369</v>
      </c>
      <c r="B590" s="5">
        <v>1098.0</v>
      </c>
      <c r="C590" s="5">
        <v>24.8</v>
      </c>
      <c r="D590" s="5">
        <v>27.3</v>
      </c>
      <c r="E590" s="5" t="s">
        <v>1417</v>
      </c>
      <c r="F590" s="5">
        <v>8.64</v>
      </c>
      <c r="H590" s="5">
        <v>1.68</v>
      </c>
    </row>
    <row r="591">
      <c r="A591" s="4" t="s">
        <v>1818</v>
      </c>
      <c r="B591" s="5">
        <v>1204.0</v>
      </c>
      <c r="C591" s="5">
        <v>20.2</v>
      </c>
      <c r="D591" s="5">
        <v>14.3</v>
      </c>
      <c r="E591" s="5" t="s">
        <v>1417</v>
      </c>
      <c r="F591" s="5">
        <v>9.51</v>
      </c>
      <c r="H591" s="5">
        <v>0.97</v>
      </c>
    </row>
    <row r="592">
      <c r="A592" s="4" t="s">
        <v>1819</v>
      </c>
      <c r="B592" s="5">
        <v>1091.0</v>
      </c>
      <c r="C592" s="5">
        <v>30.4</v>
      </c>
      <c r="D592" s="5">
        <v>26.6</v>
      </c>
      <c r="E592" s="5" t="s">
        <v>1417</v>
      </c>
      <c r="F592" s="5">
        <v>7.31</v>
      </c>
      <c r="H592" s="5">
        <v>0.96</v>
      </c>
    </row>
    <row r="593">
      <c r="A593" s="4" t="s">
        <v>1368</v>
      </c>
      <c r="B593" s="5">
        <v>1100.0</v>
      </c>
      <c r="C593" s="5">
        <v>29.9</v>
      </c>
      <c r="D593" s="5">
        <v>34.2</v>
      </c>
      <c r="E593" s="5" t="s">
        <v>1417</v>
      </c>
      <c r="F593" s="5">
        <v>5.62</v>
      </c>
      <c r="H593" s="5">
        <v>0.79</v>
      </c>
    </row>
    <row r="594">
      <c r="A594" s="4" t="s">
        <v>800</v>
      </c>
      <c r="B594" s="5">
        <v>1093.0</v>
      </c>
      <c r="C594" s="5">
        <v>26.1</v>
      </c>
      <c r="D594" s="5">
        <v>24.8</v>
      </c>
      <c r="E594" s="5" t="s">
        <v>1417</v>
      </c>
      <c r="F594" s="5">
        <v>5.64</v>
      </c>
      <c r="H594" s="5">
        <v>0.89</v>
      </c>
    </row>
    <row r="595">
      <c r="A595" s="4" t="s">
        <v>1372</v>
      </c>
      <c r="B595" s="5">
        <v>1088.0</v>
      </c>
      <c r="C595" s="5">
        <v>22.2</v>
      </c>
      <c r="D595" s="5">
        <v>17.6</v>
      </c>
      <c r="E595" s="5" t="s">
        <v>1417</v>
      </c>
      <c r="F595" s="5">
        <v>5.53</v>
      </c>
      <c r="H595" s="5">
        <v>0.36</v>
      </c>
    </row>
    <row r="596">
      <c r="A596" s="4" t="s">
        <v>1820</v>
      </c>
      <c r="B596" s="5">
        <v>1089.0</v>
      </c>
      <c r="C596" s="5">
        <v>23.6</v>
      </c>
      <c r="D596" s="5">
        <v>23.7</v>
      </c>
      <c r="E596" s="5" t="s">
        <v>1417</v>
      </c>
      <c r="F596" s="5">
        <v>6.85</v>
      </c>
      <c r="H596" s="5">
        <v>0.77</v>
      </c>
    </row>
    <row r="597">
      <c r="A597" s="4" t="s">
        <v>802</v>
      </c>
      <c r="B597" s="5">
        <v>1092.0</v>
      </c>
      <c r="C597" s="5">
        <v>20.6</v>
      </c>
      <c r="D597" s="5">
        <v>16.4</v>
      </c>
      <c r="E597" s="5" t="s">
        <v>1417</v>
      </c>
      <c r="F597" s="5">
        <v>5.99</v>
      </c>
      <c r="H597" s="5">
        <v>0.5</v>
      </c>
    </row>
    <row r="598">
      <c r="A598" s="17" t="s">
        <v>1580</v>
      </c>
      <c r="B598" s="5">
        <v>1094.0</v>
      </c>
      <c r="C598" s="5">
        <v>22.5</v>
      </c>
      <c r="D598" s="5">
        <v>18.2</v>
      </c>
      <c r="E598" s="5" t="s">
        <v>1417</v>
      </c>
      <c r="F598" s="5">
        <v>6.63</v>
      </c>
      <c r="H598" s="5">
        <v>0.5</v>
      </c>
    </row>
    <row r="599">
      <c r="A599" s="4" t="s">
        <v>1821</v>
      </c>
      <c r="B599" s="5">
        <v>1203.0</v>
      </c>
      <c r="C599" s="5">
        <v>8.8</v>
      </c>
      <c r="D599" s="5">
        <v>13.5</v>
      </c>
      <c r="E599" s="5" t="s">
        <v>1417</v>
      </c>
      <c r="F599" s="5">
        <v>5.76</v>
      </c>
      <c r="H599" s="5">
        <v>0.35</v>
      </c>
    </row>
    <row r="600">
      <c r="A600" s="4" t="s">
        <v>1373</v>
      </c>
      <c r="B600" s="5">
        <v>1097.0</v>
      </c>
      <c r="C600" s="5">
        <v>25.8</v>
      </c>
      <c r="D600" s="5">
        <v>22.6</v>
      </c>
      <c r="E600" s="5" t="s">
        <v>1417</v>
      </c>
      <c r="F600" s="5">
        <v>8.41</v>
      </c>
      <c r="H600" s="5">
        <v>1.49</v>
      </c>
    </row>
    <row r="601">
      <c r="A601" s="4" t="s">
        <v>1378</v>
      </c>
      <c r="B601" s="5">
        <v>1082.0</v>
      </c>
      <c r="C601" s="5">
        <v>19.4</v>
      </c>
      <c r="D601" s="5">
        <v>22.1</v>
      </c>
      <c r="E601" s="5" t="s">
        <v>1417</v>
      </c>
      <c r="F601" s="5">
        <v>7.07</v>
      </c>
      <c r="H601" s="5">
        <v>0.76</v>
      </c>
    </row>
    <row r="602">
      <c r="A602" s="4" t="s">
        <v>1822</v>
      </c>
      <c r="B602" s="5">
        <v>1096.0</v>
      </c>
      <c r="C602" s="5">
        <v>24.6</v>
      </c>
      <c r="D602" s="5">
        <v>26.1</v>
      </c>
      <c r="E602" s="5" t="s">
        <v>1417</v>
      </c>
      <c r="F602" s="5">
        <v>6.18</v>
      </c>
      <c r="H602" s="5">
        <v>0.6</v>
      </c>
    </row>
    <row r="603">
      <c r="A603" s="4" t="s">
        <v>1823</v>
      </c>
      <c r="B603" s="5">
        <v>1090.0</v>
      </c>
      <c r="C603" s="5">
        <v>16.9</v>
      </c>
      <c r="D603" s="5">
        <v>13.4</v>
      </c>
      <c r="E603" s="5" t="s">
        <v>1417</v>
      </c>
      <c r="F603" s="5">
        <v>6.38</v>
      </c>
      <c r="H603" s="5">
        <v>0.54</v>
      </c>
    </row>
    <row r="604">
      <c r="A604" s="4" t="s">
        <v>1824</v>
      </c>
      <c r="B604" s="5">
        <v>1086.0</v>
      </c>
      <c r="C604" s="5">
        <v>19.0</v>
      </c>
      <c r="D604" s="5">
        <v>15.4</v>
      </c>
      <c r="E604" s="5" t="s">
        <v>1417</v>
      </c>
      <c r="F604" s="5">
        <v>5.65</v>
      </c>
      <c r="H604" s="5">
        <v>0.57</v>
      </c>
    </row>
    <row r="605">
      <c r="A605" s="4" t="s">
        <v>1585</v>
      </c>
      <c r="B605" s="5">
        <v>1085.0</v>
      </c>
      <c r="C605" s="5">
        <v>13.2</v>
      </c>
      <c r="D605" s="5">
        <v>14.5</v>
      </c>
      <c r="E605" s="5" t="s">
        <v>1417</v>
      </c>
      <c r="F605" s="5">
        <v>4.68</v>
      </c>
      <c r="H605" s="5">
        <v>0.36</v>
      </c>
    </row>
    <row r="606">
      <c r="A606" s="4" t="s">
        <v>1381</v>
      </c>
      <c r="B606" s="5">
        <v>1081.0</v>
      </c>
      <c r="C606" s="5">
        <v>13.8</v>
      </c>
      <c r="D606" s="5">
        <v>14.6</v>
      </c>
      <c r="E606" s="5" t="s">
        <v>1417</v>
      </c>
      <c r="F606" s="5">
        <v>5.32</v>
      </c>
      <c r="H606" s="5">
        <v>0.39</v>
      </c>
    </row>
    <row r="607">
      <c r="A607" s="4" t="s">
        <v>1825</v>
      </c>
      <c r="B607" s="5">
        <v>1202.0</v>
      </c>
      <c r="C607" s="5">
        <v>10.0</v>
      </c>
      <c r="D607" s="5">
        <v>13.8</v>
      </c>
      <c r="E607" s="5" t="s">
        <v>1417</v>
      </c>
      <c r="F607" s="5">
        <v>5.35</v>
      </c>
      <c r="H607" s="5">
        <v>0.22</v>
      </c>
    </row>
    <row r="608">
      <c r="A608" s="4" t="s">
        <v>1589</v>
      </c>
      <c r="B608" s="5">
        <v>1080.0</v>
      </c>
      <c r="C608" s="5">
        <v>11.9</v>
      </c>
      <c r="D608" s="5">
        <v>9.3</v>
      </c>
      <c r="E608" s="5" t="s">
        <v>1417</v>
      </c>
      <c r="F608" s="5">
        <v>3.59</v>
      </c>
      <c r="H608" s="5">
        <v>0.04</v>
      </c>
    </row>
    <row r="609">
      <c r="A609" s="4" t="s">
        <v>1826</v>
      </c>
      <c r="B609" s="5">
        <v>1201.0</v>
      </c>
      <c r="C609" s="5">
        <v>11.5</v>
      </c>
      <c r="D609" s="5">
        <v>13.1</v>
      </c>
      <c r="E609" s="5" t="s">
        <v>1417</v>
      </c>
      <c r="F609" s="5">
        <v>3.67</v>
      </c>
      <c r="H609" s="5" t="s">
        <v>1827</v>
      </c>
    </row>
    <row r="610">
      <c r="A610" s="4" t="s">
        <v>1588</v>
      </c>
      <c r="B610" s="5">
        <v>1084.0</v>
      </c>
      <c r="C610" s="5">
        <v>11.0</v>
      </c>
      <c r="D610" s="5">
        <v>12.8</v>
      </c>
      <c r="E610" s="5" t="s">
        <v>1417</v>
      </c>
      <c r="F610" s="5">
        <v>4.14</v>
      </c>
      <c r="H610" s="5">
        <v>0.13</v>
      </c>
    </row>
    <row r="611">
      <c r="A611" s="4" t="s">
        <v>1828</v>
      </c>
      <c r="B611" s="5">
        <v>1083.0</v>
      </c>
      <c r="C611" s="5">
        <v>14.2</v>
      </c>
      <c r="D611" s="5">
        <v>10.5</v>
      </c>
      <c r="E611" s="5" t="s">
        <v>1417</v>
      </c>
      <c r="F611" s="5">
        <v>4.18</v>
      </c>
      <c r="H611" s="5">
        <v>0.23</v>
      </c>
    </row>
    <row r="612">
      <c r="A612" s="4" t="s">
        <v>1376</v>
      </c>
      <c r="B612" s="5">
        <v>1087.0</v>
      </c>
      <c r="C612" s="5">
        <v>10.8</v>
      </c>
      <c r="D612" s="5">
        <v>13.2</v>
      </c>
      <c r="E612" s="5" t="s">
        <v>1417</v>
      </c>
      <c r="F612" s="5">
        <v>5.15</v>
      </c>
      <c r="H612" s="5">
        <v>0.2</v>
      </c>
    </row>
    <row r="613">
      <c r="A613" s="4" t="s">
        <v>1829</v>
      </c>
    </row>
    <row r="614">
      <c r="A614" s="4" t="s">
        <v>807</v>
      </c>
    </row>
    <row r="615">
      <c r="A615" s="4"/>
    </row>
    <row r="616">
      <c r="A616" s="4" t="s">
        <v>808</v>
      </c>
      <c r="B616" s="5">
        <v>1079.0</v>
      </c>
      <c r="C616" s="5">
        <v>19.2</v>
      </c>
      <c r="D616" s="5">
        <v>20.4</v>
      </c>
      <c r="E616" s="5" t="s">
        <v>1417</v>
      </c>
      <c r="F616" s="5">
        <v>15.21</v>
      </c>
      <c r="H616" s="5">
        <v>6.33</v>
      </c>
    </row>
    <row r="617">
      <c r="A617" s="4" t="s">
        <v>809</v>
      </c>
      <c r="B617" s="5">
        <v>1078.0</v>
      </c>
      <c r="C617" s="5">
        <v>29.7</v>
      </c>
      <c r="D617" s="5">
        <v>23.7</v>
      </c>
      <c r="E617" s="5" t="s">
        <v>1417</v>
      </c>
      <c r="F617" s="5">
        <v>9.38</v>
      </c>
      <c r="H617" s="5">
        <v>3.39</v>
      </c>
    </row>
    <row r="618">
      <c r="A618" s="4" t="s">
        <v>1594</v>
      </c>
      <c r="B618" s="5">
        <v>1077.0</v>
      </c>
      <c r="C618" s="5">
        <v>38.8</v>
      </c>
      <c r="D618" s="5">
        <v>30.2</v>
      </c>
      <c r="E618" s="5" t="s">
        <v>1417</v>
      </c>
      <c r="F618" s="5">
        <v>7.69</v>
      </c>
      <c r="H618" s="5">
        <v>1.84</v>
      </c>
    </row>
    <row r="619">
      <c r="A619" s="4" t="s">
        <v>812</v>
      </c>
      <c r="B619" s="5">
        <v>1061.0</v>
      </c>
      <c r="C619" s="5">
        <v>25.4</v>
      </c>
      <c r="D619" s="5">
        <v>22.8</v>
      </c>
      <c r="E619" s="5" t="s">
        <v>1417</v>
      </c>
      <c r="F619" s="5">
        <v>11.08</v>
      </c>
      <c r="H619" s="5">
        <v>2.28</v>
      </c>
    </row>
    <row r="620">
      <c r="A620" s="4" t="s">
        <v>817</v>
      </c>
      <c r="B620" s="5">
        <v>1076.0</v>
      </c>
      <c r="C620" s="5">
        <v>26.4</v>
      </c>
      <c r="D620" s="5">
        <v>32.0</v>
      </c>
      <c r="E620" s="5" t="s">
        <v>1417</v>
      </c>
      <c r="F620" s="5">
        <v>7.24</v>
      </c>
      <c r="H620" s="5">
        <v>0.97</v>
      </c>
    </row>
    <row r="621">
      <c r="A621" s="9" t="s">
        <v>1384</v>
      </c>
      <c r="B621" s="5">
        <v>1069.0</v>
      </c>
      <c r="C621" s="5">
        <v>30.1</v>
      </c>
      <c r="D621" s="5">
        <v>20.7</v>
      </c>
      <c r="E621" s="5" t="s">
        <v>1417</v>
      </c>
      <c r="F621" s="5">
        <v>7.13</v>
      </c>
      <c r="H621" s="5">
        <v>0.86</v>
      </c>
    </row>
    <row r="622">
      <c r="A622" s="4" t="s">
        <v>810</v>
      </c>
      <c r="B622" s="5">
        <v>1063.0</v>
      </c>
      <c r="C622" s="5">
        <v>27.7</v>
      </c>
      <c r="D622" s="5">
        <v>20.6</v>
      </c>
      <c r="E622" s="5" t="s">
        <v>1417</v>
      </c>
      <c r="F622" s="5">
        <v>9.37</v>
      </c>
      <c r="H622" s="5">
        <v>1.79</v>
      </c>
    </row>
    <row r="623">
      <c r="A623" s="4" t="s">
        <v>1385</v>
      </c>
      <c r="B623" s="5">
        <v>1068.0</v>
      </c>
      <c r="C623" s="5">
        <v>17.6</v>
      </c>
      <c r="D623" s="5">
        <v>21.1</v>
      </c>
      <c r="E623" s="5" t="s">
        <v>1417</v>
      </c>
      <c r="F623" s="5">
        <v>8.08</v>
      </c>
      <c r="H623" s="5">
        <v>0.86</v>
      </c>
    </row>
    <row r="624">
      <c r="A624" s="4" t="s">
        <v>1596</v>
      </c>
      <c r="B624" s="5">
        <v>1072.0</v>
      </c>
      <c r="C624" s="5">
        <v>20.4</v>
      </c>
      <c r="D624" s="5">
        <v>24.3</v>
      </c>
      <c r="E624" s="5" t="s">
        <v>1417</v>
      </c>
      <c r="F624" s="5">
        <v>7.33</v>
      </c>
      <c r="H624" s="5">
        <v>1.1</v>
      </c>
    </row>
    <row r="625">
      <c r="A625" s="4" t="s">
        <v>818</v>
      </c>
      <c r="B625" s="5">
        <v>1062.0</v>
      </c>
      <c r="C625" s="5">
        <v>19.9</v>
      </c>
      <c r="D625" s="5">
        <v>22.7</v>
      </c>
      <c r="E625" s="5" t="s">
        <v>1417</v>
      </c>
      <c r="F625" s="5">
        <v>6.62</v>
      </c>
      <c r="H625" s="5">
        <v>0.7</v>
      </c>
    </row>
    <row r="626">
      <c r="A626" s="4" t="s">
        <v>813</v>
      </c>
      <c r="B626" s="5">
        <v>1060.0</v>
      </c>
      <c r="C626" s="5">
        <v>23.6</v>
      </c>
      <c r="D626" s="5">
        <v>24.2</v>
      </c>
      <c r="E626" s="5" t="s">
        <v>1417</v>
      </c>
      <c r="F626" s="5">
        <v>8.9</v>
      </c>
      <c r="H626" s="5">
        <v>1.43</v>
      </c>
    </row>
    <row r="627">
      <c r="A627" s="4" t="s">
        <v>816</v>
      </c>
      <c r="B627" s="5">
        <v>1059.0</v>
      </c>
      <c r="C627" s="5">
        <v>16.9</v>
      </c>
      <c r="D627" s="5">
        <v>20.5</v>
      </c>
      <c r="E627" s="5" t="s">
        <v>1417</v>
      </c>
      <c r="F627" s="5">
        <v>8.53</v>
      </c>
      <c r="H627" s="5">
        <v>0.77</v>
      </c>
    </row>
    <row r="628">
      <c r="A628" s="4" t="s">
        <v>819</v>
      </c>
      <c r="B628" s="5">
        <v>1074.0</v>
      </c>
      <c r="C628" s="5">
        <v>15.7</v>
      </c>
      <c r="D628" s="5">
        <v>14.3</v>
      </c>
      <c r="E628" s="5" t="s">
        <v>1417</v>
      </c>
      <c r="F628" s="5">
        <v>5.72</v>
      </c>
      <c r="H628" s="5">
        <v>0.41</v>
      </c>
    </row>
    <row r="629">
      <c r="A629" s="4" t="s">
        <v>1388</v>
      </c>
      <c r="B629" s="5">
        <v>1067.0</v>
      </c>
      <c r="C629" s="5">
        <v>14.8</v>
      </c>
      <c r="D629" s="5">
        <v>17.1</v>
      </c>
      <c r="E629" s="5" t="s">
        <v>1417</v>
      </c>
      <c r="F629" s="5">
        <v>5.94</v>
      </c>
      <c r="H629" s="5">
        <v>0.48</v>
      </c>
    </row>
    <row r="630">
      <c r="A630" s="4" t="s">
        <v>1599</v>
      </c>
      <c r="B630" s="5">
        <v>1071.0</v>
      </c>
      <c r="C630" s="5">
        <v>16.7</v>
      </c>
      <c r="D630" s="5">
        <v>16.6</v>
      </c>
      <c r="E630" s="5" t="s">
        <v>1417</v>
      </c>
      <c r="F630" s="5">
        <v>6.07</v>
      </c>
      <c r="H630" s="5">
        <v>0.53</v>
      </c>
    </row>
    <row r="631">
      <c r="A631" s="4" t="s">
        <v>824</v>
      </c>
      <c r="B631" s="5">
        <v>1066.0</v>
      </c>
      <c r="C631" s="5">
        <v>27.4</v>
      </c>
      <c r="D631" s="5">
        <v>22.1</v>
      </c>
      <c r="E631" s="5" t="s">
        <v>1417</v>
      </c>
      <c r="F631" s="5">
        <v>7.91</v>
      </c>
      <c r="H631" s="5">
        <v>0.65</v>
      </c>
    </row>
    <row r="632">
      <c r="A632" s="4" t="s">
        <v>822</v>
      </c>
      <c r="B632" s="5">
        <v>1058.0</v>
      </c>
      <c r="C632" s="5">
        <v>16.0</v>
      </c>
      <c r="D632" s="5">
        <v>12.3</v>
      </c>
      <c r="E632" s="5" t="s">
        <v>1417</v>
      </c>
      <c r="F632" s="5">
        <v>5.55</v>
      </c>
      <c r="H632" s="5">
        <v>0.43</v>
      </c>
    </row>
    <row r="633">
      <c r="A633" s="4" t="s">
        <v>820</v>
      </c>
      <c r="B633" s="5">
        <v>1075.0</v>
      </c>
      <c r="C633" s="5">
        <v>15.9</v>
      </c>
      <c r="D633" s="5">
        <v>16.4</v>
      </c>
      <c r="E633" s="5" t="s">
        <v>1417</v>
      </c>
      <c r="F633" s="5">
        <v>5.25</v>
      </c>
      <c r="H633" s="5">
        <v>0.17</v>
      </c>
    </row>
    <row r="634">
      <c r="A634" s="4" t="s">
        <v>831</v>
      </c>
      <c r="B634" s="5">
        <v>1073.0</v>
      </c>
      <c r="C634" s="5">
        <v>14.7</v>
      </c>
      <c r="D634" s="5">
        <v>12.1</v>
      </c>
      <c r="E634" s="5" t="s">
        <v>1417</v>
      </c>
      <c r="F634" s="5">
        <v>3.92</v>
      </c>
      <c r="H634" s="5">
        <v>0.1</v>
      </c>
    </row>
    <row r="635">
      <c r="A635" s="4" t="s">
        <v>1390</v>
      </c>
      <c r="B635" s="5">
        <v>1064.0</v>
      </c>
      <c r="C635" s="5">
        <v>12.2</v>
      </c>
      <c r="D635" s="5">
        <v>10.4</v>
      </c>
      <c r="E635" s="5" t="s">
        <v>1417</v>
      </c>
      <c r="F635" s="5">
        <v>4.34</v>
      </c>
      <c r="H635" s="5">
        <v>0.15</v>
      </c>
    </row>
    <row r="636">
      <c r="A636" s="4" t="s">
        <v>1603</v>
      </c>
      <c r="B636" s="5">
        <v>1070.0</v>
      </c>
      <c r="C636" s="5">
        <v>14.6</v>
      </c>
      <c r="D636" s="5">
        <v>11.2</v>
      </c>
      <c r="E636" s="5" t="s">
        <v>1417</v>
      </c>
      <c r="F636" s="5">
        <v>5.32</v>
      </c>
      <c r="H636" s="5">
        <v>0.2</v>
      </c>
    </row>
    <row r="637">
      <c r="A637" s="4" t="s">
        <v>828</v>
      </c>
      <c r="B637" s="5">
        <v>1065.0</v>
      </c>
      <c r="C637" s="5">
        <v>16.8</v>
      </c>
      <c r="D637" s="5">
        <v>13.5</v>
      </c>
      <c r="E637" s="5" t="s">
        <v>1417</v>
      </c>
      <c r="F637" s="5">
        <v>5.41</v>
      </c>
      <c r="H637" s="5">
        <v>0.31</v>
      </c>
    </row>
    <row r="638">
      <c r="A638" s="4" t="s">
        <v>827</v>
      </c>
      <c r="B638" s="5">
        <v>1057.0</v>
      </c>
      <c r="C638" s="5">
        <v>11.3</v>
      </c>
      <c r="D638" s="5">
        <v>10.5</v>
      </c>
      <c r="E638" s="5" t="s">
        <v>1417</v>
      </c>
      <c r="F638" s="5">
        <v>5.12</v>
      </c>
      <c r="H638" s="5">
        <v>0.17</v>
      </c>
    </row>
    <row r="639">
      <c r="A639" s="4"/>
    </row>
    <row r="640">
      <c r="A640" s="4" t="s">
        <v>837</v>
      </c>
      <c r="B640" s="5">
        <v>1056.0</v>
      </c>
      <c r="C640" s="5">
        <v>20.5</v>
      </c>
      <c r="D640" s="5">
        <v>24.6</v>
      </c>
      <c r="E640" s="5" t="s">
        <v>1417</v>
      </c>
      <c r="F640" s="5">
        <v>13.64</v>
      </c>
      <c r="H640" s="5">
        <v>3.08</v>
      </c>
    </row>
    <row r="641">
      <c r="A641" s="4" t="s">
        <v>838</v>
      </c>
      <c r="B641" s="5">
        <v>1055.0</v>
      </c>
      <c r="C641" s="5">
        <v>29.5</v>
      </c>
      <c r="D641" s="5">
        <v>28.3</v>
      </c>
      <c r="E641" s="5" t="s">
        <v>1417</v>
      </c>
      <c r="F641" s="5">
        <v>7.02</v>
      </c>
      <c r="H641" s="5">
        <v>1.52</v>
      </c>
    </row>
    <row r="642">
      <c r="A642" s="4" t="s">
        <v>1392</v>
      </c>
      <c r="B642" s="5">
        <v>1053.0</v>
      </c>
      <c r="C642" s="5">
        <v>25.4</v>
      </c>
      <c r="D642" s="5">
        <v>29.8</v>
      </c>
      <c r="E642" s="5" t="s">
        <v>1417</v>
      </c>
      <c r="F642" s="5">
        <v>9.57</v>
      </c>
      <c r="H642" s="5">
        <v>2.04</v>
      </c>
    </row>
    <row r="643">
      <c r="A643" s="4" t="s">
        <v>839</v>
      </c>
      <c r="B643" s="5">
        <v>1046.0</v>
      </c>
      <c r="C643" s="5">
        <v>24.1</v>
      </c>
      <c r="D643" s="5">
        <v>22.5</v>
      </c>
      <c r="E643" s="5" t="s">
        <v>1417</v>
      </c>
      <c r="F643" s="5">
        <v>9.28</v>
      </c>
      <c r="H643" s="5">
        <v>1.49</v>
      </c>
    </row>
    <row r="644">
      <c r="A644" s="4" t="s">
        <v>1396</v>
      </c>
      <c r="B644" s="5">
        <v>1051.0</v>
      </c>
      <c r="C644" s="5">
        <v>21.2</v>
      </c>
      <c r="D644" s="5">
        <v>23.7</v>
      </c>
      <c r="E644" s="5" t="s">
        <v>1417</v>
      </c>
      <c r="F644" s="5">
        <v>8.16</v>
      </c>
      <c r="H644" s="5">
        <v>1.49</v>
      </c>
    </row>
    <row r="645">
      <c r="A645" s="4" t="s">
        <v>840</v>
      </c>
      <c r="B645" s="5">
        <v>1054.0</v>
      </c>
      <c r="C645" s="5">
        <v>35.3</v>
      </c>
      <c r="D645" s="5">
        <v>30.8</v>
      </c>
      <c r="E645" s="5" t="s">
        <v>1417</v>
      </c>
      <c r="F645" s="5">
        <v>11.26</v>
      </c>
      <c r="H645" s="5">
        <v>1.21</v>
      </c>
    </row>
    <row r="646">
      <c r="A646" s="4" t="s">
        <v>841</v>
      </c>
      <c r="B646" s="5">
        <v>1049.0</v>
      </c>
      <c r="C646" s="5">
        <v>21.3</v>
      </c>
      <c r="D646" s="5">
        <v>18.5</v>
      </c>
      <c r="E646" s="5" t="s">
        <v>1417</v>
      </c>
      <c r="F646" s="5">
        <v>6.82</v>
      </c>
      <c r="H646" s="5">
        <v>0.84</v>
      </c>
    </row>
    <row r="647">
      <c r="A647" s="4" t="s">
        <v>1830</v>
      </c>
      <c r="B647" s="5">
        <v>1048.0</v>
      </c>
      <c r="C647" s="5">
        <v>25.7</v>
      </c>
      <c r="D647" s="5">
        <v>23.5</v>
      </c>
      <c r="E647" s="5" t="s">
        <v>1417</v>
      </c>
      <c r="F647" s="5">
        <v>6.4</v>
      </c>
      <c r="H647" s="5">
        <v>0.46</v>
      </c>
    </row>
    <row r="648">
      <c r="A648" s="4" t="s">
        <v>1400</v>
      </c>
      <c r="B648" s="5">
        <v>1050.0</v>
      </c>
      <c r="C648" s="5">
        <v>18.8</v>
      </c>
      <c r="D648" s="5">
        <v>15.1</v>
      </c>
      <c r="E648" s="5" t="s">
        <v>1417</v>
      </c>
      <c r="F648" s="5">
        <v>6.59</v>
      </c>
      <c r="H648" s="5">
        <v>0.9</v>
      </c>
    </row>
    <row r="649">
      <c r="A649" s="4" t="s">
        <v>1831</v>
      </c>
      <c r="B649" s="5">
        <v>1052.0</v>
      </c>
      <c r="C649" s="5">
        <v>28.6</v>
      </c>
      <c r="D649" s="5">
        <v>23.6</v>
      </c>
      <c r="E649" s="5" t="s">
        <v>1417</v>
      </c>
      <c r="F649" s="5">
        <v>6.98</v>
      </c>
      <c r="H649" s="5">
        <v>0.78</v>
      </c>
    </row>
    <row r="650">
      <c r="A650" s="4" t="s">
        <v>842</v>
      </c>
      <c r="B650" s="5">
        <v>1045.0</v>
      </c>
      <c r="C650" s="5">
        <v>11.8</v>
      </c>
      <c r="D650" s="5">
        <v>13.6</v>
      </c>
      <c r="E650" s="5" t="s">
        <v>1417</v>
      </c>
      <c r="F650" s="5">
        <v>4.09</v>
      </c>
      <c r="H650" s="5">
        <v>0.14</v>
      </c>
    </row>
    <row r="651">
      <c r="A651" s="4" t="s">
        <v>1401</v>
      </c>
      <c r="B651" s="5">
        <v>981.0</v>
      </c>
      <c r="C651" s="5">
        <v>13.1</v>
      </c>
      <c r="D651" s="5">
        <v>14.6</v>
      </c>
      <c r="E651" s="5" t="s">
        <v>1417</v>
      </c>
      <c r="F651" s="5">
        <v>4.98</v>
      </c>
      <c r="H651" s="5">
        <v>0.19</v>
      </c>
    </row>
    <row r="652">
      <c r="A652" s="4" t="s">
        <v>1832</v>
      </c>
      <c r="B652" s="5">
        <v>1047.0</v>
      </c>
      <c r="C652" s="5">
        <v>15.5</v>
      </c>
      <c r="D652" s="5">
        <v>16.4</v>
      </c>
      <c r="E652" s="5" t="s">
        <v>1417</v>
      </c>
      <c r="F652" s="5">
        <v>6.97</v>
      </c>
      <c r="H652" s="5">
        <v>0.22</v>
      </c>
    </row>
    <row r="653">
      <c r="A653" s="4" t="s">
        <v>843</v>
      </c>
      <c r="B653" s="5">
        <v>982.0</v>
      </c>
      <c r="C653" s="5">
        <v>14.5</v>
      </c>
      <c r="D653" s="5">
        <v>16.0</v>
      </c>
      <c r="E653" s="5" t="s">
        <v>1417</v>
      </c>
      <c r="F653" s="5">
        <v>6.24</v>
      </c>
      <c r="H653" s="5">
        <v>0.44</v>
      </c>
    </row>
    <row r="654">
      <c r="A654" s="4" t="s">
        <v>1833</v>
      </c>
      <c r="B654" s="5">
        <v>983.0</v>
      </c>
      <c r="C654" s="5">
        <v>14.0</v>
      </c>
      <c r="D654" s="5">
        <v>14.3</v>
      </c>
      <c r="E654" s="5" t="s">
        <v>1417</v>
      </c>
      <c r="F654" s="5">
        <v>4.62</v>
      </c>
      <c r="H654" s="5">
        <v>0.16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8</v>
      </c>
      <c r="G2" s="5">
        <v>1.0</v>
      </c>
    </row>
    <row r="3">
      <c r="A3" s="4" t="s">
        <v>9</v>
      </c>
      <c r="J3" s="2" t="s">
        <v>10</v>
      </c>
    </row>
    <row r="4">
      <c r="A4" s="4" t="s">
        <v>12</v>
      </c>
      <c r="J4" s="6">
        <f>counta(H2:H1005)</f>
        <v>172</v>
      </c>
    </row>
    <row r="5">
      <c r="A5" s="4" t="s">
        <v>19</v>
      </c>
    </row>
    <row r="6">
      <c r="A6" s="4" t="s">
        <v>13</v>
      </c>
      <c r="J6" s="2" t="s">
        <v>14</v>
      </c>
    </row>
    <row r="7">
      <c r="A7" s="4" t="s">
        <v>11</v>
      </c>
      <c r="J7" s="6">
        <f>counta(H37:H60)</f>
        <v>18</v>
      </c>
    </row>
    <row r="8">
      <c r="A8" s="4" t="s">
        <v>15</v>
      </c>
      <c r="J8" s="6">
        <f>sum(H37:H60)/J7</f>
        <v>3.238888889</v>
      </c>
    </row>
    <row r="9">
      <c r="A9" s="4" t="s">
        <v>1631</v>
      </c>
    </row>
    <row r="10">
      <c r="A10" s="4" t="s">
        <v>17</v>
      </c>
    </row>
    <row r="11">
      <c r="A11" s="4" t="s">
        <v>1633</v>
      </c>
    </row>
    <row r="12">
      <c r="A12" s="4" t="s">
        <v>18</v>
      </c>
    </row>
    <row r="13">
      <c r="A13" s="4" t="s">
        <v>28</v>
      </c>
    </row>
    <row r="14">
      <c r="A14" s="4" t="s">
        <v>30</v>
      </c>
    </row>
    <row r="15">
      <c r="A15" s="4" t="s">
        <v>16</v>
      </c>
    </row>
    <row r="16">
      <c r="A16" s="4" t="s">
        <v>1632</v>
      </c>
    </row>
    <row r="17">
      <c r="A17" s="4" t="s">
        <v>24</v>
      </c>
    </row>
    <row r="18">
      <c r="A18" s="4" t="s">
        <v>1634</v>
      </c>
    </row>
    <row r="19">
      <c r="A19" s="4" t="s">
        <v>26</v>
      </c>
    </row>
    <row r="20">
      <c r="A20" s="4" t="s">
        <v>1834</v>
      </c>
    </row>
    <row r="21">
      <c r="A21" s="4" t="s">
        <v>41</v>
      </c>
    </row>
    <row r="22">
      <c r="A22" s="4" t="s">
        <v>20</v>
      </c>
    </row>
    <row r="23">
      <c r="A23" s="4" t="s">
        <v>1636</v>
      </c>
    </row>
    <row r="24">
      <c r="A24" s="4" t="s">
        <v>34</v>
      </c>
    </row>
    <row r="25">
      <c r="A25" s="4" t="s">
        <v>25</v>
      </c>
    </row>
    <row r="26">
      <c r="A26" s="4" t="s">
        <v>1638</v>
      </c>
    </row>
    <row r="27">
      <c r="A27" s="4" t="s">
        <v>46</v>
      </c>
    </row>
    <row r="28">
      <c r="A28" s="4" t="s">
        <v>1207</v>
      </c>
    </row>
    <row r="29">
      <c r="A29" s="4" t="s">
        <v>1209</v>
      </c>
    </row>
    <row r="30">
      <c r="A30" s="4" t="s">
        <v>1637</v>
      </c>
    </row>
    <row r="31">
      <c r="A31" s="4" t="s">
        <v>48</v>
      </c>
    </row>
    <row r="32">
      <c r="A32" s="4" t="s">
        <v>38</v>
      </c>
    </row>
    <row r="33">
      <c r="A33" s="4" t="s">
        <v>1644</v>
      </c>
    </row>
    <row r="34">
      <c r="A34" s="4" t="s">
        <v>39</v>
      </c>
    </row>
    <row r="35">
      <c r="A35" s="4" t="s">
        <v>1835</v>
      </c>
    </row>
    <row r="36">
      <c r="A36" s="4"/>
    </row>
    <row r="37">
      <c r="A37" s="4" t="s">
        <v>50</v>
      </c>
      <c r="B37" s="5">
        <v>3153.0</v>
      </c>
      <c r="C37" s="5">
        <v>27.6</v>
      </c>
      <c r="D37" s="5">
        <v>7.5</v>
      </c>
      <c r="F37" s="5">
        <v>18.92</v>
      </c>
      <c r="H37" s="5">
        <v>9.53</v>
      </c>
    </row>
    <row r="38">
      <c r="A38" s="4" t="s">
        <v>51</v>
      </c>
      <c r="B38" s="5">
        <v>3150.0</v>
      </c>
      <c r="C38" s="5">
        <v>26.1</v>
      </c>
      <c r="D38" s="5">
        <v>23.9</v>
      </c>
      <c r="F38" s="5">
        <v>12.92</v>
      </c>
      <c r="H38" s="5">
        <v>4.23</v>
      </c>
    </row>
    <row r="39">
      <c r="A39" s="4" t="s">
        <v>52</v>
      </c>
      <c r="B39" s="5">
        <v>3152.0</v>
      </c>
      <c r="C39" s="5">
        <v>27.0</v>
      </c>
      <c r="D39" s="5">
        <v>18.3</v>
      </c>
      <c r="F39" s="5">
        <v>14.32</v>
      </c>
      <c r="H39" s="5">
        <v>5.98</v>
      </c>
    </row>
    <row r="40">
      <c r="A40" s="4" t="s">
        <v>53</v>
      </c>
      <c r="B40" s="5">
        <v>3147.0</v>
      </c>
      <c r="C40" s="5">
        <v>34.1</v>
      </c>
      <c r="D40" s="5">
        <v>24.4</v>
      </c>
      <c r="F40" s="5">
        <v>14.4</v>
      </c>
      <c r="H40" s="5">
        <v>4.15</v>
      </c>
    </row>
    <row r="41">
      <c r="A41" s="4" t="s">
        <v>55</v>
      </c>
      <c r="B41" s="5">
        <v>3151.0</v>
      </c>
      <c r="C41" s="5">
        <v>30.0</v>
      </c>
      <c r="D41" s="5">
        <v>22.8</v>
      </c>
      <c r="F41" s="5">
        <v>14.83</v>
      </c>
      <c r="H41" s="5">
        <v>4.71</v>
      </c>
    </row>
    <row r="42">
      <c r="A42" s="4" t="s">
        <v>1419</v>
      </c>
      <c r="I42" s="5" t="s">
        <v>1836</v>
      </c>
    </row>
    <row r="43">
      <c r="A43" s="4" t="s">
        <v>60</v>
      </c>
      <c r="I43" s="5" t="s">
        <v>1836</v>
      </c>
    </row>
    <row r="44">
      <c r="A44" s="4" t="s">
        <v>1420</v>
      </c>
      <c r="I44" s="5" t="s">
        <v>1836</v>
      </c>
    </row>
    <row r="45">
      <c r="A45" s="4" t="s">
        <v>56</v>
      </c>
      <c r="B45" s="5">
        <v>3146.0</v>
      </c>
      <c r="C45" s="5">
        <v>28.0</v>
      </c>
      <c r="D45" s="5">
        <v>21.2</v>
      </c>
      <c r="F45" s="5">
        <v>9.75</v>
      </c>
      <c r="H45" s="5">
        <v>1.15</v>
      </c>
    </row>
    <row r="46">
      <c r="A46" s="4" t="s">
        <v>1221</v>
      </c>
      <c r="B46" s="5">
        <v>3148.0</v>
      </c>
      <c r="C46" s="5">
        <v>27.7</v>
      </c>
      <c r="D46" s="5">
        <v>21.1</v>
      </c>
      <c r="F46" s="5">
        <v>8.96</v>
      </c>
      <c r="H46" s="5">
        <v>1.22</v>
      </c>
    </row>
    <row r="47">
      <c r="A47" s="4" t="s">
        <v>1837</v>
      </c>
      <c r="B47" s="5">
        <v>3149.0</v>
      </c>
      <c r="C47" s="5">
        <v>31.2</v>
      </c>
      <c r="D47" s="5">
        <v>19.1</v>
      </c>
      <c r="F47" s="5">
        <v>8.88</v>
      </c>
      <c r="H47" s="5">
        <v>1.38</v>
      </c>
    </row>
    <row r="48">
      <c r="A48" s="4" t="s">
        <v>61</v>
      </c>
      <c r="I48" s="5" t="s">
        <v>1836</v>
      </c>
    </row>
    <row r="49">
      <c r="A49" s="4"/>
    </row>
    <row r="50">
      <c r="A50" s="4" t="s">
        <v>93</v>
      </c>
      <c r="B50" s="5">
        <v>3160.0</v>
      </c>
      <c r="C50" s="5">
        <v>24.5</v>
      </c>
      <c r="D50" s="5">
        <v>20.6</v>
      </c>
      <c r="F50" s="5">
        <v>15.57</v>
      </c>
      <c r="H50" s="5">
        <v>6.17</v>
      </c>
    </row>
    <row r="51">
      <c r="A51" s="4" t="s">
        <v>1231</v>
      </c>
      <c r="B51" s="5">
        <v>3158.0</v>
      </c>
      <c r="C51" s="5">
        <v>32.5</v>
      </c>
      <c r="D51" s="5">
        <v>25.4</v>
      </c>
      <c r="F51" s="5">
        <v>12.63</v>
      </c>
      <c r="H51" s="5">
        <v>3.68</v>
      </c>
    </row>
    <row r="52">
      <c r="A52" s="4" t="s">
        <v>97</v>
      </c>
      <c r="B52" s="5">
        <v>3159.0</v>
      </c>
      <c r="C52" s="5">
        <v>28.9</v>
      </c>
      <c r="D52" s="5">
        <v>25.6</v>
      </c>
      <c r="F52" s="5">
        <v>10.17</v>
      </c>
      <c r="H52" s="5">
        <v>2.33</v>
      </c>
    </row>
    <row r="53">
      <c r="A53" s="4" t="s">
        <v>1233</v>
      </c>
      <c r="B53" s="5">
        <v>3156.0</v>
      </c>
      <c r="C53" s="5">
        <v>21.2</v>
      </c>
      <c r="D53" s="5">
        <v>19.6</v>
      </c>
      <c r="F53" s="5">
        <v>12.84</v>
      </c>
      <c r="H53" s="5">
        <v>2.44</v>
      </c>
    </row>
    <row r="54">
      <c r="A54" s="4" t="s">
        <v>104</v>
      </c>
      <c r="B54" s="5">
        <v>3157.0</v>
      </c>
      <c r="C54" s="5">
        <v>23.4</v>
      </c>
      <c r="D54" s="5">
        <v>19.6</v>
      </c>
      <c r="F54" s="5">
        <v>9.38</v>
      </c>
      <c r="H54" s="5">
        <v>1.31</v>
      </c>
    </row>
    <row r="55">
      <c r="A55" s="4" t="s">
        <v>1234</v>
      </c>
      <c r="B55" s="5">
        <v>3155.0</v>
      </c>
      <c r="C55" s="5">
        <v>21.1</v>
      </c>
      <c r="D55" s="5">
        <v>20.3</v>
      </c>
      <c r="F55" s="5">
        <v>8.77</v>
      </c>
      <c r="H55" s="5">
        <v>1.22</v>
      </c>
    </row>
    <row r="56">
      <c r="A56" s="4" t="s">
        <v>105</v>
      </c>
      <c r="B56" s="5">
        <v>3154.0</v>
      </c>
      <c r="C56" s="5">
        <v>18.1</v>
      </c>
      <c r="D56" s="5">
        <v>17.1</v>
      </c>
      <c r="F56" s="5">
        <v>8.8</v>
      </c>
      <c r="H56" s="5">
        <v>0.65</v>
      </c>
    </row>
    <row r="57">
      <c r="A57" s="4"/>
    </row>
    <row r="58">
      <c r="A58" s="4" t="s">
        <v>128</v>
      </c>
      <c r="B58" s="5">
        <v>3163.0</v>
      </c>
      <c r="C58" s="5">
        <v>27.5</v>
      </c>
      <c r="D58" s="5">
        <v>25.4</v>
      </c>
      <c r="F58" s="5">
        <v>12.15</v>
      </c>
      <c r="H58" s="5">
        <v>4.08</v>
      </c>
    </row>
    <row r="59">
      <c r="A59" s="4" t="s">
        <v>129</v>
      </c>
      <c r="B59" s="5">
        <v>3162.0</v>
      </c>
      <c r="C59" s="5">
        <v>31.6</v>
      </c>
      <c r="D59" s="5">
        <v>21.1</v>
      </c>
      <c r="F59" s="5">
        <v>10.51</v>
      </c>
      <c r="H59" s="5">
        <v>2.68</v>
      </c>
    </row>
    <row r="60">
      <c r="A60" s="4" t="s">
        <v>136</v>
      </c>
      <c r="B60" s="5">
        <v>3161.0</v>
      </c>
      <c r="C60" s="5">
        <v>23.8</v>
      </c>
      <c r="D60" s="5">
        <v>22.1</v>
      </c>
      <c r="F60" s="5">
        <v>10.0</v>
      </c>
      <c r="H60" s="5">
        <v>1.39</v>
      </c>
    </row>
    <row r="61">
      <c r="A61" s="4"/>
    </row>
    <row r="62">
      <c r="A62" s="4" t="s">
        <v>329</v>
      </c>
      <c r="B62" s="5">
        <v>3191.0</v>
      </c>
      <c r="C62" s="5">
        <v>36.1</v>
      </c>
      <c r="D62" s="5">
        <v>12.7</v>
      </c>
      <c r="F62" s="5">
        <v>14.95</v>
      </c>
      <c r="G62" s="5">
        <v>1.0</v>
      </c>
      <c r="H62" s="5">
        <v>5.75</v>
      </c>
      <c r="J62" s="2" t="s">
        <v>14</v>
      </c>
    </row>
    <row r="63">
      <c r="A63" s="4" t="s">
        <v>330</v>
      </c>
      <c r="B63" s="5">
        <v>3190.0</v>
      </c>
      <c r="C63" s="5">
        <v>25.2</v>
      </c>
      <c r="D63" s="5">
        <v>16.3</v>
      </c>
      <c r="F63" s="5">
        <v>15.75</v>
      </c>
      <c r="H63" s="5">
        <v>4.51</v>
      </c>
      <c r="J63" s="6">
        <f>counta(H62:H153)</f>
        <v>75</v>
      </c>
    </row>
    <row r="64">
      <c r="A64" s="4" t="s">
        <v>331</v>
      </c>
      <c r="B64" s="5">
        <v>3181.0</v>
      </c>
      <c r="C64" s="5">
        <v>23.1</v>
      </c>
      <c r="D64" s="5">
        <v>21.1</v>
      </c>
      <c r="F64" s="5">
        <v>14.61</v>
      </c>
      <c r="H64" s="5">
        <v>2.99</v>
      </c>
      <c r="J64" s="6">
        <f>sum(H62:H153)/J63</f>
        <v>1.8732</v>
      </c>
    </row>
    <row r="65">
      <c r="A65" s="5" t="s">
        <v>332</v>
      </c>
      <c r="B65" s="5">
        <v>3178.0</v>
      </c>
      <c r="C65" s="5">
        <v>22.2</v>
      </c>
      <c r="D65" s="5">
        <v>15.4</v>
      </c>
      <c r="F65" s="5">
        <v>11.57</v>
      </c>
      <c r="H65" s="5">
        <v>3.13</v>
      </c>
    </row>
    <row r="66">
      <c r="A66" s="4" t="s">
        <v>1256</v>
      </c>
      <c r="B66" s="5">
        <v>3189.0</v>
      </c>
      <c r="C66" s="5">
        <v>23.1</v>
      </c>
      <c r="D66" s="5">
        <v>16.7</v>
      </c>
      <c r="F66" s="5">
        <v>13.39</v>
      </c>
      <c r="H66" s="5">
        <v>2.21</v>
      </c>
    </row>
    <row r="67">
      <c r="A67" s="4" t="s">
        <v>1257</v>
      </c>
      <c r="B67" s="5">
        <v>3186.0</v>
      </c>
      <c r="C67" s="5">
        <v>17.2</v>
      </c>
      <c r="D67" s="5">
        <v>18.6</v>
      </c>
      <c r="F67" s="5">
        <v>11.09</v>
      </c>
      <c r="H67" s="5">
        <v>1.7</v>
      </c>
    </row>
    <row r="68">
      <c r="A68" s="9" t="s">
        <v>1264</v>
      </c>
      <c r="B68" s="5">
        <v>3172.0</v>
      </c>
      <c r="C68" s="5">
        <v>20.2</v>
      </c>
      <c r="D68" s="5">
        <v>16.5</v>
      </c>
      <c r="F68" s="5">
        <v>9.39</v>
      </c>
      <c r="H68" s="5">
        <v>1.48</v>
      </c>
    </row>
    <row r="69">
      <c r="A69" s="4" t="s">
        <v>1258</v>
      </c>
      <c r="B69" s="5">
        <v>3188.0</v>
      </c>
      <c r="C69" s="5">
        <v>30.5</v>
      </c>
      <c r="D69" s="5">
        <v>25.6</v>
      </c>
      <c r="F69" s="5">
        <v>11.84</v>
      </c>
      <c r="H69" s="5">
        <v>2.57</v>
      </c>
    </row>
    <row r="70">
      <c r="A70" s="9" t="s">
        <v>1263</v>
      </c>
      <c r="B70" s="5">
        <v>3185.0</v>
      </c>
      <c r="C70" s="5">
        <v>20.5</v>
      </c>
      <c r="D70" s="5">
        <v>14.1</v>
      </c>
      <c r="F70" s="5">
        <v>10.63</v>
      </c>
      <c r="H70" s="5">
        <v>1.46</v>
      </c>
    </row>
    <row r="71">
      <c r="A71" s="4" t="s">
        <v>1259</v>
      </c>
      <c r="B71" s="5">
        <v>3184.0</v>
      </c>
      <c r="C71" s="5">
        <v>22.1</v>
      </c>
      <c r="D71" s="5">
        <v>22.1</v>
      </c>
      <c r="F71" s="5">
        <v>8.36</v>
      </c>
      <c r="H71" s="5">
        <v>0.88</v>
      </c>
    </row>
    <row r="72">
      <c r="A72" s="9" t="s">
        <v>1261</v>
      </c>
      <c r="B72" s="5">
        <v>3179.0</v>
      </c>
      <c r="C72" s="5">
        <v>19.1</v>
      </c>
      <c r="D72" s="5">
        <v>16.1</v>
      </c>
      <c r="F72" s="5">
        <v>9.1</v>
      </c>
      <c r="H72" s="5">
        <v>0.84</v>
      </c>
    </row>
    <row r="73">
      <c r="A73" s="9" t="s">
        <v>333</v>
      </c>
      <c r="B73" s="5">
        <v>3182.0</v>
      </c>
      <c r="C73" s="5">
        <v>24.5</v>
      </c>
      <c r="D73" s="5">
        <v>22.2</v>
      </c>
      <c r="F73" s="5">
        <v>10.14</v>
      </c>
      <c r="H73" s="5">
        <v>0.95</v>
      </c>
    </row>
    <row r="74">
      <c r="A74" s="4" t="s">
        <v>338</v>
      </c>
      <c r="B74" s="5">
        <v>3173.0</v>
      </c>
      <c r="C74" s="5">
        <v>18.9</v>
      </c>
      <c r="D74" s="5">
        <v>16.8</v>
      </c>
      <c r="F74" s="5">
        <v>9.47</v>
      </c>
      <c r="H74" s="5">
        <v>1.06</v>
      </c>
    </row>
    <row r="75">
      <c r="A75" s="4" t="s">
        <v>1838</v>
      </c>
      <c r="B75" s="5">
        <v>3180.0</v>
      </c>
      <c r="C75" s="5">
        <v>25.2</v>
      </c>
      <c r="D75" s="5">
        <v>18.6</v>
      </c>
      <c r="F75" s="5">
        <v>7.84</v>
      </c>
      <c r="H75" s="5">
        <v>0.53</v>
      </c>
    </row>
    <row r="76">
      <c r="A76" s="4" t="s">
        <v>1267</v>
      </c>
      <c r="B76" s="5">
        <v>3177.0</v>
      </c>
      <c r="C76" s="5">
        <v>18.6</v>
      </c>
      <c r="D76" s="5">
        <v>15.1</v>
      </c>
      <c r="F76" s="5">
        <v>8.99</v>
      </c>
      <c r="H76" s="5">
        <v>0.9</v>
      </c>
    </row>
    <row r="77">
      <c r="A77" s="4" t="s">
        <v>1269</v>
      </c>
      <c r="B77" s="5">
        <v>3175.0</v>
      </c>
      <c r="C77" s="5">
        <v>17.4</v>
      </c>
      <c r="D77" s="5">
        <v>15.8</v>
      </c>
      <c r="F77" s="5">
        <v>10.26</v>
      </c>
      <c r="H77" s="5">
        <v>1.11</v>
      </c>
    </row>
    <row r="78">
      <c r="A78" s="4" t="s">
        <v>336</v>
      </c>
      <c r="B78" s="5">
        <v>3187.0</v>
      </c>
      <c r="C78" s="5">
        <v>30.6</v>
      </c>
      <c r="D78" s="5">
        <v>15.1</v>
      </c>
      <c r="F78" s="5">
        <v>10.15</v>
      </c>
      <c r="H78" s="5">
        <v>1.28</v>
      </c>
    </row>
    <row r="79">
      <c r="A79" s="4" t="s">
        <v>1270</v>
      </c>
      <c r="B79" s="5">
        <v>3167.0</v>
      </c>
      <c r="C79" s="5">
        <v>20.8</v>
      </c>
      <c r="D79" s="5">
        <v>16.2</v>
      </c>
      <c r="F79" s="5">
        <v>10.03</v>
      </c>
      <c r="H79" s="5">
        <v>1.42</v>
      </c>
    </row>
    <row r="80">
      <c r="A80" s="4" t="s">
        <v>345</v>
      </c>
      <c r="B80" s="5">
        <v>3170.0</v>
      </c>
      <c r="C80" s="5">
        <v>22.4</v>
      </c>
      <c r="D80" s="5">
        <v>14.6</v>
      </c>
      <c r="F80" s="5">
        <v>8.02</v>
      </c>
      <c r="H80" s="5">
        <v>1.45</v>
      </c>
    </row>
    <row r="81">
      <c r="A81" s="4" t="s">
        <v>1265</v>
      </c>
      <c r="B81" s="5">
        <v>3174.0</v>
      </c>
      <c r="C81" s="5">
        <v>20.2</v>
      </c>
      <c r="D81" s="5">
        <v>15.2</v>
      </c>
      <c r="F81" s="5">
        <v>7.48</v>
      </c>
      <c r="H81" s="5">
        <v>0.67</v>
      </c>
    </row>
    <row r="82">
      <c r="A82" s="4" t="s">
        <v>1839</v>
      </c>
      <c r="B82" s="5">
        <v>3176.0</v>
      </c>
      <c r="C82" s="5">
        <v>14.6</v>
      </c>
      <c r="D82" s="5">
        <v>13.1</v>
      </c>
      <c r="F82" s="5">
        <v>9.54</v>
      </c>
      <c r="H82" s="5">
        <v>0.61</v>
      </c>
    </row>
    <row r="83">
      <c r="A83" s="4" t="s">
        <v>1280</v>
      </c>
      <c r="B83" s="5">
        <v>3166.0</v>
      </c>
      <c r="C83" s="5">
        <v>20.6</v>
      </c>
      <c r="D83" s="5">
        <v>13.1</v>
      </c>
      <c r="F83" s="5">
        <v>10.0</v>
      </c>
      <c r="H83" s="5">
        <v>1.54</v>
      </c>
    </row>
    <row r="84">
      <c r="A84" s="4" t="s">
        <v>341</v>
      </c>
      <c r="B84" s="5">
        <v>3183.0</v>
      </c>
      <c r="C84" s="5">
        <v>19.1</v>
      </c>
      <c r="D84" s="5">
        <v>16.3</v>
      </c>
      <c r="F84" s="5">
        <v>9.36</v>
      </c>
      <c r="H84" s="5">
        <v>1.13</v>
      </c>
    </row>
    <row r="85">
      <c r="A85" s="4" t="s">
        <v>1274</v>
      </c>
      <c r="B85" s="5">
        <v>3165.0</v>
      </c>
      <c r="C85" s="5">
        <v>19.4</v>
      </c>
      <c r="D85" s="5">
        <v>11.2</v>
      </c>
      <c r="F85" s="5">
        <v>8.42</v>
      </c>
      <c r="H85" s="5">
        <v>1.1</v>
      </c>
    </row>
    <row r="86">
      <c r="A86" s="4" t="s">
        <v>1271</v>
      </c>
      <c r="I86" s="5" t="s">
        <v>1840</v>
      </c>
    </row>
    <row r="87">
      <c r="A87" s="4" t="s">
        <v>349</v>
      </c>
      <c r="B87" s="5">
        <v>3169.0</v>
      </c>
      <c r="C87" s="5">
        <v>16.2</v>
      </c>
      <c r="D87" s="5">
        <v>14.0</v>
      </c>
      <c r="F87" s="5">
        <v>8.41</v>
      </c>
      <c r="H87" s="5">
        <v>0.69</v>
      </c>
    </row>
    <row r="88">
      <c r="A88" s="4" t="s">
        <v>1272</v>
      </c>
      <c r="B88" s="5">
        <v>3168.0</v>
      </c>
      <c r="C88" s="5">
        <v>14.1</v>
      </c>
      <c r="D88" s="5">
        <v>10.1</v>
      </c>
      <c r="F88" s="5">
        <v>7.54</v>
      </c>
      <c r="H88" s="5">
        <v>0.55</v>
      </c>
    </row>
    <row r="89">
      <c r="A89" s="4" t="s">
        <v>1273</v>
      </c>
      <c r="I89" s="5" t="s">
        <v>1840</v>
      </c>
    </row>
    <row r="90">
      <c r="A90" s="4" t="s">
        <v>1708</v>
      </c>
      <c r="I90" s="5" t="s">
        <v>1840</v>
      </c>
    </row>
    <row r="91">
      <c r="A91" s="4" t="s">
        <v>343</v>
      </c>
      <c r="B91" s="5">
        <v>3171.0</v>
      </c>
      <c r="C91" s="5">
        <v>17.5</v>
      </c>
      <c r="D91" s="5">
        <v>13.4</v>
      </c>
      <c r="F91" s="5">
        <v>7.99</v>
      </c>
      <c r="H91" s="5">
        <v>0.93</v>
      </c>
    </row>
    <row r="92">
      <c r="A92" s="4" t="s">
        <v>1490</v>
      </c>
      <c r="B92" s="5">
        <v>3164.0</v>
      </c>
      <c r="C92" s="5">
        <v>17.9</v>
      </c>
      <c r="D92" s="5">
        <v>9.6</v>
      </c>
      <c r="F92" s="5">
        <v>8.24</v>
      </c>
      <c r="H92" s="5">
        <v>0.72</v>
      </c>
    </row>
    <row r="93">
      <c r="A93" s="4"/>
    </row>
    <row r="94">
      <c r="A94" s="4" t="s">
        <v>356</v>
      </c>
      <c r="B94" s="5">
        <v>3240.0</v>
      </c>
      <c r="C94" s="5">
        <v>22.1</v>
      </c>
      <c r="D94" s="5">
        <v>20.7</v>
      </c>
      <c r="F94" s="5">
        <v>16.8</v>
      </c>
      <c r="H94" s="5">
        <v>7.53</v>
      </c>
    </row>
    <row r="95">
      <c r="A95" s="4" t="s">
        <v>357</v>
      </c>
      <c r="B95" s="5">
        <v>3238.0</v>
      </c>
      <c r="C95" s="5">
        <v>27.6</v>
      </c>
      <c r="D95" s="5">
        <v>23.2</v>
      </c>
      <c r="F95" s="5">
        <v>16.23</v>
      </c>
      <c r="H95" s="5">
        <v>3.86</v>
      </c>
    </row>
    <row r="96">
      <c r="A96" s="4" t="s">
        <v>359</v>
      </c>
      <c r="B96" s="5">
        <v>3234.0</v>
      </c>
      <c r="C96" s="5">
        <v>28.2</v>
      </c>
      <c r="D96" s="5">
        <v>20.6</v>
      </c>
      <c r="F96" s="5">
        <v>13.39</v>
      </c>
      <c r="H96" s="5">
        <v>2.69</v>
      </c>
    </row>
    <row r="97">
      <c r="A97" s="4" t="s">
        <v>375</v>
      </c>
      <c r="B97" s="5">
        <v>3231.0</v>
      </c>
      <c r="C97" s="5">
        <v>23.5</v>
      </c>
      <c r="D97" s="5">
        <v>27.6</v>
      </c>
      <c r="F97" s="5">
        <v>10.79</v>
      </c>
      <c r="H97" s="5">
        <v>1.78</v>
      </c>
    </row>
    <row r="98">
      <c r="A98" s="4" t="s">
        <v>1281</v>
      </c>
      <c r="B98" s="5">
        <v>3233.0</v>
      </c>
      <c r="C98" s="5">
        <v>29.2</v>
      </c>
      <c r="D98" s="5">
        <v>25.3</v>
      </c>
      <c r="F98" s="5">
        <v>11.49</v>
      </c>
      <c r="H98" s="5">
        <v>1.16</v>
      </c>
    </row>
    <row r="99">
      <c r="A99" s="4" t="s">
        <v>1495</v>
      </c>
      <c r="B99" s="5">
        <v>3237.0</v>
      </c>
      <c r="C99" s="5">
        <v>25.2</v>
      </c>
      <c r="D99" s="5">
        <v>25.1</v>
      </c>
      <c r="F99" s="5">
        <v>12.21</v>
      </c>
      <c r="H99" s="5">
        <v>1.24</v>
      </c>
    </row>
    <row r="100">
      <c r="A100" s="4" t="s">
        <v>1496</v>
      </c>
      <c r="B100" s="5">
        <v>3235.0</v>
      </c>
      <c r="C100" s="5">
        <v>19.9</v>
      </c>
      <c r="D100" s="5">
        <v>22.6</v>
      </c>
      <c r="F100" s="5">
        <v>10.24</v>
      </c>
      <c r="H100" s="5">
        <v>0.94</v>
      </c>
    </row>
    <row r="101">
      <c r="A101" s="4" t="s">
        <v>1841</v>
      </c>
      <c r="B101" s="5">
        <v>3239.0</v>
      </c>
      <c r="C101" s="5">
        <v>22.1</v>
      </c>
      <c r="D101" s="5">
        <v>35.25</v>
      </c>
      <c r="E101" s="5">
        <v>23.0</v>
      </c>
      <c r="F101" s="5">
        <v>10.26</v>
      </c>
      <c r="H101" s="5">
        <v>1.01</v>
      </c>
    </row>
    <row r="102">
      <c r="A102" s="4" t="s">
        <v>1283</v>
      </c>
      <c r="B102" s="5">
        <v>3229.0</v>
      </c>
      <c r="C102" s="5">
        <v>20.55</v>
      </c>
      <c r="D102" s="5">
        <v>20.0</v>
      </c>
      <c r="F102" s="5">
        <v>10.29</v>
      </c>
      <c r="H102" s="5">
        <v>1.63</v>
      </c>
    </row>
    <row r="103">
      <c r="A103" s="4" t="s">
        <v>1284</v>
      </c>
      <c r="B103" s="5">
        <v>3232.0</v>
      </c>
      <c r="C103" s="5">
        <v>25.4</v>
      </c>
      <c r="D103" s="5">
        <v>23.1</v>
      </c>
      <c r="F103" s="5">
        <v>8.91</v>
      </c>
      <c r="H103" s="5">
        <v>1.03</v>
      </c>
    </row>
    <row r="104">
      <c r="A104" s="4" t="s">
        <v>1285</v>
      </c>
      <c r="B104" s="5">
        <v>3228.0</v>
      </c>
      <c r="C104" s="5">
        <v>20.3</v>
      </c>
      <c r="D104" s="5">
        <v>20.2</v>
      </c>
      <c r="F104" s="5">
        <v>9.26</v>
      </c>
      <c r="H104" s="5">
        <v>1.64</v>
      </c>
    </row>
    <row r="105">
      <c r="A105" s="4" t="s">
        <v>1497</v>
      </c>
      <c r="B105" s="5">
        <v>3230.0</v>
      </c>
      <c r="C105" s="5">
        <v>22.7</v>
      </c>
      <c r="D105" s="5">
        <v>18.3</v>
      </c>
      <c r="F105" s="5">
        <v>9.56</v>
      </c>
      <c r="H105" s="5">
        <v>1.29</v>
      </c>
    </row>
    <row r="106">
      <c r="A106" s="4" t="s">
        <v>1842</v>
      </c>
      <c r="B106" s="5">
        <v>3236.0</v>
      </c>
      <c r="C106" s="5">
        <v>25.9</v>
      </c>
      <c r="D106" s="5">
        <v>23.1</v>
      </c>
      <c r="F106" s="5">
        <v>10.18</v>
      </c>
      <c r="H106" s="5">
        <v>2.09</v>
      </c>
    </row>
    <row r="107">
      <c r="A107" s="4"/>
    </row>
    <row r="108">
      <c r="A108" s="4" t="s">
        <v>386</v>
      </c>
      <c r="B108" s="5">
        <v>3219.0</v>
      </c>
      <c r="C108" s="5">
        <v>30.7</v>
      </c>
      <c r="D108" s="5">
        <v>20.2</v>
      </c>
      <c r="F108" s="5">
        <v>16.63</v>
      </c>
      <c r="H108" s="5">
        <v>5.41</v>
      </c>
    </row>
    <row r="109">
      <c r="A109" s="4" t="s">
        <v>387</v>
      </c>
      <c r="B109" s="5">
        <v>3218.0</v>
      </c>
      <c r="C109" s="5">
        <v>30.4</v>
      </c>
      <c r="D109" s="5">
        <v>21.9</v>
      </c>
      <c r="F109" s="5">
        <v>15.28</v>
      </c>
      <c r="H109" s="5">
        <v>3.16</v>
      </c>
    </row>
    <row r="110">
      <c r="A110" s="4" t="s">
        <v>389</v>
      </c>
      <c r="B110" s="5">
        <v>3220.0</v>
      </c>
      <c r="C110" s="5">
        <v>30.7</v>
      </c>
      <c r="D110" s="5">
        <v>30.0</v>
      </c>
      <c r="E110" s="5">
        <v>22.3</v>
      </c>
      <c r="F110" s="5">
        <v>13.85</v>
      </c>
      <c r="H110" s="5">
        <v>3.09</v>
      </c>
    </row>
    <row r="111">
      <c r="A111" s="4" t="s">
        <v>388</v>
      </c>
      <c r="B111" s="5">
        <v>3213.0</v>
      </c>
      <c r="C111" s="5">
        <v>22.6</v>
      </c>
      <c r="D111" s="5">
        <v>19.8</v>
      </c>
      <c r="F111" s="5">
        <v>13.59</v>
      </c>
      <c r="H111" s="5">
        <v>2.33</v>
      </c>
    </row>
    <row r="112">
      <c r="A112" s="4" t="s">
        <v>393</v>
      </c>
      <c r="B112" s="5">
        <v>3210.0</v>
      </c>
      <c r="C112" s="5">
        <v>25.6</v>
      </c>
      <c r="D112" s="5">
        <v>20.9</v>
      </c>
      <c r="F112" s="5">
        <v>15.64</v>
      </c>
      <c r="H112" s="5">
        <v>2.16</v>
      </c>
    </row>
    <row r="113">
      <c r="A113" s="4" t="s">
        <v>390</v>
      </c>
      <c r="B113" s="5">
        <v>3208.0</v>
      </c>
      <c r="C113" s="5">
        <v>23.8</v>
      </c>
      <c r="D113" s="5">
        <v>15.9</v>
      </c>
      <c r="F113" s="5">
        <v>10.29</v>
      </c>
      <c r="H113" s="5">
        <v>1.19</v>
      </c>
    </row>
    <row r="114">
      <c r="A114" s="4" t="s">
        <v>391</v>
      </c>
      <c r="B114" s="5">
        <v>3212.0</v>
      </c>
      <c r="C114" s="5">
        <v>23.1</v>
      </c>
      <c r="D114" s="5">
        <v>20.5</v>
      </c>
      <c r="F114" s="5">
        <v>11.58</v>
      </c>
      <c r="H114" s="5">
        <v>0.75</v>
      </c>
    </row>
    <row r="115">
      <c r="A115" s="9" t="s">
        <v>1543</v>
      </c>
      <c r="B115" s="5">
        <v>3216.0</v>
      </c>
      <c r="C115" s="5">
        <v>28.4</v>
      </c>
      <c r="D115" s="5">
        <v>23.0</v>
      </c>
      <c r="F115" s="5">
        <v>9.62</v>
      </c>
      <c r="H115" s="5">
        <v>1.17</v>
      </c>
    </row>
    <row r="116">
      <c r="A116" s="4" t="s">
        <v>396</v>
      </c>
      <c r="B116" s="5">
        <v>3207.0</v>
      </c>
      <c r="C116" s="5">
        <v>19.9</v>
      </c>
      <c r="D116" s="5">
        <v>17.3</v>
      </c>
      <c r="F116" s="5">
        <v>12.59</v>
      </c>
      <c r="H116" s="5">
        <v>1.23</v>
      </c>
    </row>
    <row r="117">
      <c r="A117" s="4" t="s">
        <v>400</v>
      </c>
      <c r="B117" s="5">
        <v>3205.0</v>
      </c>
      <c r="C117" s="5">
        <v>18.4</v>
      </c>
      <c r="D117" s="5">
        <v>14.6</v>
      </c>
      <c r="F117" s="5">
        <v>9.53</v>
      </c>
      <c r="H117" s="5">
        <v>1.34</v>
      </c>
    </row>
    <row r="118">
      <c r="A118" s="9" t="s">
        <v>399</v>
      </c>
      <c r="B118" s="5">
        <v>3209.0</v>
      </c>
      <c r="C118" s="5">
        <v>20.2</v>
      </c>
      <c r="D118" s="5">
        <v>14.3</v>
      </c>
      <c r="F118" s="5">
        <v>7.65</v>
      </c>
      <c r="H118" s="5">
        <v>0.56</v>
      </c>
    </row>
    <row r="119">
      <c r="A119" s="4" t="s">
        <v>397</v>
      </c>
      <c r="B119" s="5">
        <v>3211.0</v>
      </c>
      <c r="C119" s="5">
        <v>18.6</v>
      </c>
      <c r="D119" s="5">
        <v>15.4</v>
      </c>
      <c r="F119" s="5">
        <v>9.84</v>
      </c>
      <c r="H119" s="5">
        <v>1.01</v>
      </c>
    </row>
    <row r="120">
      <c r="A120" s="4" t="s">
        <v>1506</v>
      </c>
      <c r="B120" s="5">
        <v>3214.0</v>
      </c>
      <c r="C120" s="5">
        <v>21.2</v>
      </c>
      <c r="D120" s="5">
        <v>15.3</v>
      </c>
      <c r="F120" s="5">
        <v>7.68</v>
      </c>
      <c r="H120" s="5">
        <v>0.86</v>
      </c>
    </row>
    <row r="121">
      <c r="A121" s="4" t="s">
        <v>1843</v>
      </c>
      <c r="B121" s="5">
        <v>3217.0</v>
      </c>
      <c r="C121" s="5">
        <v>10.84</v>
      </c>
      <c r="D121" s="5">
        <v>16.6</v>
      </c>
      <c r="F121" s="5">
        <v>10.98</v>
      </c>
      <c r="H121" s="5">
        <v>1.17</v>
      </c>
    </row>
    <row r="122">
      <c r="A122" s="4" t="s">
        <v>1844</v>
      </c>
      <c r="B122" s="5">
        <v>3215.0</v>
      </c>
      <c r="C122" s="5">
        <v>25.2</v>
      </c>
      <c r="D122" s="5">
        <v>15.0</v>
      </c>
      <c r="F122" s="5">
        <v>10.08</v>
      </c>
      <c r="H122" s="5">
        <v>1.03</v>
      </c>
    </row>
    <row r="123">
      <c r="A123" s="4" t="s">
        <v>395</v>
      </c>
      <c r="B123" s="5">
        <v>3206.0</v>
      </c>
      <c r="C123" s="5">
        <v>16.1</v>
      </c>
      <c r="D123" s="5">
        <v>13.5</v>
      </c>
      <c r="F123" s="5">
        <v>10.06</v>
      </c>
      <c r="H123" s="5">
        <v>1.5</v>
      </c>
    </row>
    <row r="124">
      <c r="A124" s="4"/>
    </row>
    <row r="125">
      <c r="A125" s="4" t="s">
        <v>406</v>
      </c>
      <c r="B125" s="5">
        <v>3226.0</v>
      </c>
      <c r="C125" s="5">
        <v>31.7</v>
      </c>
      <c r="D125" s="5">
        <v>16.2</v>
      </c>
      <c r="F125" s="5">
        <v>14.66</v>
      </c>
      <c r="H125" s="5">
        <v>5.66</v>
      </c>
    </row>
    <row r="126">
      <c r="A126" s="4" t="s">
        <v>1303</v>
      </c>
      <c r="B126" s="5">
        <v>3227.0</v>
      </c>
      <c r="C126" s="5">
        <v>31.7</v>
      </c>
      <c r="D126" s="5">
        <v>24.6</v>
      </c>
      <c r="E126" s="5">
        <v>19.7</v>
      </c>
      <c r="F126" s="5">
        <v>14.92</v>
      </c>
      <c r="H126" s="5">
        <v>2.52</v>
      </c>
    </row>
    <row r="127">
      <c r="A127" s="4" t="s">
        <v>407</v>
      </c>
      <c r="B127" s="5">
        <v>3225.0</v>
      </c>
      <c r="C127" s="5">
        <v>26.65</v>
      </c>
      <c r="D127" s="5">
        <v>22.1</v>
      </c>
      <c r="F127" s="5">
        <v>15.71</v>
      </c>
      <c r="H127" s="5">
        <v>4.48</v>
      </c>
    </row>
    <row r="128">
      <c r="A128" s="4" t="s">
        <v>408</v>
      </c>
      <c r="B128" s="5">
        <v>3223.0</v>
      </c>
      <c r="C128" s="5">
        <v>26.0</v>
      </c>
      <c r="D128" s="5">
        <v>17.6</v>
      </c>
      <c r="F128" s="5">
        <v>13.51</v>
      </c>
      <c r="H128" s="5">
        <v>2.7</v>
      </c>
    </row>
    <row r="129">
      <c r="A129" s="4" t="s">
        <v>1305</v>
      </c>
      <c r="B129" s="5">
        <v>3224.0</v>
      </c>
      <c r="C129" s="5">
        <v>21.15</v>
      </c>
      <c r="D129" s="5">
        <v>22.1</v>
      </c>
      <c r="F129" s="5">
        <v>12.48</v>
      </c>
      <c r="H129" s="5">
        <v>1.22</v>
      </c>
    </row>
    <row r="130">
      <c r="A130" s="4" t="s">
        <v>411</v>
      </c>
      <c r="B130" s="5">
        <v>3221.0</v>
      </c>
      <c r="C130" s="5">
        <v>19.5</v>
      </c>
      <c r="D130" s="5">
        <v>21.9</v>
      </c>
      <c r="F130" s="5">
        <v>10.1</v>
      </c>
      <c r="H130" s="5">
        <v>2.48</v>
      </c>
    </row>
    <row r="131">
      <c r="A131" s="4" t="s">
        <v>1308</v>
      </c>
      <c r="B131" s="5">
        <v>3222.0</v>
      </c>
      <c r="C131" s="5">
        <v>18.6</v>
      </c>
      <c r="D131" s="5">
        <v>20.4</v>
      </c>
      <c r="F131" s="5">
        <v>10.44</v>
      </c>
      <c r="H131" s="5">
        <v>1.27</v>
      </c>
    </row>
    <row r="132">
      <c r="A132" s="4"/>
    </row>
    <row r="133">
      <c r="A133" s="4" t="s">
        <v>425</v>
      </c>
      <c r="B133" s="5">
        <v>3247.0</v>
      </c>
      <c r="C133" s="5">
        <v>28.1</v>
      </c>
      <c r="D133" s="5">
        <v>22.3</v>
      </c>
      <c r="F133" s="5">
        <v>14.98</v>
      </c>
      <c r="H133" s="5">
        <v>2.25</v>
      </c>
    </row>
    <row r="134">
      <c r="A134" s="4" t="s">
        <v>1318</v>
      </c>
      <c r="B134" s="5">
        <v>3248.0</v>
      </c>
      <c r="C134" s="5">
        <v>28.1</v>
      </c>
      <c r="D134" s="5">
        <v>30.4</v>
      </c>
      <c r="E134" s="5">
        <v>21.0</v>
      </c>
      <c r="F134" s="5">
        <v>12.56</v>
      </c>
      <c r="H134" s="5">
        <v>2.22</v>
      </c>
    </row>
    <row r="135">
      <c r="A135" s="4" t="s">
        <v>426</v>
      </c>
      <c r="B135" s="5">
        <v>3245.0</v>
      </c>
      <c r="C135" s="5">
        <v>25.9</v>
      </c>
      <c r="D135" s="5">
        <v>22.6</v>
      </c>
      <c r="F135" s="5">
        <v>12.67</v>
      </c>
      <c r="H135" s="5">
        <v>2.71</v>
      </c>
    </row>
    <row r="136">
      <c r="A136" s="4" t="s">
        <v>427</v>
      </c>
      <c r="B136" s="5">
        <v>3244.0</v>
      </c>
      <c r="C136" s="5">
        <v>26.4</v>
      </c>
      <c r="D136" s="5">
        <v>21.4</v>
      </c>
      <c r="F136" s="5">
        <v>12.44</v>
      </c>
      <c r="H136" s="5">
        <v>1.8</v>
      </c>
    </row>
    <row r="137">
      <c r="A137" s="4" t="s">
        <v>1320</v>
      </c>
      <c r="B137" s="5">
        <v>3243.0</v>
      </c>
      <c r="C137" s="5">
        <v>25.1</v>
      </c>
      <c r="D137" s="5">
        <v>20.0</v>
      </c>
      <c r="F137" s="5">
        <v>11.82</v>
      </c>
      <c r="H137" s="5">
        <v>1.4</v>
      </c>
    </row>
    <row r="138">
      <c r="A138" s="4" t="s">
        <v>428</v>
      </c>
      <c r="B138" s="5">
        <v>3241.0</v>
      </c>
      <c r="C138" s="5">
        <v>23.9</v>
      </c>
      <c r="D138" s="5">
        <v>27.0</v>
      </c>
      <c r="F138" s="5">
        <v>9.53</v>
      </c>
      <c r="H138" s="5">
        <v>1.82</v>
      </c>
    </row>
    <row r="139">
      <c r="A139" s="4" t="s">
        <v>1316</v>
      </c>
      <c r="B139" s="5">
        <v>3246.0</v>
      </c>
      <c r="C139" s="5">
        <v>26.3</v>
      </c>
      <c r="D139" s="5">
        <v>30.4</v>
      </c>
      <c r="F139" s="5">
        <v>8.76</v>
      </c>
      <c r="H139" s="5">
        <v>1.51</v>
      </c>
    </row>
    <row r="140">
      <c r="A140" s="4" t="s">
        <v>1323</v>
      </c>
      <c r="B140" s="5">
        <v>3242.0</v>
      </c>
      <c r="C140" s="5">
        <v>22.9</v>
      </c>
      <c r="D140" s="5">
        <v>20.4</v>
      </c>
      <c r="F140" s="5">
        <v>8.51</v>
      </c>
      <c r="H140" s="5">
        <v>1.59</v>
      </c>
    </row>
    <row r="141">
      <c r="A141" s="4"/>
    </row>
    <row r="142">
      <c r="A142" s="4" t="s">
        <v>438</v>
      </c>
    </row>
    <row r="143">
      <c r="A143" s="4" t="s">
        <v>439</v>
      </c>
    </row>
    <row r="144">
      <c r="A144" s="4" t="s">
        <v>441</v>
      </c>
    </row>
    <row r="145">
      <c r="A145" s="4"/>
    </row>
    <row r="146">
      <c r="A146" s="4" t="s">
        <v>463</v>
      </c>
      <c r="B146" s="5">
        <v>3251.0</v>
      </c>
      <c r="C146" s="5">
        <v>27.7</v>
      </c>
      <c r="D146" s="5">
        <v>17.4</v>
      </c>
      <c r="F146" s="5">
        <v>9.98</v>
      </c>
      <c r="H146" s="5">
        <v>1.26</v>
      </c>
    </row>
    <row r="147">
      <c r="A147" s="4" t="s">
        <v>464</v>
      </c>
      <c r="B147" s="5">
        <v>3249.0</v>
      </c>
      <c r="C147" s="5">
        <v>23.6</v>
      </c>
      <c r="D147" s="5">
        <v>23.4</v>
      </c>
      <c r="F147" s="5">
        <v>6.6</v>
      </c>
      <c r="H147" s="5">
        <v>1.73</v>
      </c>
    </row>
    <row r="148">
      <c r="A148" s="4" t="s">
        <v>1545</v>
      </c>
      <c r="B148" s="5">
        <v>3250.0</v>
      </c>
      <c r="C148" s="5">
        <v>27.7</v>
      </c>
      <c r="D148" s="5">
        <v>27.6</v>
      </c>
      <c r="E148" s="5">
        <v>24.0</v>
      </c>
      <c r="F148" s="5">
        <v>8.36</v>
      </c>
      <c r="H148" s="5">
        <v>1.86</v>
      </c>
    </row>
    <row r="149">
      <c r="A149" s="4"/>
    </row>
    <row r="150">
      <c r="A150" s="4" t="s">
        <v>475</v>
      </c>
    </row>
    <row r="151">
      <c r="A151" s="4" t="s">
        <v>476</v>
      </c>
    </row>
    <row r="152">
      <c r="A152" s="4"/>
    </row>
    <row r="153">
      <c r="A153" s="4" t="s">
        <v>496</v>
      </c>
    </row>
    <row r="154">
      <c r="A154" s="4"/>
    </row>
    <row r="155">
      <c r="A155" s="4" t="s">
        <v>754</v>
      </c>
      <c r="B155" s="5">
        <v>3281.0</v>
      </c>
      <c r="C155" s="5">
        <v>35.1</v>
      </c>
      <c r="D155" s="5">
        <v>12.6</v>
      </c>
      <c r="E155" s="5" t="s">
        <v>1417</v>
      </c>
      <c r="F155" s="5">
        <v>12.68</v>
      </c>
      <c r="G155" s="5">
        <v>1.0</v>
      </c>
      <c r="H155" s="5">
        <v>4.58</v>
      </c>
      <c r="J155" s="2" t="s">
        <v>14</v>
      </c>
    </row>
    <row r="156">
      <c r="A156" s="4" t="s">
        <v>1561</v>
      </c>
      <c r="B156" s="5">
        <v>3276.0</v>
      </c>
      <c r="C156" s="5">
        <v>18.4</v>
      </c>
      <c r="D156" s="5">
        <v>17.5</v>
      </c>
      <c r="E156" s="5" t="s">
        <v>1417</v>
      </c>
      <c r="F156" s="5">
        <v>14.2</v>
      </c>
      <c r="H156" s="5">
        <v>3.07</v>
      </c>
      <c r="J156" s="6">
        <f>counta(H155:H239)</f>
        <v>79</v>
      </c>
    </row>
    <row r="157">
      <c r="A157" s="4" t="s">
        <v>755</v>
      </c>
      <c r="B157" s="5">
        <v>3280.0</v>
      </c>
      <c r="C157" s="5">
        <v>25.0</v>
      </c>
      <c r="D157" s="5">
        <v>18.4</v>
      </c>
      <c r="E157" s="5" t="s">
        <v>1417</v>
      </c>
      <c r="F157" s="5">
        <v>15.97</v>
      </c>
      <c r="H157" s="5">
        <v>4.07</v>
      </c>
      <c r="J157" s="6">
        <f>sum(H155:H239)/J156</f>
        <v>1.645443038</v>
      </c>
    </row>
    <row r="158">
      <c r="A158" s="4" t="s">
        <v>756</v>
      </c>
      <c r="B158" s="5">
        <v>3273.0</v>
      </c>
      <c r="C158" s="5">
        <v>22.2</v>
      </c>
      <c r="D158" s="5">
        <v>20.1</v>
      </c>
      <c r="E158" s="5" t="s">
        <v>1417</v>
      </c>
      <c r="F158" s="5">
        <v>14.57</v>
      </c>
      <c r="H158" s="5">
        <v>3.69</v>
      </c>
    </row>
    <row r="159">
      <c r="A159" s="4" t="s">
        <v>1562</v>
      </c>
      <c r="B159" s="5">
        <v>3275.0</v>
      </c>
      <c r="C159" s="5">
        <v>20.4</v>
      </c>
      <c r="D159" s="5">
        <v>20.3</v>
      </c>
      <c r="E159" s="5" t="s">
        <v>1417</v>
      </c>
      <c r="F159" s="5">
        <v>11.75</v>
      </c>
      <c r="H159" s="5">
        <v>2.01</v>
      </c>
    </row>
    <row r="160">
      <c r="A160" s="4" t="s">
        <v>757</v>
      </c>
      <c r="B160" s="5">
        <v>3279.0</v>
      </c>
      <c r="C160" s="5">
        <v>25.0</v>
      </c>
      <c r="D160" s="5">
        <v>19.1</v>
      </c>
      <c r="E160" s="5" t="s">
        <v>1417</v>
      </c>
      <c r="F160" s="5">
        <v>12.76</v>
      </c>
      <c r="H160" s="5">
        <v>1.95</v>
      </c>
    </row>
    <row r="161">
      <c r="A161" s="4" t="s">
        <v>1337</v>
      </c>
      <c r="B161" s="5">
        <v>3271.0</v>
      </c>
      <c r="C161" s="5">
        <v>21.1</v>
      </c>
      <c r="D161" s="5">
        <v>19.3</v>
      </c>
      <c r="E161" s="5" t="s">
        <v>1417</v>
      </c>
      <c r="F161" s="5">
        <v>10.58</v>
      </c>
      <c r="H161" s="5">
        <v>1.17</v>
      </c>
    </row>
    <row r="162">
      <c r="A162" s="4" t="s">
        <v>759</v>
      </c>
      <c r="B162" s="5">
        <v>3272.0</v>
      </c>
      <c r="C162" s="5">
        <v>29.6</v>
      </c>
      <c r="D162" s="5">
        <v>21.2</v>
      </c>
      <c r="E162" s="5" t="s">
        <v>1417</v>
      </c>
      <c r="F162" s="5">
        <v>9.29</v>
      </c>
      <c r="H162" s="5">
        <v>1.08</v>
      </c>
    </row>
    <row r="163">
      <c r="A163" s="4" t="s">
        <v>1339</v>
      </c>
      <c r="B163" s="5">
        <v>3260.0</v>
      </c>
      <c r="C163" s="5">
        <v>21.2</v>
      </c>
      <c r="D163" s="5">
        <v>17.7</v>
      </c>
      <c r="E163" s="5" t="s">
        <v>1417</v>
      </c>
      <c r="F163" s="5">
        <v>8.37</v>
      </c>
      <c r="H163" s="5">
        <v>0.79</v>
      </c>
    </row>
    <row r="164">
      <c r="A164" s="4" t="s">
        <v>760</v>
      </c>
      <c r="B164" s="5">
        <v>3270.0</v>
      </c>
      <c r="C164" s="5">
        <v>23.5</v>
      </c>
      <c r="D164" s="5">
        <v>20.2</v>
      </c>
      <c r="E164" s="5" t="s">
        <v>1417</v>
      </c>
      <c r="F164" s="5">
        <v>9.82</v>
      </c>
      <c r="H164" s="5">
        <v>1.13</v>
      </c>
    </row>
    <row r="165">
      <c r="A165" s="4" t="s">
        <v>1564</v>
      </c>
      <c r="B165" s="5">
        <v>3265.0</v>
      </c>
      <c r="C165" s="5">
        <v>19.5</v>
      </c>
      <c r="D165" s="5">
        <v>17.0</v>
      </c>
      <c r="E165" s="5" t="s">
        <v>1417</v>
      </c>
      <c r="F165" s="5">
        <v>10.16</v>
      </c>
      <c r="H165" s="5">
        <v>1.18</v>
      </c>
    </row>
    <row r="166">
      <c r="A166" s="4" t="s">
        <v>758</v>
      </c>
      <c r="B166" s="5">
        <v>3257.0</v>
      </c>
      <c r="C166" s="5">
        <v>29.3</v>
      </c>
      <c r="D166" s="5">
        <v>18.6</v>
      </c>
      <c r="E166" s="5" t="s">
        <v>1417</v>
      </c>
      <c r="F166" s="5">
        <v>10.8</v>
      </c>
      <c r="H166" s="5">
        <v>1.02</v>
      </c>
    </row>
    <row r="167">
      <c r="A167" s="4" t="s">
        <v>764</v>
      </c>
      <c r="B167" s="5">
        <v>3262.0</v>
      </c>
      <c r="C167" s="5">
        <v>21.2</v>
      </c>
      <c r="D167" s="5">
        <v>14.9</v>
      </c>
      <c r="E167" s="5" t="s">
        <v>1417</v>
      </c>
      <c r="F167" s="5">
        <v>10.1</v>
      </c>
      <c r="H167" s="5">
        <v>0.84</v>
      </c>
    </row>
    <row r="168">
      <c r="A168" s="4" t="s">
        <v>1340</v>
      </c>
      <c r="B168" s="5">
        <v>3259.0</v>
      </c>
      <c r="C168" s="5">
        <v>20.2</v>
      </c>
      <c r="D168" s="5">
        <v>18.5</v>
      </c>
      <c r="E168" s="5" t="s">
        <v>1417</v>
      </c>
      <c r="F168" s="5">
        <v>9.37</v>
      </c>
      <c r="H168" s="5">
        <v>0.64</v>
      </c>
    </row>
    <row r="169">
      <c r="A169" s="4" t="s">
        <v>762</v>
      </c>
      <c r="B169" s="5">
        <v>3269.0</v>
      </c>
      <c r="C169" s="5">
        <v>24.0</v>
      </c>
      <c r="D169" s="5">
        <v>18.1</v>
      </c>
      <c r="E169" s="5" t="s">
        <v>1417</v>
      </c>
      <c r="F169" s="5">
        <v>9.35</v>
      </c>
      <c r="H169" s="5">
        <v>1.05</v>
      </c>
    </row>
    <row r="170">
      <c r="A170" s="4" t="s">
        <v>761</v>
      </c>
      <c r="B170" s="5">
        <v>3278.0</v>
      </c>
      <c r="C170" s="5">
        <v>31.8</v>
      </c>
      <c r="D170" s="5">
        <v>22.0</v>
      </c>
      <c r="E170" s="5" t="s">
        <v>1417</v>
      </c>
      <c r="F170" s="5">
        <v>9.28</v>
      </c>
      <c r="H170" s="5">
        <v>0.67</v>
      </c>
    </row>
    <row r="171">
      <c r="A171" s="4" t="s">
        <v>1569</v>
      </c>
      <c r="B171" s="5">
        <v>3277.0</v>
      </c>
      <c r="C171" s="5">
        <v>29.6</v>
      </c>
      <c r="D171" s="5">
        <v>21.1</v>
      </c>
      <c r="E171" s="5" t="s">
        <v>1417</v>
      </c>
      <c r="F171" s="5">
        <v>9.78</v>
      </c>
      <c r="H171" s="5">
        <v>0.68</v>
      </c>
    </row>
    <row r="172">
      <c r="A172" s="4" t="s">
        <v>1565</v>
      </c>
      <c r="B172" s="5">
        <v>3264.0</v>
      </c>
      <c r="C172" s="5">
        <v>20.3</v>
      </c>
      <c r="D172" s="5">
        <v>17.5</v>
      </c>
      <c r="E172" s="5" t="s">
        <v>1417</v>
      </c>
      <c r="F172" s="5">
        <v>9.25</v>
      </c>
      <c r="H172" s="5">
        <v>1.07</v>
      </c>
    </row>
    <row r="173">
      <c r="A173" s="4" t="s">
        <v>1338</v>
      </c>
      <c r="B173" s="5">
        <v>3256.0</v>
      </c>
      <c r="C173" s="5">
        <v>22.6</v>
      </c>
      <c r="D173" s="5">
        <v>11.7</v>
      </c>
      <c r="E173" s="5" t="s">
        <v>1417</v>
      </c>
      <c r="F173" s="5">
        <v>8.99</v>
      </c>
      <c r="H173" s="5">
        <v>0.97</v>
      </c>
    </row>
    <row r="174">
      <c r="A174" s="4" t="s">
        <v>770</v>
      </c>
      <c r="B174" s="5">
        <v>3254.0</v>
      </c>
      <c r="C174" s="5">
        <v>27.5</v>
      </c>
      <c r="D174" s="5">
        <v>12.8</v>
      </c>
      <c r="E174" s="5" t="s">
        <v>1417</v>
      </c>
      <c r="F174" s="5">
        <v>8.17</v>
      </c>
      <c r="H174" s="5">
        <v>0.67</v>
      </c>
    </row>
    <row r="175">
      <c r="A175" s="4" t="s">
        <v>766</v>
      </c>
      <c r="B175" s="5">
        <v>3261.0</v>
      </c>
      <c r="C175" s="5">
        <v>16.7</v>
      </c>
      <c r="D175" s="5">
        <v>10.4</v>
      </c>
      <c r="E175" s="5" t="s">
        <v>1417</v>
      </c>
      <c r="F175" s="5">
        <v>7.9</v>
      </c>
      <c r="H175" s="5">
        <v>0.82</v>
      </c>
    </row>
    <row r="176">
      <c r="A176" s="4" t="s">
        <v>1346</v>
      </c>
      <c r="B176" s="5">
        <v>3258.0</v>
      </c>
      <c r="C176" s="5">
        <v>17.1</v>
      </c>
      <c r="D176" s="5">
        <v>10.8</v>
      </c>
      <c r="E176" s="5" t="s">
        <v>1417</v>
      </c>
      <c r="F176" s="5">
        <v>8.3</v>
      </c>
      <c r="H176" s="5">
        <v>0.7</v>
      </c>
    </row>
    <row r="177">
      <c r="A177" s="4" t="s">
        <v>1347</v>
      </c>
      <c r="B177" s="5">
        <v>3268.0</v>
      </c>
      <c r="C177" s="5">
        <v>16.5</v>
      </c>
      <c r="D177" s="5">
        <v>13.9</v>
      </c>
      <c r="E177" s="5" t="s">
        <v>1417</v>
      </c>
      <c r="F177" s="5">
        <v>10.42</v>
      </c>
      <c r="H177" s="5">
        <v>0.79</v>
      </c>
    </row>
    <row r="178">
      <c r="A178" s="4" t="s">
        <v>763</v>
      </c>
      <c r="B178" s="5">
        <v>3267.0</v>
      </c>
      <c r="C178" s="5">
        <v>20.6</v>
      </c>
      <c r="D178" s="5">
        <v>18.7</v>
      </c>
      <c r="E178" s="5" t="s">
        <v>1417</v>
      </c>
      <c r="F178" s="5">
        <v>10.2</v>
      </c>
      <c r="H178" s="5">
        <v>0.71</v>
      </c>
    </row>
    <row r="179">
      <c r="A179" s="4" t="s">
        <v>1570</v>
      </c>
      <c r="B179" s="5">
        <v>3274.0</v>
      </c>
      <c r="C179" s="5">
        <v>24.1</v>
      </c>
      <c r="D179" s="5">
        <v>16.3</v>
      </c>
      <c r="E179" s="5" t="s">
        <v>1417</v>
      </c>
      <c r="F179" s="5">
        <v>8.24</v>
      </c>
      <c r="H179" s="5">
        <v>0.53</v>
      </c>
    </row>
    <row r="180">
      <c r="A180" s="4" t="s">
        <v>1566</v>
      </c>
      <c r="B180" s="5">
        <v>3263.0</v>
      </c>
      <c r="C180" s="5">
        <v>16.9</v>
      </c>
      <c r="D180" s="5">
        <v>11.1</v>
      </c>
      <c r="E180" s="5" t="s">
        <v>1417</v>
      </c>
      <c r="F180" s="5">
        <v>9.69</v>
      </c>
      <c r="H180" s="5">
        <v>1.04</v>
      </c>
    </row>
    <row r="181">
      <c r="A181" s="4" t="s">
        <v>1342</v>
      </c>
      <c r="B181" s="5">
        <v>3255.0</v>
      </c>
      <c r="C181" s="5">
        <v>15.5</v>
      </c>
      <c r="D181" s="5">
        <v>7.8</v>
      </c>
      <c r="E181" s="5" t="s">
        <v>1417</v>
      </c>
      <c r="F181" s="5">
        <v>9.04</v>
      </c>
      <c r="H181" s="5">
        <v>0.45</v>
      </c>
    </row>
    <row r="182">
      <c r="A182" s="4" t="s">
        <v>769</v>
      </c>
      <c r="B182" s="5">
        <v>3266.0</v>
      </c>
      <c r="C182" s="5">
        <v>17.7</v>
      </c>
      <c r="D182" s="5">
        <v>14.4</v>
      </c>
      <c r="E182" s="5" t="s">
        <v>1417</v>
      </c>
      <c r="F182" s="5">
        <v>9.47</v>
      </c>
      <c r="H182" s="5">
        <v>0.73</v>
      </c>
    </row>
    <row r="183">
      <c r="A183" s="4" t="s">
        <v>1845</v>
      </c>
      <c r="B183" s="5" t="s">
        <v>1417</v>
      </c>
      <c r="C183" s="5" t="s">
        <v>1417</v>
      </c>
      <c r="D183" s="5" t="s">
        <v>1417</v>
      </c>
      <c r="E183" s="5" t="s">
        <v>1417</v>
      </c>
      <c r="F183" s="5" t="s">
        <v>1417</v>
      </c>
      <c r="G183" s="5" t="s">
        <v>1417</v>
      </c>
      <c r="H183" s="5"/>
    </row>
    <row r="184">
      <c r="A184" s="4"/>
    </row>
    <row r="185">
      <c r="A185" s="4" t="s">
        <v>771</v>
      </c>
      <c r="B185" s="5">
        <v>3330.0</v>
      </c>
      <c r="C185" s="5">
        <v>30.2</v>
      </c>
      <c r="D185" s="5">
        <v>11.5</v>
      </c>
      <c r="E185" s="5" t="s">
        <v>1417</v>
      </c>
      <c r="F185" s="5">
        <v>17.98</v>
      </c>
      <c r="H185" s="5">
        <v>7.79</v>
      </c>
    </row>
    <row r="186">
      <c r="A186" s="4" t="s">
        <v>772</v>
      </c>
      <c r="B186" s="5">
        <v>3329.0</v>
      </c>
      <c r="C186" s="5">
        <v>21.0</v>
      </c>
      <c r="D186" s="5">
        <v>16.6</v>
      </c>
      <c r="E186" s="5" t="s">
        <v>1417</v>
      </c>
      <c r="F186" s="5">
        <v>17.22</v>
      </c>
      <c r="H186" s="5">
        <v>6.48</v>
      </c>
    </row>
    <row r="187">
      <c r="A187" s="4" t="s">
        <v>773</v>
      </c>
      <c r="B187" s="5">
        <v>3328.0</v>
      </c>
      <c r="C187" s="5">
        <v>13.5</v>
      </c>
      <c r="D187" s="5">
        <v>17.3</v>
      </c>
      <c r="E187" s="5" t="s">
        <v>1417</v>
      </c>
      <c r="F187" s="5">
        <v>14.54</v>
      </c>
      <c r="H187" s="5">
        <v>2.74</v>
      </c>
    </row>
    <row r="188">
      <c r="A188" s="4" t="s">
        <v>774</v>
      </c>
      <c r="B188" s="5">
        <v>3324.0</v>
      </c>
      <c r="C188" s="5">
        <v>26.2</v>
      </c>
      <c r="D188" s="5">
        <v>20.7</v>
      </c>
      <c r="E188" s="5" t="s">
        <v>1417</v>
      </c>
      <c r="F188" s="5">
        <v>14.83</v>
      </c>
      <c r="H188" s="5">
        <v>3.23</v>
      </c>
    </row>
    <row r="189">
      <c r="A189" s="4" t="s">
        <v>1794</v>
      </c>
      <c r="B189" s="5">
        <v>3323.0</v>
      </c>
      <c r="C189" s="5">
        <v>34.1</v>
      </c>
      <c r="D189" s="5">
        <v>28.8</v>
      </c>
      <c r="E189" s="5" t="s">
        <v>1417</v>
      </c>
      <c r="F189" s="5">
        <v>11.53</v>
      </c>
      <c r="H189" s="5">
        <v>2.08</v>
      </c>
    </row>
    <row r="190">
      <c r="A190" s="4" t="s">
        <v>1354</v>
      </c>
      <c r="B190" s="5">
        <v>3326.0</v>
      </c>
      <c r="C190" s="5">
        <v>33.2</v>
      </c>
      <c r="D190" s="5">
        <v>20.4</v>
      </c>
      <c r="E190" s="5" t="s">
        <v>1417</v>
      </c>
      <c r="F190" s="5">
        <v>11.36</v>
      </c>
      <c r="H190" s="5">
        <v>1.55</v>
      </c>
    </row>
    <row r="191">
      <c r="A191" s="4" t="s">
        <v>1353</v>
      </c>
      <c r="B191" s="5">
        <v>3327.0</v>
      </c>
      <c r="C191" s="5">
        <v>35.9</v>
      </c>
      <c r="D191" s="5">
        <v>27.6</v>
      </c>
      <c r="E191" s="5" t="s">
        <v>1417</v>
      </c>
      <c r="F191" s="5">
        <v>12.57</v>
      </c>
      <c r="H191" s="5">
        <v>2.97</v>
      </c>
    </row>
    <row r="192">
      <c r="A192" s="4" t="s">
        <v>778</v>
      </c>
      <c r="B192" s="5">
        <v>3322.0</v>
      </c>
      <c r="C192" s="5">
        <v>23.2</v>
      </c>
      <c r="D192" s="5">
        <v>18.6</v>
      </c>
      <c r="E192" s="5" t="s">
        <v>1417</v>
      </c>
      <c r="F192" s="5">
        <v>12.63</v>
      </c>
      <c r="H192" s="5">
        <v>2.36</v>
      </c>
    </row>
    <row r="193">
      <c r="A193" s="4" t="s">
        <v>785</v>
      </c>
      <c r="B193" s="5">
        <v>3313.0</v>
      </c>
      <c r="C193" s="5">
        <v>24.8</v>
      </c>
      <c r="D193" s="5">
        <v>21.4</v>
      </c>
      <c r="E193" s="5" t="s">
        <v>1417</v>
      </c>
      <c r="F193" s="5">
        <v>10.95</v>
      </c>
      <c r="H193" s="5">
        <v>1.49</v>
      </c>
    </row>
    <row r="194">
      <c r="A194" s="4" t="s">
        <v>1798</v>
      </c>
      <c r="B194" s="5">
        <v>3307.0</v>
      </c>
      <c r="C194" s="5">
        <v>25.1</v>
      </c>
      <c r="D194" s="5">
        <v>19.9</v>
      </c>
      <c r="E194" s="5" t="s">
        <v>1417</v>
      </c>
      <c r="F194" s="5">
        <v>10.63</v>
      </c>
      <c r="H194" s="5">
        <v>1.29</v>
      </c>
    </row>
    <row r="195">
      <c r="A195" s="4" t="s">
        <v>779</v>
      </c>
      <c r="B195" s="5">
        <v>3308.0</v>
      </c>
      <c r="C195" s="5">
        <v>29.0</v>
      </c>
      <c r="D195" s="5">
        <v>18.1</v>
      </c>
      <c r="E195" s="5" t="s">
        <v>1417</v>
      </c>
      <c r="F195" s="5">
        <v>13.06</v>
      </c>
      <c r="H195" s="5">
        <v>2.42</v>
      </c>
    </row>
    <row r="196">
      <c r="A196" s="4" t="s">
        <v>1355</v>
      </c>
      <c r="B196" s="5">
        <v>3310.0</v>
      </c>
      <c r="C196" s="5">
        <v>25.6</v>
      </c>
      <c r="D196" s="5">
        <v>19.6</v>
      </c>
      <c r="E196" s="5" t="s">
        <v>1417</v>
      </c>
      <c r="F196" s="5">
        <v>9.05</v>
      </c>
      <c r="H196" s="5">
        <v>0.93</v>
      </c>
    </row>
    <row r="197">
      <c r="A197" s="4" t="s">
        <v>1356</v>
      </c>
      <c r="B197" s="5">
        <v>3316.0</v>
      </c>
      <c r="C197" s="5">
        <v>29.5</v>
      </c>
      <c r="D197" s="5">
        <v>18.7</v>
      </c>
      <c r="E197" s="5" t="s">
        <v>1417</v>
      </c>
      <c r="F197" s="5">
        <v>12.77</v>
      </c>
      <c r="H197" s="5">
        <v>2.68</v>
      </c>
    </row>
    <row r="198">
      <c r="A198" s="4" t="s">
        <v>1573</v>
      </c>
      <c r="B198" s="5">
        <v>3325.0</v>
      </c>
      <c r="C198" s="5">
        <v>35.6</v>
      </c>
      <c r="D198" s="5">
        <v>27.6</v>
      </c>
      <c r="E198" s="5" t="s">
        <v>1417</v>
      </c>
      <c r="F198" s="5">
        <v>8.78</v>
      </c>
      <c r="H198" s="5">
        <v>0.64</v>
      </c>
    </row>
    <row r="199">
      <c r="A199" s="4" t="s">
        <v>1846</v>
      </c>
      <c r="B199" s="5">
        <v>3318.0</v>
      </c>
      <c r="C199" s="5">
        <v>24.3</v>
      </c>
      <c r="D199" s="5">
        <v>20.0</v>
      </c>
      <c r="E199" s="5" t="s">
        <v>1417</v>
      </c>
      <c r="F199" s="5">
        <v>9.62</v>
      </c>
      <c r="H199" s="5">
        <v>1.17</v>
      </c>
    </row>
    <row r="200">
      <c r="A200" s="4" t="s">
        <v>780</v>
      </c>
      <c r="B200" s="5">
        <v>3303.0</v>
      </c>
      <c r="C200" s="5">
        <v>24.4</v>
      </c>
      <c r="D200" s="5">
        <v>16.8</v>
      </c>
      <c r="E200" s="5" t="s">
        <v>1417</v>
      </c>
      <c r="F200" s="5">
        <v>6.15</v>
      </c>
      <c r="H200" s="5">
        <v>0.18</v>
      </c>
    </row>
    <row r="201">
      <c r="A201" s="4" t="s">
        <v>781</v>
      </c>
      <c r="B201" s="5">
        <v>3320.0</v>
      </c>
      <c r="C201" s="5">
        <v>24.9</v>
      </c>
      <c r="D201" s="5">
        <v>24.6</v>
      </c>
      <c r="E201" s="5" t="s">
        <v>1417</v>
      </c>
      <c r="F201" s="5">
        <v>8.44</v>
      </c>
      <c r="H201" s="5">
        <v>0.88</v>
      </c>
    </row>
    <row r="202">
      <c r="A202" s="4" t="s">
        <v>1803</v>
      </c>
      <c r="B202" s="5">
        <v>3306.0</v>
      </c>
      <c r="C202" s="5">
        <v>18.6</v>
      </c>
      <c r="D202" s="5">
        <v>16.3</v>
      </c>
      <c r="E202" s="5" t="s">
        <v>1417</v>
      </c>
      <c r="F202" s="5">
        <v>9.07</v>
      </c>
      <c r="H202" s="5">
        <v>0.99</v>
      </c>
    </row>
    <row r="203">
      <c r="A203" s="4" t="s">
        <v>1357</v>
      </c>
      <c r="B203" s="5">
        <v>3305.0</v>
      </c>
      <c r="C203" s="5">
        <v>24.2</v>
      </c>
      <c r="D203" s="5">
        <v>17.7</v>
      </c>
      <c r="E203" s="5" t="s">
        <v>1417</v>
      </c>
      <c r="F203" s="5">
        <v>9.11</v>
      </c>
      <c r="H203" s="5">
        <v>1.0</v>
      </c>
    </row>
    <row r="204">
      <c r="A204" s="4" t="s">
        <v>1574</v>
      </c>
      <c r="B204" s="5">
        <v>3321.0</v>
      </c>
      <c r="C204" s="5">
        <v>20.4</v>
      </c>
      <c r="D204" s="5">
        <v>14.9</v>
      </c>
      <c r="E204" s="5" t="s">
        <v>1417</v>
      </c>
      <c r="F204" s="5">
        <v>10.33</v>
      </c>
      <c r="H204" s="5">
        <v>1.24</v>
      </c>
    </row>
    <row r="205">
      <c r="A205" s="4" t="s">
        <v>786</v>
      </c>
      <c r="B205" s="5">
        <v>3312.0</v>
      </c>
      <c r="C205" s="5">
        <v>24.5</v>
      </c>
      <c r="D205" s="5">
        <v>17.1</v>
      </c>
      <c r="E205" s="5" t="s">
        <v>1417</v>
      </c>
      <c r="F205" s="5">
        <v>9.36</v>
      </c>
      <c r="H205" s="5">
        <v>1.16</v>
      </c>
    </row>
    <row r="206">
      <c r="A206" s="4" t="s">
        <v>1360</v>
      </c>
      <c r="B206" s="5">
        <v>3302.0</v>
      </c>
      <c r="C206" s="5">
        <v>11.8</v>
      </c>
      <c r="D206" s="5">
        <v>8.9</v>
      </c>
      <c r="E206" s="5" t="s">
        <v>1417</v>
      </c>
      <c r="F206" s="5">
        <v>9.33</v>
      </c>
      <c r="H206" s="5">
        <v>1.01</v>
      </c>
    </row>
    <row r="207">
      <c r="A207" s="4" t="s">
        <v>1802</v>
      </c>
      <c r="B207" s="5">
        <v>3301.0</v>
      </c>
      <c r="C207" s="5">
        <v>21.6</v>
      </c>
      <c r="D207" s="5">
        <v>15.9</v>
      </c>
      <c r="E207" s="5" t="s">
        <v>1417</v>
      </c>
      <c r="F207" s="5">
        <v>7.86</v>
      </c>
      <c r="H207" s="5">
        <v>0.42</v>
      </c>
    </row>
    <row r="208">
      <c r="A208" s="4" t="s">
        <v>794</v>
      </c>
      <c r="B208" s="5">
        <v>3319.0</v>
      </c>
      <c r="C208" s="5">
        <v>17.6</v>
      </c>
      <c r="D208" s="5">
        <v>14.3</v>
      </c>
      <c r="E208" s="5" t="s">
        <v>1417</v>
      </c>
      <c r="F208" s="5">
        <v>9.49</v>
      </c>
      <c r="H208" s="5">
        <v>0.77</v>
      </c>
    </row>
    <row r="209">
      <c r="A209" s="4" t="s">
        <v>1361</v>
      </c>
      <c r="B209" s="5">
        <v>3304.0</v>
      </c>
      <c r="C209" s="5">
        <v>18.0</v>
      </c>
      <c r="D209" s="5">
        <v>14.3</v>
      </c>
      <c r="E209" s="5" t="s">
        <v>1417</v>
      </c>
      <c r="F209" s="5">
        <v>8.63</v>
      </c>
      <c r="H209" s="5">
        <v>0.71</v>
      </c>
    </row>
    <row r="210">
      <c r="A210" s="4" t="s">
        <v>1847</v>
      </c>
      <c r="B210" s="5">
        <v>3317.0</v>
      </c>
      <c r="C210" s="5">
        <v>18.8</v>
      </c>
      <c r="D210" s="5">
        <v>1.2</v>
      </c>
      <c r="E210" s="5" t="s">
        <v>1417</v>
      </c>
      <c r="F210" s="5">
        <v>8.75</v>
      </c>
      <c r="H210" s="5">
        <v>0.54</v>
      </c>
    </row>
    <row r="211">
      <c r="A211" s="4" t="s">
        <v>792</v>
      </c>
      <c r="B211" s="5">
        <v>3314.0</v>
      </c>
      <c r="C211" s="5">
        <v>22.4</v>
      </c>
      <c r="D211" s="5">
        <v>7.5</v>
      </c>
      <c r="E211" s="5">
        <v>6.2</v>
      </c>
      <c r="F211" s="5">
        <v>8.58</v>
      </c>
      <c r="H211" s="5">
        <v>0.72</v>
      </c>
    </row>
    <row r="212">
      <c r="A212" s="4" t="s">
        <v>1848</v>
      </c>
      <c r="B212" s="5">
        <v>3315.0</v>
      </c>
      <c r="C212" s="5">
        <v>19.0</v>
      </c>
      <c r="D212" s="5">
        <v>14.6</v>
      </c>
      <c r="E212" s="5" t="s">
        <v>1417</v>
      </c>
      <c r="F212" s="5">
        <v>7.42</v>
      </c>
      <c r="H212" s="5">
        <v>0.53</v>
      </c>
    </row>
    <row r="213">
      <c r="A213" s="4" t="s">
        <v>1577</v>
      </c>
      <c r="B213" s="5">
        <v>3309.0</v>
      </c>
      <c r="C213" s="5">
        <v>20.8</v>
      </c>
      <c r="D213" s="5">
        <v>12.2</v>
      </c>
      <c r="E213" s="5" t="s">
        <v>1417</v>
      </c>
      <c r="F213" s="5">
        <v>9.5</v>
      </c>
      <c r="H213" s="5">
        <v>1.13</v>
      </c>
    </row>
    <row r="214">
      <c r="A214" s="4" t="s">
        <v>791</v>
      </c>
      <c r="B214" s="5">
        <v>3311.0</v>
      </c>
      <c r="C214" s="5">
        <v>16.5</v>
      </c>
      <c r="D214" s="5">
        <v>12.9</v>
      </c>
      <c r="E214" s="5" t="s">
        <v>1417</v>
      </c>
      <c r="F214" s="5">
        <v>8.29</v>
      </c>
      <c r="H214" s="5">
        <v>0.89</v>
      </c>
    </row>
    <row r="215">
      <c r="A215" s="4"/>
    </row>
    <row r="216">
      <c r="A216" s="4" t="s">
        <v>796</v>
      </c>
      <c r="B216" s="5">
        <v>3300.0</v>
      </c>
      <c r="C216" s="5">
        <v>35.4</v>
      </c>
      <c r="D216" s="5">
        <v>18.2</v>
      </c>
      <c r="E216" s="5" t="s">
        <v>1417</v>
      </c>
      <c r="F216" s="5">
        <v>19.06</v>
      </c>
      <c r="H216" s="5">
        <v>4.74</v>
      </c>
    </row>
    <row r="217">
      <c r="A217" s="4" t="s">
        <v>1366</v>
      </c>
      <c r="B217" s="5">
        <v>3298.0</v>
      </c>
      <c r="C217" s="5">
        <v>26.3</v>
      </c>
      <c r="D217" s="5">
        <v>17.1</v>
      </c>
      <c r="E217" s="5" t="s">
        <v>1417</v>
      </c>
      <c r="F217" s="5">
        <v>13.1</v>
      </c>
      <c r="H217" s="5">
        <v>2.65</v>
      </c>
    </row>
    <row r="218">
      <c r="A218" s="4" t="s">
        <v>1369</v>
      </c>
      <c r="B218" s="5">
        <v>3297.0</v>
      </c>
      <c r="C218" s="5">
        <v>27.6</v>
      </c>
      <c r="D218" s="5">
        <v>24.8</v>
      </c>
      <c r="E218" s="5" t="s">
        <v>1417</v>
      </c>
      <c r="F218" s="5">
        <v>10.27</v>
      </c>
      <c r="H218" s="5">
        <v>1.4</v>
      </c>
    </row>
    <row r="219">
      <c r="A219" s="4" t="s">
        <v>797</v>
      </c>
      <c r="B219" s="5">
        <v>3299.0</v>
      </c>
      <c r="C219" s="5">
        <v>32.0</v>
      </c>
      <c r="D219" s="5">
        <v>25.2</v>
      </c>
      <c r="E219" s="5" t="s">
        <v>1417</v>
      </c>
      <c r="F219" s="5">
        <v>15.59</v>
      </c>
      <c r="H219" s="5">
        <v>3.16</v>
      </c>
    </row>
    <row r="220">
      <c r="A220" s="4" t="s">
        <v>798</v>
      </c>
      <c r="B220" s="5">
        <v>3294.0</v>
      </c>
      <c r="C220" s="5">
        <v>29.4</v>
      </c>
      <c r="D220" s="5">
        <v>18.3</v>
      </c>
      <c r="E220" s="5" t="s">
        <v>1417</v>
      </c>
      <c r="F220" s="5">
        <v>11.18</v>
      </c>
      <c r="H220" s="5">
        <v>2.17</v>
      </c>
    </row>
    <row r="221">
      <c r="A221" s="4" t="s">
        <v>1373</v>
      </c>
      <c r="B221" s="5">
        <v>3296.0</v>
      </c>
      <c r="C221" s="5">
        <v>21.4</v>
      </c>
      <c r="D221" s="5">
        <v>17.0</v>
      </c>
      <c r="E221" s="5" t="s">
        <v>1417</v>
      </c>
      <c r="F221" s="5">
        <v>9.55</v>
      </c>
      <c r="H221" s="5">
        <v>1.31</v>
      </c>
    </row>
    <row r="222">
      <c r="A222" s="4" t="s">
        <v>800</v>
      </c>
      <c r="B222" s="5">
        <v>3293.0</v>
      </c>
      <c r="C222" s="5">
        <v>21.9</v>
      </c>
      <c r="D222" s="5">
        <v>18.6</v>
      </c>
      <c r="E222" s="5" t="s">
        <v>1417</v>
      </c>
      <c r="F222" s="5">
        <v>11.17</v>
      </c>
      <c r="H222" s="5">
        <v>1.82</v>
      </c>
    </row>
    <row r="223">
      <c r="A223" s="4" t="s">
        <v>1378</v>
      </c>
      <c r="B223" s="5">
        <v>3295.0</v>
      </c>
      <c r="C223" s="5">
        <v>18.9</v>
      </c>
      <c r="D223" s="5">
        <v>16.7</v>
      </c>
      <c r="E223" s="5" t="s">
        <v>1417</v>
      </c>
      <c r="F223" s="5">
        <v>9.39</v>
      </c>
      <c r="H223" s="5">
        <v>0.74</v>
      </c>
    </row>
    <row r="224">
      <c r="A224" s="4"/>
    </row>
    <row r="225">
      <c r="A225" s="4" t="s">
        <v>808</v>
      </c>
      <c r="B225" s="5">
        <v>3292.0</v>
      </c>
      <c r="C225" s="5">
        <v>34.2</v>
      </c>
      <c r="D225" s="5">
        <v>17.1</v>
      </c>
      <c r="E225" s="5" t="s">
        <v>1417</v>
      </c>
      <c r="F225" s="5">
        <v>13.88</v>
      </c>
      <c r="H225" s="5">
        <v>5.46</v>
      </c>
    </row>
    <row r="226">
      <c r="A226" s="4" t="s">
        <v>809</v>
      </c>
      <c r="B226" s="5">
        <v>3291.0</v>
      </c>
      <c r="C226" s="5">
        <v>32.7</v>
      </c>
      <c r="D226" s="5">
        <v>25.1</v>
      </c>
      <c r="E226" s="5" t="s">
        <v>1417</v>
      </c>
      <c r="F226" s="5">
        <v>12.91</v>
      </c>
      <c r="H226" s="5">
        <v>2.9</v>
      </c>
    </row>
    <row r="227">
      <c r="A227" s="4" t="s">
        <v>812</v>
      </c>
      <c r="B227" s="5">
        <v>3288.0</v>
      </c>
      <c r="C227" s="5">
        <v>30.5</v>
      </c>
      <c r="D227" s="5">
        <v>26.3</v>
      </c>
      <c r="E227" s="5" t="s">
        <v>1417</v>
      </c>
      <c r="F227" s="5">
        <v>11.96</v>
      </c>
      <c r="H227" s="5">
        <v>1.93</v>
      </c>
    </row>
    <row r="228">
      <c r="A228" s="4" t="s">
        <v>810</v>
      </c>
      <c r="B228" s="5">
        <v>3290.0</v>
      </c>
      <c r="C228" s="5">
        <v>25.8</v>
      </c>
      <c r="D228" s="5">
        <v>20.2</v>
      </c>
      <c r="E228" s="5" t="s">
        <v>1417</v>
      </c>
      <c r="F228" s="5">
        <v>10.88</v>
      </c>
      <c r="H228" s="5">
        <v>1.62</v>
      </c>
    </row>
    <row r="229">
      <c r="A229" s="4" t="s">
        <v>813</v>
      </c>
      <c r="B229" s="5">
        <v>3287.0</v>
      </c>
      <c r="C229" s="5">
        <v>29.3</v>
      </c>
      <c r="D229" s="5">
        <v>21.8</v>
      </c>
      <c r="E229" s="5" t="s">
        <v>1417</v>
      </c>
      <c r="F229" s="5">
        <v>9.4</v>
      </c>
      <c r="H229" s="5">
        <v>0.87</v>
      </c>
    </row>
    <row r="230">
      <c r="A230" s="4" t="s">
        <v>818</v>
      </c>
      <c r="B230" s="5">
        <v>3289.0</v>
      </c>
      <c r="C230" s="5">
        <v>22.5</v>
      </c>
      <c r="D230" s="5">
        <v>15.3</v>
      </c>
      <c r="E230" s="5" t="s">
        <v>1417</v>
      </c>
      <c r="F230" s="5">
        <v>10.07</v>
      </c>
      <c r="H230" s="5">
        <v>0.96</v>
      </c>
    </row>
    <row r="231">
      <c r="A231" s="4" t="s">
        <v>816</v>
      </c>
      <c r="B231" s="5">
        <v>3286.0</v>
      </c>
      <c r="C231" s="5">
        <v>23.1</v>
      </c>
      <c r="D231" s="5">
        <v>17.7</v>
      </c>
      <c r="E231" s="5" t="s">
        <v>1417</v>
      </c>
      <c r="F231" s="5">
        <v>9.85</v>
      </c>
      <c r="H231" s="5">
        <v>0.74</v>
      </c>
    </row>
    <row r="232">
      <c r="A232" s="4"/>
    </row>
    <row r="233">
      <c r="A233" s="4" t="s">
        <v>837</v>
      </c>
      <c r="B233" s="5">
        <v>3285.0</v>
      </c>
      <c r="C233" s="5">
        <v>41.2</v>
      </c>
      <c r="D233" s="5">
        <v>16.1</v>
      </c>
      <c r="E233" s="5" t="s">
        <v>1417</v>
      </c>
      <c r="F233" s="5">
        <v>10.85</v>
      </c>
      <c r="H233" s="5">
        <v>1.58</v>
      </c>
    </row>
    <row r="234">
      <c r="A234" s="4" t="s">
        <v>838</v>
      </c>
      <c r="B234" s="5">
        <v>3284.0</v>
      </c>
      <c r="C234" s="5">
        <v>24.3</v>
      </c>
      <c r="D234" s="5">
        <v>19.7</v>
      </c>
      <c r="E234" s="5" t="s">
        <v>1417</v>
      </c>
      <c r="F234" s="5">
        <v>12.26</v>
      </c>
      <c r="H234" s="5">
        <v>2.01</v>
      </c>
    </row>
    <row r="235">
      <c r="A235" s="4" t="s">
        <v>839</v>
      </c>
      <c r="B235" s="5">
        <v>3283.0</v>
      </c>
      <c r="C235" s="5">
        <v>26.2</v>
      </c>
      <c r="D235" s="5">
        <v>18.6</v>
      </c>
      <c r="E235" s="5" t="s">
        <v>1417</v>
      </c>
      <c r="F235" s="5">
        <v>10.7</v>
      </c>
      <c r="H235" s="5">
        <v>1.09</v>
      </c>
    </row>
    <row r="236">
      <c r="A236" s="4" t="s">
        <v>1395</v>
      </c>
      <c r="B236" s="5">
        <v>3282.0</v>
      </c>
      <c r="C236" s="5">
        <v>25.7</v>
      </c>
      <c r="D236" s="5">
        <v>19.8</v>
      </c>
      <c r="E236" s="5" t="s">
        <v>1417</v>
      </c>
      <c r="F236" s="5">
        <v>7.51</v>
      </c>
      <c r="H236" s="5">
        <v>0.43</v>
      </c>
    </row>
    <row r="237">
      <c r="A237" s="4"/>
    </row>
    <row r="238">
      <c r="A238" s="4" t="s">
        <v>857</v>
      </c>
      <c r="B238" s="5">
        <v>3252.0</v>
      </c>
      <c r="C238" s="5">
        <v>33.9</v>
      </c>
      <c r="D238" s="5">
        <v>21.5</v>
      </c>
      <c r="E238" s="5" t="s">
        <v>1417</v>
      </c>
      <c r="F238" s="5">
        <v>9.48</v>
      </c>
      <c r="H238" s="5">
        <v>1.09</v>
      </c>
    </row>
    <row r="239">
      <c r="A239" s="4" t="s">
        <v>858</v>
      </c>
      <c r="B239" s="5">
        <v>3253.0</v>
      </c>
      <c r="C239" s="5">
        <v>27.3</v>
      </c>
      <c r="D239" s="5">
        <v>20.8</v>
      </c>
      <c r="E239" s="5" t="s">
        <v>1417</v>
      </c>
      <c r="F239" s="5">
        <v>10.43</v>
      </c>
      <c r="H239" s="5">
        <v>1.23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1416</v>
      </c>
      <c r="G1" s="2" t="s">
        <v>5</v>
      </c>
      <c r="H1" s="2" t="s">
        <v>6</v>
      </c>
      <c r="I1" s="2" t="s">
        <v>7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A2" s="4" t="s">
        <v>8</v>
      </c>
      <c r="B2" s="5">
        <v>2252.0</v>
      </c>
      <c r="C2" s="5">
        <v>18.6</v>
      </c>
      <c r="D2" s="5">
        <v>13.7</v>
      </c>
      <c r="G2" s="5">
        <v>14.79</v>
      </c>
      <c r="H2" s="5">
        <v>1.0</v>
      </c>
      <c r="I2" s="5">
        <v>8.3</v>
      </c>
    </row>
    <row r="3">
      <c r="A3" s="4" t="s">
        <v>9</v>
      </c>
      <c r="B3" s="5">
        <v>2250.0</v>
      </c>
      <c r="C3" s="5">
        <v>17.7</v>
      </c>
      <c r="D3" s="5">
        <v>16.2</v>
      </c>
      <c r="G3" s="5">
        <v>16.08</v>
      </c>
      <c r="I3" s="5">
        <v>6.32</v>
      </c>
      <c r="K3" s="2" t="s">
        <v>10</v>
      </c>
    </row>
    <row r="4">
      <c r="A4" s="4" t="s">
        <v>11</v>
      </c>
      <c r="B4" s="5">
        <v>2249.0</v>
      </c>
      <c r="C4" s="5">
        <v>25.2</v>
      </c>
      <c r="D4" s="5">
        <v>24.3</v>
      </c>
      <c r="G4" s="5">
        <v>12.8</v>
      </c>
      <c r="I4" s="5">
        <v>4.11</v>
      </c>
      <c r="K4" s="6">
        <f>counta(I2:I1002)</f>
        <v>245</v>
      </c>
    </row>
    <row r="5">
      <c r="A5" s="4" t="s">
        <v>13</v>
      </c>
      <c r="B5" s="5">
        <v>2251.0</v>
      </c>
      <c r="C5" s="5">
        <v>26.0</v>
      </c>
      <c r="D5" s="5">
        <v>30.6</v>
      </c>
      <c r="G5" s="5">
        <v>12.85</v>
      </c>
      <c r="I5" s="5">
        <v>2.97</v>
      </c>
    </row>
    <row r="6">
      <c r="A6" s="4" t="s">
        <v>15</v>
      </c>
      <c r="B6" s="5">
        <v>2246.0</v>
      </c>
      <c r="C6" s="5">
        <v>26.6</v>
      </c>
      <c r="D6" s="5">
        <v>21.2</v>
      </c>
      <c r="G6" s="5">
        <v>13.66</v>
      </c>
      <c r="I6" s="5">
        <v>2.4</v>
      </c>
      <c r="K6" s="2" t="s">
        <v>14</v>
      </c>
    </row>
    <row r="7">
      <c r="A7" s="4" t="s">
        <v>17</v>
      </c>
      <c r="B7" s="5">
        <v>2248.0</v>
      </c>
      <c r="C7" s="5">
        <v>24.6</v>
      </c>
      <c r="D7" s="5">
        <v>20.2</v>
      </c>
      <c r="G7" s="5">
        <v>12.99</v>
      </c>
      <c r="I7" s="5">
        <v>2.3</v>
      </c>
      <c r="K7" s="6">
        <f>counta(I2:I96)</f>
        <v>68</v>
      </c>
    </row>
    <row r="8">
      <c r="A8" s="4" t="s">
        <v>1203</v>
      </c>
      <c r="J8" s="5" t="s">
        <v>1849</v>
      </c>
      <c r="K8" s="6">
        <f>sum(I2:I96)/K7</f>
        <v>2.082352941</v>
      </c>
    </row>
    <row r="9">
      <c r="A9" s="4" t="s">
        <v>30</v>
      </c>
      <c r="B9" s="5">
        <v>2243.0</v>
      </c>
      <c r="C9" s="5">
        <v>12.7</v>
      </c>
      <c r="D9" s="5">
        <v>11.4</v>
      </c>
      <c r="G9" s="5">
        <v>7.19</v>
      </c>
      <c r="I9" s="5">
        <v>0.37</v>
      </c>
    </row>
    <row r="10">
      <c r="A10" s="4" t="s">
        <v>24</v>
      </c>
      <c r="B10" s="5">
        <v>2244.0</v>
      </c>
      <c r="C10" s="5">
        <v>22.6</v>
      </c>
      <c r="D10" s="5">
        <v>13.6</v>
      </c>
      <c r="G10" s="5">
        <v>9.5</v>
      </c>
      <c r="I10" s="5">
        <v>1.45</v>
      </c>
    </row>
    <row r="11">
      <c r="A11" s="4" t="s">
        <v>25</v>
      </c>
      <c r="B11" s="5">
        <v>2247.0</v>
      </c>
      <c r="C11" s="5">
        <v>26.9</v>
      </c>
      <c r="D11" s="5">
        <v>20.1</v>
      </c>
      <c r="G11" s="5">
        <v>11.09</v>
      </c>
      <c r="I11" s="5">
        <v>1.03</v>
      </c>
    </row>
    <row r="12">
      <c r="A12" s="4" t="s">
        <v>38</v>
      </c>
      <c r="B12" s="5">
        <v>2245.0</v>
      </c>
      <c r="C12" s="5">
        <v>15.8</v>
      </c>
      <c r="D12" s="5">
        <v>12.7</v>
      </c>
      <c r="G12" s="5">
        <v>8.5</v>
      </c>
      <c r="I12" s="5">
        <v>0.71</v>
      </c>
    </row>
    <row r="13">
      <c r="A13" s="4"/>
    </row>
    <row r="14">
      <c r="A14" s="4" t="s">
        <v>50</v>
      </c>
      <c r="B14" s="5">
        <v>2273.0</v>
      </c>
      <c r="C14" s="5">
        <v>24.1</v>
      </c>
      <c r="D14" s="5">
        <v>10.4</v>
      </c>
      <c r="G14" s="5">
        <v>14.01</v>
      </c>
    </row>
    <row r="15">
      <c r="A15" s="4" t="s">
        <v>51</v>
      </c>
      <c r="B15" s="5">
        <v>2272.0</v>
      </c>
      <c r="C15" s="5">
        <v>17.8</v>
      </c>
      <c r="D15" s="5">
        <v>16.5</v>
      </c>
      <c r="G15" s="5">
        <v>18.34</v>
      </c>
      <c r="I15" s="5">
        <v>6.02</v>
      </c>
    </row>
    <row r="16">
      <c r="A16" s="4" t="s">
        <v>53</v>
      </c>
      <c r="B16" s="5">
        <v>2267.0</v>
      </c>
      <c r="C16" s="5">
        <v>24.5</v>
      </c>
      <c r="D16" s="5">
        <v>21.6</v>
      </c>
      <c r="G16" s="5">
        <v>17.19</v>
      </c>
      <c r="I16" s="5">
        <v>4.14</v>
      </c>
    </row>
    <row r="17">
      <c r="A17" s="4" t="s">
        <v>1220</v>
      </c>
      <c r="B17" s="5">
        <v>2270.0</v>
      </c>
      <c r="C17" s="5">
        <v>25.8</v>
      </c>
      <c r="D17" s="5">
        <v>24.2</v>
      </c>
      <c r="G17" s="5">
        <v>11.3</v>
      </c>
      <c r="I17" s="5">
        <v>2.2</v>
      </c>
    </row>
    <row r="18">
      <c r="A18" s="4" t="s">
        <v>52</v>
      </c>
      <c r="B18" s="5">
        <v>2271.0</v>
      </c>
      <c r="C18" s="5">
        <v>14.1</v>
      </c>
      <c r="D18" s="5">
        <v>16.7</v>
      </c>
      <c r="G18" s="5">
        <v>10.89</v>
      </c>
      <c r="I18" s="5">
        <v>2.29</v>
      </c>
    </row>
    <row r="19">
      <c r="A19" s="4" t="s">
        <v>55</v>
      </c>
      <c r="B19" s="5">
        <v>2269.0</v>
      </c>
      <c r="C19" s="5">
        <v>25.3</v>
      </c>
      <c r="D19" s="5">
        <v>24.2</v>
      </c>
      <c r="G19" s="5">
        <v>12.92</v>
      </c>
      <c r="I19" s="5">
        <v>2.27</v>
      </c>
    </row>
    <row r="20">
      <c r="A20" s="4" t="s">
        <v>1419</v>
      </c>
      <c r="B20" s="5">
        <v>2261.0</v>
      </c>
      <c r="C20" s="5">
        <v>28.3</v>
      </c>
      <c r="D20" s="5">
        <v>22.1</v>
      </c>
      <c r="G20" s="5">
        <v>11.49</v>
      </c>
      <c r="I20" s="5">
        <v>2.08</v>
      </c>
    </row>
    <row r="21">
      <c r="A21" s="4" t="s">
        <v>56</v>
      </c>
      <c r="B21" s="5">
        <v>2266.0</v>
      </c>
      <c r="C21" s="5">
        <v>29.9</v>
      </c>
      <c r="D21" s="5">
        <v>29.9</v>
      </c>
      <c r="G21" s="5">
        <v>10.08</v>
      </c>
      <c r="I21" s="5">
        <v>0.94</v>
      </c>
    </row>
    <row r="22">
      <c r="A22" s="4" t="s">
        <v>1223</v>
      </c>
      <c r="B22" s="5">
        <v>2263.0</v>
      </c>
      <c r="C22" s="5">
        <v>22.4</v>
      </c>
      <c r="D22" s="5">
        <v>22.1</v>
      </c>
      <c r="G22" s="5">
        <v>11.16</v>
      </c>
      <c r="I22" s="5">
        <v>1.08</v>
      </c>
    </row>
    <row r="23">
      <c r="A23" s="4" t="s">
        <v>1221</v>
      </c>
      <c r="B23" s="5">
        <v>2268.0</v>
      </c>
      <c r="C23" s="5">
        <v>31.6</v>
      </c>
      <c r="D23" s="5">
        <v>31.9</v>
      </c>
      <c r="G23" s="5">
        <v>11.63</v>
      </c>
      <c r="I23" s="5">
        <v>2.31</v>
      </c>
    </row>
    <row r="24">
      <c r="A24" s="4" t="s">
        <v>1224</v>
      </c>
      <c r="B24" s="5">
        <v>2265.0</v>
      </c>
      <c r="C24" s="5">
        <v>24.6</v>
      </c>
      <c r="D24" s="5">
        <v>20.9</v>
      </c>
      <c r="G24" s="5">
        <v>10.53</v>
      </c>
      <c r="I24" s="5">
        <v>1.3</v>
      </c>
    </row>
    <row r="25">
      <c r="A25" s="4" t="s">
        <v>60</v>
      </c>
      <c r="B25" s="5">
        <v>2264.0</v>
      </c>
      <c r="C25" s="5">
        <v>25.6</v>
      </c>
      <c r="D25" s="5">
        <v>22.1</v>
      </c>
      <c r="G25" s="5">
        <v>11.4</v>
      </c>
      <c r="I25" s="5">
        <v>1.67</v>
      </c>
    </row>
    <row r="26">
      <c r="A26" s="4" t="s">
        <v>1420</v>
      </c>
      <c r="B26" s="5">
        <v>2253.0</v>
      </c>
      <c r="C26" s="5">
        <v>19.1</v>
      </c>
      <c r="D26" s="5">
        <v>15.5</v>
      </c>
      <c r="G26" s="5">
        <v>2.8</v>
      </c>
      <c r="I26" s="5">
        <v>0.04</v>
      </c>
    </row>
    <row r="27">
      <c r="A27" s="4" t="s">
        <v>1228</v>
      </c>
      <c r="B27" s="5">
        <v>2258.0</v>
      </c>
      <c r="C27" s="5">
        <v>17.0</v>
      </c>
      <c r="D27" s="5">
        <v>15.0</v>
      </c>
      <c r="G27" s="5">
        <v>7.92</v>
      </c>
      <c r="I27" s="5">
        <v>0.48</v>
      </c>
    </row>
    <row r="28">
      <c r="A28" s="4" t="s">
        <v>1226</v>
      </c>
      <c r="B28" s="5">
        <v>2256.0</v>
      </c>
      <c r="C28" s="5">
        <v>19.9</v>
      </c>
      <c r="D28" s="5">
        <v>16.1</v>
      </c>
      <c r="G28" s="5">
        <v>8.8</v>
      </c>
      <c r="I28" s="5">
        <v>0.49</v>
      </c>
    </row>
    <row r="29">
      <c r="A29" s="4" t="s">
        <v>59</v>
      </c>
      <c r="B29" s="5">
        <v>2259.0</v>
      </c>
      <c r="C29" s="5">
        <v>23.1</v>
      </c>
      <c r="D29" s="5">
        <v>24.0</v>
      </c>
      <c r="G29" s="5">
        <v>8.38</v>
      </c>
      <c r="I29" s="5">
        <v>0.71</v>
      </c>
    </row>
    <row r="30">
      <c r="A30" s="4" t="s">
        <v>61</v>
      </c>
      <c r="B30" s="5">
        <v>2260.0</v>
      </c>
      <c r="C30" s="5">
        <v>17.5</v>
      </c>
      <c r="D30" s="5">
        <v>13.8</v>
      </c>
      <c r="G30" s="5">
        <v>6.98</v>
      </c>
      <c r="I30" s="5">
        <v>0.36</v>
      </c>
    </row>
    <row r="31">
      <c r="A31" s="4" t="s">
        <v>57</v>
      </c>
      <c r="B31" s="5">
        <v>2255.0</v>
      </c>
      <c r="C31" s="5">
        <v>15.0</v>
      </c>
      <c r="D31" s="5">
        <v>15.4</v>
      </c>
      <c r="G31" s="5">
        <v>6.66</v>
      </c>
      <c r="I31" s="5">
        <v>0.63</v>
      </c>
    </row>
    <row r="32">
      <c r="A32" s="4" t="s">
        <v>1421</v>
      </c>
      <c r="B32" s="5">
        <v>2262.0</v>
      </c>
      <c r="C32" s="5">
        <v>13.6</v>
      </c>
      <c r="D32" s="5">
        <v>11.6</v>
      </c>
      <c r="G32" s="5">
        <v>6.96</v>
      </c>
      <c r="I32" s="5">
        <v>0.34</v>
      </c>
    </row>
    <row r="33">
      <c r="A33" s="4" t="s">
        <v>1424</v>
      </c>
      <c r="B33" s="5">
        <v>2257.0</v>
      </c>
      <c r="C33" s="5">
        <v>7.2</v>
      </c>
      <c r="D33" s="5">
        <v>6.9</v>
      </c>
      <c r="G33" s="5">
        <v>7.05</v>
      </c>
      <c r="I33" s="5">
        <v>0.26</v>
      </c>
    </row>
    <row r="34">
      <c r="A34" s="4" t="s">
        <v>71</v>
      </c>
      <c r="B34" s="5">
        <v>2254.0</v>
      </c>
      <c r="C34" s="5">
        <v>9.5</v>
      </c>
      <c r="D34" s="5">
        <v>6.8</v>
      </c>
      <c r="G34" s="5">
        <v>7.06</v>
      </c>
      <c r="I34" s="5">
        <v>0.31</v>
      </c>
    </row>
    <row r="35">
      <c r="A35" s="4"/>
    </row>
    <row r="36">
      <c r="A36" s="4" t="s">
        <v>93</v>
      </c>
      <c r="B36" s="5">
        <v>2295.0</v>
      </c>
      <c r="C36" s="5">
        <v>11.0</v>
      </c>
      <c r="D36" s="5">
        <v>12.2</v>
      </c>
      <c r="G36" s="5">
        <v>19.05</v>
      </c>
      <c r="I36" s="5">
        <v>8.52</v>
      </c>
    </row>
    <row r="37">
      <c r="A37" s="4" t="s">
        <v>1231</v>
      </c>
      <c r="B37" s="5">
        <v>2294.0</v>
      </c>
      <c r="C37" s="5">
        <v>19.9</v>
      </c>
      <c r="D37" s="5">
        <v>16.6</v>
      </c>
      <c r="G37" s="5">
        <v>15.86</v>
      </c>
      <c r="I37" s="5">
        <v>5.41</v>
      </c>
    </row>
    <row r="38">
      <c r="A38" s="4" t="s">
        <v>1233</v>
      </c>
      <c r="B38" s="5">
        <v>2283.0</v>
      </c>
      <c r="C38" s="5">
        <v>23.0</v>
      </c>
      <c r="D38" s="5">
        <v>21.8</v>
      </c>
      <c r="G38" s="5">
        <v>13.79</v>
      </c>
      <c r="I38" s="5">
        <v>4.52</v>
      </c>
    </row>
    <row r="39">
      <c r="A39" s="4" t="s">
        <v>1232</v>
      </c>
      <c r="B39" s="5">
        <v>2289.0</v>
      </c>
      <c r="C39" s="5">
        <v>20.6</v>
      </c>
      <c r="D39" s="5">
        <v>23.2</v>
      </c>
      <c r="G39" s="5">
        <v>10.47</v>
      </c>
      <c r="I39" s="5">
        <v>1.53</v>
      </c>
    </row>
    <row r="40">
      <c r="A40" s="4" t="s">
        <v>1428</v>
      </c>
      <c r="B40" s="5">
        <v>2293.0</v>
      </c>
      <c r="C40" s="5">
        <v>26.0</v>
      </c>
      <c r="D40" s="5">
        <v>25.3</v>
      </c>
      <c r="G40" s="5">
        <v>14.96</v>
      </c>
      <c r="I40" s="5">
        <v>3.2</v>
      </c>
    </row>
    <row r="41">
      <c r="A41" s="4" t="s">
        <v>97</v>
      </c>
      <c r="B41" s="5">
        <v>2291.0</v>
      </c>
      <c r="C41" s="5">
        <v>10.5</v>
      </c>
      <c r="D41" s="5">
        <v>6.6</v>
      </c>
      <c r="G41" s="5">
        <v>12.1</v>
      </c>
      <c r="I41" s="5">
        <v>3.39</v>
      </c>
    </row>
    <row r="42">
      <c r="A42" s="4" t="s">
        <v>1234</v>
      </c>
      <c r="B42" s="5">
        <v>2275.0</v>
      </c>
      <c r="C42" s="5">
        <v>27.0</v>
      </c>
      <c r="D42" s="5">
        <v>20.6</v>
      </c>
      <c r="G42" s="5">
        <v>13.37</v>
      </c>
      <c r="I42" s="5">
        <v>2.41</v>
      </c>
    </row>
    <row r="43">
      <c r="A43" s="4" t="s">
        <v>95</v>
      </c>
      <c r="B43" s="5">
        <v>2286.0</v>
      </c>
      <c r="C43" s="5">
        <v>24.4</v>
      </c>
      <c r="D43" s="5">
        <v>31.5</v>
      </c>
      <c r="G43" s="5">
        <v>10.91</v>
      </c>
      <c r="I43" s="5">
        <v>1.74</v>
      </c>
    </row>
    <row r="44">
      <c r="A44" s="4" t="s">
        <v>1236</v>
      </c>
      <c r="B44" s="5">
        <v>2284.0</v>
      </c>
      <c r="C44" s="5">
        <v>21.7</v>
      </c>
      <c r="D44" s="5">
        <v>19.6</v>
      </c>
      <c r="G44" s="5">
        <v>9.4</v>
      </c>
      <c r="I44" s="5">
        <v>0.97</v>
      </c>
    </row>
    <row r="45">
      <c r="A45" s="4" t="s">
        <v>1429</v>
      </c>
      <c r="B45" s="5">
        <v>2282.0</v>
      </c>
      <c r="C45" s="5">
        <v>22.9</v>
      </c>
      <c r="D45" s="5">
        <v>21.6</v>
      </c>
      <c r="G45" s="5">
        <v>11.19</v>
      </c>
      <c r="I45" s="5">
        <v>20.1</v>
      </c>
    </row>
    <row r="46">
      <c r="A46" s="4" t="s">
        <v>1850</v>
      </c>
      <c r="B46" s="5">
        <v>2288.0</v>
      </c>
      <c r="C46" s="5">
        <v>21.5</v>
      </c>
      <c r="D46" s="5">
        <v>23.1</v>
      </c>
      <c r="G46" s="5">
        <v>8.41</v>
      </c>
      <c r="I46" s="5">
        <v>0.79</v>
      </c>
    </row>
    <row r="47">
      <c r="A47" s="4" t="s">
        <v>1851</v>
      </c>
      <c r="B47" s="5">
        <v>2292.0</v>
      </c>
      <c r="C47" s="5">
        <v>30.4</v>
      </c>
      <c r="D47" s="5">
        <v>32.2</v>
      </c>
      <c r="G47" s="5">
        <v>10.67</v>
      </c>
      <c r="I47" s="5">
        <v>1.47</v>
      </c>
    </row>
    <row r="48">
      <c r="A48" s="4" t="s">
        <v>104</v>
      </c>
      <c r="B48" s="5">
        <v>2290.0</v>
      </c>
      <c r="C48" s="5">
        <v>15.9</v>
      </c>
      <c r="D48" s="5">
        <v>19.0</v>
      </c>
      <c r="G48" s="5">
        <v>8.59</v>
      </c>
      <c r="I48" s="5">
        <v>1.2</v>
      </c>
    </row>
    <row r="49">
      <c r="A49" s="4" t="s">
        <v>1235</v>
      </c>
      <c r="J49" s="5" t="s">
        <v>1852</v>
      </c>
    </row>
    <row r="50">
      <c r="A50" s="4" t="s">
        <v>1431</v>
      </c>
      <c r="B50" s="5">
        <v>2278.0</v>
      </c>
      <c r="C50" s="5">
        <v>22.6</v>
      </c>
      <c r="D50" s="5">
        <v>17.6</v>
      </c>
      <c r="G50" s="5">
        <v>10.21</v>
      </c>
      <c r="I50" s="5">
        <v>1.01</v>
      </c>
    </row>
    <row r="51">
      <c r="A51" s="4" t="s">
        <v>1853</v>
      </c>
      <c r="B51" s="5">
        <v>2281.0</v>
      </c>
      <c r="C51" s="5">
        <v>24.0</v>
      </c>
      <c r="D51" s="5">
        <v>22.1</v>
      </c>
      <c r="G51" s="5">
        <v>9.14</v>
      </c>
      <c r="I51" s="5">
        <v>0.87</v>
      </c>
    </row>
    <row r="52">
      <c r="A52" s="4" t="s">
        <v>105</v>
      </c>
      <c r="B52" s="5">
        <v>2287.0</v>
      </c>
      <c r="C52" s="5">
        <v>23.2</v>
      </c>
      <c r="D52" s="5">
        <v>19.7</v>
      </c>
      <c r="G52" s="5">
        <v>9.17</v>
      </c>
      <c r="I52" s="5">
        <v>0.77</v>
      </c>
    </row>
    <row r="53">
      <c r="A53" s="4" t="s">
        <v>1434</v>
      </c>
      <c r="B53" s="5">
        <v>2274.0</v>
      </c>
      <c r="C53" s="5">
        <v>15.0</v>
      </c>
      <c r="D53" s="5">
        <v>13.0</v>
      </c>
      <c r="G53" s="5">
        <v>6.67</v>
      </c>
      <c r="I53" s="5">
        <v>0.54</v>
      </c>
    </row>
    <row r="54">
      <c r="A54" s="4" t="s">
        <v>101</v>
      </c>
      <c r="B54" s="5">
        <v>2279.0</v>
      </c>
      <c r="C54" s="5">
        <v>15.0</v>
      </c>
      <c r="D54" s="5">
        <v>12.5</v>
      </c>
      <c r="G54" s="5">
        <v>8.71</v>
      </c>
      <c r="I54" s="5">
        <v>0.79</v>
      </c>
    </row>
    <row r="55">
      <c r="A55" s="4" t="s">
        <v>1237</v>
      </c>
      <c r="B55" s="5">
        <v>2280.0</v>
      </c>
      <c r="C55" s="5">
        <v>12.8</v>
      </c>
      <c r="D55" s="5">
        <v>11.6</v>
      </c>
      <c r="G55" s="5">
        <v>7.1</v>
      </c>
      <c r="I55" s="5">
        <v>0.53</v>
      </c>
    </row>
    <row r="56">
      <c r="A56" s="4" t="s">
        <v>1432</v>
      </c>
      <c r="B56" s="5">
        <v>2276.0</v>
      </c>
      <c r="C56" s="5">
        <v>13.0</v>
      </c>
      <c r="D56" s="5">
        <v>11.0</v>
      </c>
      <c r="G56" s="5">
        <v>8.22</v>
      </c>
      <c r="I56" s="5">
        <v>0.62</v>
      </c>
    </row>
    <row r="57">
      <c r="A57" s="4" t="s">
        <v>1854</v>
      </c>
      <c r="B57" s="5">
        <v>2277.0</v>
      </c>
      <c r="C57" s="5">
        <v>12.4</v>
      </c>
      <c r="D57" s="5">
        <v>12.1</v>
      </c>
      <c r="G57" s="5">
        <v>7.69</v>
      </c>
      <c r="I57" s="5">
        <v>0.65</v>
      </c>
    </row>
    <row r="58">
      <c r="A58" s="4" t="s">
        <v>114</v>
      </c>
      <c r="B58" s="5">
        <v>2285.0</v>
      </c>
      <c r="C58" s="5">
        <v>13.9</v>
      </c>
      <c r="D58" s="5">
        <v>11.2</v>
      </c>
      <c r="G58" s="5">
        <v>8.04</v>
      </c>
      <c r="I58" s="5">
        <v>0.51</v>
      </c>
    </row>
    <row r="59">
      <c r="A59" s="4"/>
    </row>
    <row r="60">
      <c r="A60" s="4" t="s">
        <v>128</v>
      </c>
      <c r="B60" s="5">
        <v>2302.0</v>
      </c>
      <c r="C60" s="5">
        <v>24.4</v>
      </c>
      <c r="D60" s="5">
        <v>19.4</v>
      </c>
      <c r="G60" s="5">
        <v>14.13</v>
      </c>
    </row>
    <row r="61">
      <c r="A61" s="4" t="s">
        <v>130</v>
      </c>
      <c r="B61" s="5">
        <v>2301.0</v>
      </c>
      <c r="C61" s="5">
        <v>27.7</v>
      </c>
      <c r="D61" s="5">
        <v>22.2</v>
      </c>
      <c r="G61" s="5">
        <v>11.2</v>
      </c>
      <c r="I61" s="5">
        <v>1.08</v>
      </c>
    </row>
    <row r="62">
      <c r="A62" s="4" t="s">
        <v>1855</v>
      </c>
      <c r="B62" s="5">
        <v>2300.0</v>
      </c>
      <c r="C62" s="5">
        <v>25.1</v>
      </c>
      <c r="D62" s="5">
        <v>18.4</v>
      </c>
      <c r="E62" s="5">
        <v>10.9</v>
      </c>
      <c r="G62" s="5">
        <v>13.65</v>
      </c>
    </row>
    <row r="63">
      <c r="A63" s="4" t="s">
        <v>138</v>
      </c>
      <c r="B63" s="5">
        <v>2296.0</v>
      </c>
      <c r="C63" s="5">
        <v>27.6</v>
      </c>
      <c r="D63" s="5">
        <v>20.9</v>
      </c>
      <c r="G63" s="5">
        <v>11.32</v>
      </c>
      <c r="I63" s="5">
        <v>1.78</v>
      </c>
    </row>
    <row r="64">
      <c r="A64" s="4" t="s">
        <v>131</v>
      </c>
      <c r="B64" s="5">
        <v>2299.0</v>
      </c>
      <c r="C64" s="5">
        <v>22.1</v>
      </c>
      <c r="D64" s="5">
        <v>22.1</v>
      </c>
      <c r="G64" s="5">
        <v>10.1</v>
      </c>
      <c r="I64" s="5">
        <v>1.18</v>
      </c>
    </row>
    <row r="65">
      <c r="A65" s="4" t="s">
        <v>1856</v>
      </c>
      <c r="B65" s="5">
        <v>2298.0</v>
      </c>
      <c r="C65" s="5">
        <v>24.1</v>
      </c>
      <c r="D65" s="5">
        <v>19.2</v>
      </c>
      <c r="G65" s="5">
        <v>10.72</v>
      </c>
      <c r="I65" s="5">
        <v>1.22</v>
      </c>
    </row>
    <row r="66">
      <c r="A66" s="4" t="s">
        <v>1857</v>
      </c>
      <c r="B66" s="5">
        <v>2297.0</v>
      </c>
      <c r="C66" s="5">
        <v>15.7</v>
      </c>
      <c r="D66" s="5">
        <v>9.4</v>
      </c>
      <c r="G66" s="5">
        <v>9.2</v>
      </c>
      <c r="I66" s="5">
        <v>0.6</v>
      </c>
    </row>
    <row r="67">
      <c r="A67" s="4"/>
    </row>
    <row r="68">
      <c r="A68" s="4" t="s">
        <v>162</v>
      </c>
      <c r="B68" s="5">
        <v>2310.0</v>
      </c>
      <c r="C68" s="5">
        <v>29.1</v>
      </c>
      <c r="D68" s="5">
        <v>25.2</v>
      </c>
      <c r="G68" s="5">
        <v>14.82</v>
      </c>
      <c r="I68" s="5">
        <v>4.24</v>
      </c>
    </row>
    <row r="69">
      <c r="A69" s="4" t="s">
        <v>1450</v>
      </c>
      <c r="B69" s="5">
        <v>2309.0</v>
      </c>
      <c r="C69" s="5">
        <v>30.7</v>
      </c>
      <c r="D69" s="5">
        <v>33.8</v>
      </c>
      <c r="G69" s="5">
        <v>12.09</v>
      </c>
      <c r="I69" s="5">
        <v>2.0</v>
      </c>
    </row>
    <row r="70">
      <c r="A70" s="4" t="s">
        <v>164</v>
      </c>
      <c r="B70" s="5">
        <v>2308.0</v>
      </c>
      <c r="C70" s="5">
        <v>32.2</v>
      </c>
      <c r="D70" s="5">
        <v>23.7</v>
      </c>
      <c r="G70" s="5">
        <v>10.09</v>
      </c>
      <c r="I70" s="5">
        <v>1.41</v>
      </c>
    </row>
    <row r="71">
      <c r="A71" s="4" t="s">
        <v>167</v>
      </c>
      <c r="B71" s="5">
        <v>2306.0</v>
      </c>
      <c r="C71" s="5">
        <v>23.9</v>
      </c>
      <c r="D71" s="5">
        <v>19.0</v>
      </c>
      <c r="G71" s="5">
        <v>10.73</v>
      </c>
      <c r="I71" s="5">
        <v>1.02</v>
      </c>
    </row>
    <row r="72">
      <c r="A72" s="4" t="s">
        <v>1242</v>
      </c>
      <c r="B72" s="5">
        <v>2307.0</v>
      </c>
      <c r="C72" s="5">
        <v>20.5</v>
      </c>
      <c r="D72" s="5">
        <v>16.4</v>
      </c>
      <c r="G72" s="5">
        <v>9.14</v>
      </c>
      <c r="I72" s="5">
        <v>0.71</v>
      </c>
    </row>
    <row r="73">
      <c r="A73" s="4" t="s">
        <v>171</v>
      </c>
      <c r="B73" s="5">
        <v>2302.0</v>
      </c>
      <c r="C73" s="5">
        <v>13.0</v>
      </c>
      <c r="D73" s="5">
        <v>10.8</v>
      </c>
      <c r="G73" s="5">
        <v>9.85</v>
      </c>
    </row>
    <row r="74">
      <c r="A74" s="4" t="s">
        <v>1453</v>
      </c>
      <c r="B74" s="5">
        <v>2304.0</v>
      </c>
      <c r="C74" s="5">
        <v>16.1</v>
      </c>
      <c r="D74" s="5">
        <v>11.6</v>
      </c>
      <c r="G74" s="5">
        <v>9.39</v>
      </c>
      <c r="I74" s="5">
        <v>0.7</v>
      </c>
    </row>
    <row r="75">
      <c r="A75" s="4" t="s">
        <v>1243</v>
      </c>
      <c r="B75" s="5">
        <v>2305.0</v>
      </c>
      <c r="C75" s="5">
        <v>11.9</v>
      </c>
      <c r="D75" s="5">
        <v>9.9</v>
      </c>
      <c r="G75" s="5">
        <v>7.47</v>
      </c>
      <c r="I75" s="5">
        <v>0.44</v>
      </c>
    </row>
    <row r="76">
      <c r="A76" s="4"/>
    </row>
    <row r="77">
      <c r="A77" s="4" t="s">
        <v>183</v>
      </c>
    </row>
    <row r="78">
      <c r="A78" s="4" t="s">
        <v>184</v>
      </c>
    </row>
    <row r="79">
      <c r="A79" s="4" t="s">
        <v>185</v>
      </c>
    </row>
    <row r="80">
      <c r="A80" s="4"/>
    </row>
    <row r="81">
      <c r="A81" s="4" t="s">
        <v>199</v>
      </c>
    </row>
    <row r="82">
      <c r="A82" s="4" t="s">
        <v>200</v>
      </c>
    </row>
    <row r="83">
      <c r="A83" s="4" t="s">
        <v>201</v>
      </c>
    </row>
    <row r="84">
      <c r="A84" s="4"/>
    </row>
    <row r="85">
      <c r="A85" s="4" t="s">
        <v>1251</v>
      </c>
      <c r="B85" s="5">
        <v>2314.0</v>
      </c>
      <c r="C85" s="5">
        <v>31.0</v>
      </c>
      <c r="D85" s="5">
        <v>18.3</v>
      </c>
      <c r="G85" s="5">
        <v>12.78</v>
      </c>
      <c r="I85" s="5">
        <v>1.66</v>
      </c>
    </row>
    <row r="86">
      <c r="A86" s="4" t="s">
        <v>1252</v>
      </c>
      <c r="B86" s="5">
        <v>2313.0</v>
      </c>
      <c r="C86" s="5">
        <v>24.7</v>
      </c>
      <c r="D86" s="5">
        <v>20.0</v>
      </c>
      <c r="G86" s="5">
        <v>9.41</v>
      </c>
      <c r="I86" s="5">
        <v>1.13</v>
      </c>
    </row>
    <row r="87">
      <c r="A87" s="4" t="s">
        <v>1253</v>
      </c>
      <c r="B87" s="5">
        <v>2312.0</v>
      </c>
      <c r="C87" s="5">
        <v>21.0</v>
      </c>
      <c r="D87" s="5">
        <v>12.5</v>
      </c>
      <c r="G87" s="5">
        <v>7.75</v>
      </c>
      <c r="I87" s="5">
        <v>0.62</v>
      </c>
    </row>
    <row r="88">
      <c r="A88" s="4" t="s">
        <v>1254</v>
      </c>
      <c r="B88" s="5">
        <v>2311.0</v>
      </c>
      <c r="C88" s="5">
        <v>13.1</v>
      </c>
      <c r="D88" s="5">
        <v>11.7</v>
      </c>
      <c r="G88" s="5">
        <v>5.52</v>
      </c>
      <c r="I88" s="5">
        <v>0.39</v>
      </c>
    </row>
    <row r="89">
      <c r="A89" s="4"/>
    </row>
    <row r="90">
      <c r="A90" s="4" t="s">
        <v>237</v>
      </c>
    </row>
    <row r="91">
      <c r="A91" s="4" t="s">
        <v>238</v>
      </c>
    </row>
    <row r="92">
      <c r="A92" s="4" t="s">
        <v>241</v>
      </c>
    </row>
    <row r="93">
      <c r="A93" s="4"/>
    </row>
    <row r="94">
      <c r="A94" s="4" t="s">
        <v>250</v>
      </c>
    </row>
    <row r="95">
      <c r="A95" s="4"/>
    </row>
    <row r="96">
      <c r="A96" s="4" t="s">
        <v>263</v>
      </c>
    </row>
    <row r="97">
      <c r="A97" s="4"/>
    </row>
    <row r="98">
      <c r="A98" s="4"/>
    </row>
    <row r="99">
      <c r="A99" s="4" t="s">
        <v>329</v>
      </c>
      <c r="B99" s="5">
        <v>2196.0</v>
      </c>
      <c r="C99" s="5">
        <v>21.5</v>
      </c>
      <c r="D99" s="5">
        <v>17.0</v>
      </c>
      <c r="G99" s="5">
        <v>14.98</v>
      </c>
      <c r="H99" s="5">
        <v>2.0</v>
      </c>
      <c r="I99" s="5">
        <v>9.83</v>
      </c>
      <c r="K99" s="2" t="s">
        <v>14</v>
      </c>
    </row>
    <row r="100">
      <c r="A100" s="4" t="s">
        <v>330</v>
      </c>
      <c r="B100" s="5">
        <v>2192.0</v>
      </c>
      <c r="C100" s="5">
        <v>17.6</v>
      </c>
      <c r="D100" s="5">
        <v>14.7</v>
      </c>
      <c r="G100" s="5">
        <v>11.65</v>
      </c>
      <c r="I100" s="5">
        <v>5.55</v>
      </c>
      <c r="K100" s="6">
        <f>counta(I99:I262)</f>
        <v>91</v>
      </c>
    </row>
    <row r="101">
      <c r="A101" s="4" t="s">
        <v>1258</v>
      </c>
      <c r="B101" s="5">
        <v>2194.0</v>
      </c>
      <c r="C101" s="5">
        <v>21.0</v>
      </c>
      <c r="D101" s="5">
        <v>21.7</v>
      </c>
      <c r="G101" s="5">
        <v>11.59</v>
      </c>
      <c r="I101" s="5">
        <v>3.72</v>
      </c>
      <c r="K101" s="6">
        <f>sum(I99:I262)/K100</f>
        <v>1.442307692</v>
      </c>
    </row>
    <row r="102">
      <c r="A102" s="4" t="s">
        <v>331</v>
      </c>
      <c r="B102" s="5">
        <v>2190.0</v>
      </c>
      <c r="C102" s="5">
        <v>15.9</v>
      </c>
      <c r="D102" s="5">
        <v>16.7</v>
      </c>
      <c r="G102" s="5">
        <v>12.41</v>
      </c>
      <c r="I102" s="5">
        <v>4.45</v>
      </c>
    </row>
    <row r="103">
      <c r="A103" s="4" t="s">
        <v>332</v>
      </c>
      <c r="B103" s="5">
        <v>2189.0</v>
      </c>
      <c r="C103" s="5">
        <v>20.7</v>
      </c>
      <c r="D103" s="5">
        <v>17.7</v>
      </c>
      <c r="G103" s="5">
        <v>13.55</v>
      </c>
      <c r="I103" s="5">
        <v>3.18</v>
      </c>
    </row>
    <row r="104">
      <c r="A104" s="4" t="s">
        <v>1263</v>
      </c>
      <c r="B104" s="5">
        <v>2185.0</v>
      </c>
      <c r="C104" s="5">
        <v>20.3</v>
      </c>
      <c r="D104" s="5">
        <v>17.0</v>
      </c>
      <c r="G104" s="5">
        <v>14.44</v>
      </c>
      <c r="I104" s="5">
        <v>2.77</v>
      </c>
    </row>
    <row r="105">
      <c r="A105" s="4" t="s">
        <v>336</v>
      </c>
      <c r="B105" s="5">
        <v>2193.0</v>
      </c>
      <c r="C105" s="5">
        <v>25.8</v>
      </c>
      <c r="D105" s="5">
        <v>23.9</v>
      </c>
      <c r="G105" s="5">
        <v>13.48</v>
      </c>
      <c r="I105" s="5">
        <v>2.67</v>
      </c>
    </row>
    <row r="106">
      <c r="A106" s="4" t="s">
        <v>345</v>
      </c>
      <c r="B106" s="5">
        <v>2181.0</v>
      </c>
      <c r="C106" s="5">
        <v>20.0</v>
      </c>
      <c r="D106" s="5">
        <v>13.6</v>
      </c>
      <c r="G106" s="5">
        <v>11.97</v>
      </c>
      <c r="I106" s="5">
        <v>2.19</v>
      </c>
    </row>
    <row r="107">
      <c r="A107" s="4" t="s">
        <v>337</v>
      </c>
      <c r="B107" s="5">
        <v>2187.0</v>
      </c>
      <c r="C107" s="5">
        <v>23.9</v>
      </c>
      <c r="D107" s="5">
        <v>19.7</v>
      </c>
      <c r="G107" s="5">
        <v>9.42</v>
      </c>
      <c r="I107" s="5">
        <v>1.4</v>
      </c>
    </row>
    <row r="108">
      <c r="A108" s="4" t="s">
        <v>333</v>
      </c>
      <c r="B108" s="5">
        <v>2191.0</v>
      </c>
      <c r="C108" s="5">
        <v>16.8</v>
      </c>
      <c r="D108" s="5">
        <v>26.7</v>
      </c>
      <c r="G108" s="5">
        <v>8.98</v>
      </c>
      <c r="I108" s="5">
        <v>1.01</v>
      </c>
    </row>
    <row r="109">
      <c r="A109" s="4" t="s">
        <v>1269</v>
      </c>
      <c r="B109" s="5">
        <v>2177.0</v>
      </c>
      <c r="C109" s="5">
        <v>20.0</v>
      </c>
      <c r="D109" s="5">
        <v>14.6</v>
      </c>
      <c r="G109" s="5">
        <v>11.54</v>
      </c>
      <c r="I109" s="5">
        <v>2.08</v>
      </c>
    </row>
    <row r="110">
      <c r="A110" s="4" t="s">
        <v>335</v>
      </c>
      <c r="B110" s="5">
        <v>2184.0</v>
      </c>
      <c r="C110" s="5">
        <v>22.8</v>
      </c>
      <c r="D110" s="5">
        <v>21.7</v>
      </c>
      <c r="G110" s="5">
        <v>10.44</v>
      </c>
      <c r="I110" s="5">
        <v>1.42</v>
      </c>
    </row>
    <row r="111">
      <c r="A111" s="4" t="s">
        <v>341</v>
      </c>
      <c r="B111" s="5">
        <v>2183.0</v>
      </c>
      <c r="C111" s="5">
        <v>23.0</v>
      </c>
      <c r="D111" s="5">
        <v>16.7</v>
      </c>
      <c r="G111" s="5">
        <v>15.62</v>
      </c>
      <c r="I111" s="5">
        <v>2.35</v>
      </c>
    </row>
    <row r="112">
      <c r="A112" s="4" t="s">
        <v>1704</v>
      </c>
      <c r="B112" s="5">
        <v>2195.0</v>
      </c>
      <c r="C112" s="5">
        <v>26.6</v>
      </c>
      <c r="D112" s="5">
        <v>24.7</v>
      </c>
      <c r="G112" s="5">
        <v>9.84</v>
      </c>
      <c r="I112" s="5">
        <v>2.03</v>
      </c>
    </row>
    <row r="113">
      <c r="A113" s="4" t="s">
        <v>1271</v>
      </c>
      <c r="B113" s="5">
        <v>2171.0</v>
      </c>
      <c r="C113" s="5">
        <v>20.0</v>
      </c>
      <c r="D113" s="5">
        <v>13.8</v>
      </c>
      <c r="G113" s="5">
        <v>4.94</v>
      </c>
      <c r="I113" s="5">
        <v>0.19</v>
      </c>
    </row>
    <row r="114">
      <c r="A114" s="4" t="s">
        <v>348</v>
      </c>
      <c r="B114" s="5">
        <v>2173.0</v>
      </c>
      <c r="C114" s="5">
        <v>18.3</v>
      </c>
      <c r="D114" s="5">
        <v>16.6</v>
      </c>
      <c r="G114" s="5">
        <v>9.0</v>
      </c>
      <c r="I114" s="5">
        <v>1.02</v>
      </c>
    </row>
    <row r="115">
      <c r="A115" s="4" t="s">
        <v>1706</v>
      </c>
      <c r="B115" s="5">
        <v>2188.0</v>
      </c>
      <c r="C115" s="5">
        <v>21.0</v>
      </c>
      <c r="D115" s="5">
        <v>16.5</v>
      </c>
      <c r="G115" s="5">
        <v>10.45</v>
      </c>
      <c r="I115" s="5">
        <v>1.57</v>
      </c>
    </row>
    <row r="116">
      <c r="A116" s="4" t="s">
        <v>1280</v>
      </c>
      <c r="B116" s="5">
        <v>2172.0</v>
      </c>
      <c r="C116" s="5">
        <v>20.3</v>
      </c>
      <c r="D116" s="5">
        <v>16.0</v>
      </c>
      <c r="G116" s="5">
        <v>10.25</v>
      </c>
      <c r="I116" s="5">
        <v>1.58</v>
      </c>
    </row>
    <row r="117">
      <c r="A117" s="4" t="s">
        <v>340</v>
      </c>
      <c r="B117" s="5">
        <v>2178.0</v>
      </c>
      <c r="C117" s="5">
        <v>18.8</v>
      </c>
      <c r="D117" s="5">
        <v>19.0</v>
      </c>
      <c r="G117" s="5">
        <v>11.45</v>
      </c>
      <c r="I117" s="5">
        <v>1.28</v>
      </c>
    </row>
    <row r="118">
      <c r="A118" s="4" t="s">
        <v>344</v>
      </c>
      <c r="B118" s="5">
        <v>2175.0</v>
      </c>
      <c r="C118" s="5">
        <v>18.5</v>
      </c>
      <c r="D118" s="5">
        <v>12.1</v>
      </c>
      <c r="G118" s="5">
        <v>8.15</v>
      </c>
      <c r="I118" s="5">
        <v>0.43</v>
      </c>
    </row>
    <row r="119">
      <c r="A119" s="4" t="s">
        <v>1276</v>
      </c>
      <c r="B119" s="5">
        <v>2166.0</v>
      </c>
      <c r="C119" s="5">
        <v>15.6</v>
      </c>
      <c r="D119" s="5">
        <v>10.4</v>
      </c>
      <c r="G119" s="5">
        <v>8.09</v>
      </c>
      <c r="I119" s="5">
        <v>0.58</v>
      </c>
    </row>
    <row r="120">
      <c r="A120" s="4" t="s">
        <v>349</v>
      </c>
      <c r="B120" s="5">
        <v>2174.0</v>
      </c>
      <c r="C120" s="5">
        <v>17.2</v>
      </c>
      <c r="D120" s="5">
        <v>16.2</v>
      </c>
      <c r="G120" s="5">
        <v>7.29</v>
      </c>
      <c r="I120" s="5">
        <v>0.59</v>
      </c>
    </row>
    <row r="121">
      <c r="A121" s="4" t="s">
        <v>1265</v>
      </c>
      <c r="B121" s="5">
        <v>2176.0</v>
      </c>
      <c r="C121" s="5">
        <v>17.1</v>
      </c>
      <c r="D121" s="5">
        <v>14.5</v>
      </c>
      <c r="G121" s="5">
        <v>8.27</v>
      </c>
      <c r="I121" s="5">
        <v>0.67</v>
      </c>
    </row>
    <row r="122">
      <c r="A122" s="4" t="s">
        <v>1858</v>
      </c>
      <c r="B122" s="5">
        <v>2179.0</v>
      </c>
      <c r="C122" s="5">
        <v>13.3</v>
      </c>
      <c r="D122" s="5">
        <v>9.3</v>
      </c>
      <c r="G122" s="5">
        <v>8.03</v>
      </c>
      <c r="I122" s="5">
        <v>0.41</v>
      </c>
    </row>
    <row r="123">
      <c r="A123" s="4" t="s">
        <v>346</v>
      </c>
      <c r="B123" s="5">
        <v>2167.0</v>
      </c>
      <c r="C123" s="5">
        <v>15.4</v>
      </c>
      <c r="D123" s="5">
        <v>11.3</v>
      </c>
      <c r="G123" s="5">
        <v>8.71</v>
      </c>
      <c r="I123" s="5">
        <v>0.71</v>
      </c>
    </row>
    <row r="124">
      <c r="A124" s="4" t="s">
        <v>352</v>
      </c>
      <c r="B124" s="5">
        <v>2168.0</v>
      </c>
      <c r="C124" s="5">
        <v>12.9</v>
      </c>
      <c r="D124" s="5">
        <v>5.3</v>
      </c>
      <c r="G124" s="5">
        <v>9.18</v>
      </c>
      <c r="I124" s="5">
        <v>0.55</v>
      </c>
    </row>
    <row r="125">
      <c r="A125" s="4" t="s">
        <v>1709</v>
      </c>
      <c r="B125" s="5">
        <v>2180.0</v>
      </c>
      <c r="C125" s="5">
        <v>20.6</v>
      </c>
      <c r="D125" s="5">
        <v>14.6</v>
      </c>
      <c r="G125" s="5">
        <v>10.62</v>
      </c>
      <c r="I125" s="5">
        <v>1.23</v>
      </c>
    </row>
    <row r="126">
      <c r="A126" s="4" t="s">
        <v>1494</v>
      </c>
      <c r="B126" s="5">
        <v>2169.0</v>
      </c>
      <c r="C126" s="5">
        <v>13.0</v>
      </c>
      <c r="D126" s="5">
        <v>10.4</v>
      </c>
      <c r="G126" s="5">
        <v>6.0</v>
      </c>
      <c r="I126" s="5">
        <v>0.2</v>
      </c>
    </row>
    <row r="127">
      <c r="A127" s="4" t="s">
        <v>1708</v>
      </c>
      <c r="B127" s="5">
        <v>2165.0</v>
      </c>
      <c r="C127" s="5">
        <v>16.6</v>
      </c>
      <c r="D127" s="5">
        <v>11.4</v>
      </c>
      <c r="G127" s="5">
        <v>6.92</v>
      </c>
      <c r="I127" s="5">
        <v>0.25</v>
      </c>
    </row>
    <row r="128">
      <c r="A128" s="4" t="s">
        <v>354</v>
      </c>
      <c r="B128" s="5">
        <v>2163.0</v>
      </c>
      <c r="C128" s="5">
        <v>13.1</v>
      </c>
      <c r="D128" s="5">
        <v>10.2</v>
      </c>
      <c r="G128" s="5">
        <v>6.89</v>
      </c>
      <c r="I128" s="5">
        <v>0.27</v>
      </c>
    </row>
    <row r="129">
      <c r="A129" s="4" t="s">
        <v>355</v>
      </c>
      <c r="B129" s="5">
        <v>2164.0</v>
      </c>
      <c r="C129" s="5">
        <v>12.5</v>
      </c>
      <c r="D129" s="5">
        <v>10.1</v>
      </c>
      <c r="G129" s="5">
        <v>6.72</v>
      </c>
      <c r="I129" s="5">
        <v>0.29</v>
      </c>
    </row>
    <row r="130">
      <c r="A130" s="4" t="s">
        <v>1717</v>
      </c>
      <c r="B130" s="5">
        <v>2170.0</v>
      </c>
      <c r="C130" s="5">
        <v>18.1</v>
      </c>
      <c r="D130" s="5">
        <v>13.2</v>
      </c>
      <c r="G130" s="5">
        <v>8.91</v>
      </c>
      <c r="I130" s="5">
        <v>0.55</v>
      </c>
    </row>
    <row r="131">
      <c r="A131" s="9" t="s">
        <v>343</v>
      </c>
      <c r="B131" s="5">
        <v>2182.0</v>
      </c>
      <c r="C131" s="5">
        <v>20.1</v>
      </c>
      <c r="D131" s="5">
        <v>18.9</v>
      </c>
      <c r="G131" s="5">
        <v>10.34</v>
      </c>
      <c r="I131" s="5">
        <v>1.68</v>
      </c>
    </row>
    <row r="132">
      <c r="A132" s="9" t="s">
        <v>1859</v>
      </c>
      <c r="B132" s="5">
        <v>2186.0</v>
      </c>
      <c r="C132" s="5">
        <v>16.2</v>
      </c>
      <c r="D132" s="5">
        <v>16.2</v>
      </c>
      <c r="G132" s="5">
        <v>9.49</v>
      </c>
      <c r="I132" s="5">
        <v>0.78</v>
      </c>
    </row>
    <row r="133">
      <c r="A133" s="4"/>
    </row>
    <row r="134">
      <c r="A134" s="4" t="s">
        <v>356</v>
      </c>
      <c r="B134" s="5">
        <v>2342.0</v>
      </c>
      <c r="C134" s="5">
        <v>22.6</v>
      </c>
      <c r="D134" s="5">
        <v>16.3</v>
      </c>
      <c r="G134" s="5">
        <v>9.98</v>
      </c>
      <c r="I134" s="5">
        <v>2.6</v>
      </c>
    </row>
    <row r="135">
      <c r="A135" s="4" t="s">
        <v>357</v>
      </c>
      <c r="B135" s="5">
        <v>2341.0</v>
      </c>
      <c r="C135" s="5">
        <v>23.3</v>
      </c>
      <c r="D135" s="5">
        <v>24.0</v>
      </c>
      <c r="G135" s="5">
        <v>11.74</v>
      </c>
      <c r="I135" s="5">
        <v>4.1</v>
      </c>
    </row>
    <row r="136">
      <c r="A136" s="4" t="s">
        <v>358</v>
      </c>
      <c r="B136" s="5">
        <v>2340.0</v>
      </c>
      <c r="C136" s="5">
        <v>20.2</v>
      </c>
      <c r="D136" s="5">
        <v>18.9</v>
      </c>
      <c r="G136" s="5">
        <v>8.69</v>
      </c>
      <c r="I136" s="5">
        <v>1.75</v>
      </c>
    </row>
    <row r="137">
      <c r="A137" s="4" t="s">
        <v>359</v>
      </c>
      <c r="B137" s="5">
        <v>2338.0</v>
      </c>
      <c r="C137" s="5">
        <v>24.7</v>
      </c>
      <c r="D137" s="5">
        <v>22.0</v>
      </c>
      <c r="G137" s="5">
        <v>12.1</v>
      </c>
      <c r="I137" s="5">
        <v>2.53</v>
      </c>
    </row>
    <row r="138">
      <c r="A138" s="4" t="s">
        <v>362</v>
      </c>
      <c r="B138" s="5">
        <v>2339.0</v>
      </c>
      <c r="C138" s="5">
        <v>18.7</v>
      </c>
      <c r="D138" s="5">
        <v>21.3</v>
      </c>
      <c r="G138" s="5">
        <v>9.25</v>
      </c>
      <c r="I138" s="5">
        <v>1.02</v>
      </c>
    </row>
    <row r="139">
      <c r="A139" s="4" t="s">
        <v>375</v>
      </c>
      <c r="B139" s="5">
        <v>2333.0</v>
      </c>
      <c r="C139" s="5">
        <v>20.2</v>
      </c>
      <c r="D139" s="5">
        <v>18.8</v>
      </c>
      <c r="G139" s="5">
        <v>9.1</v>
      </c>
      <c r="I139" s="5">
        <v>1.16</v>
      </c>
    </row>
    <row r="140">
      <c r="A140" s="4" t="s">
        <v>1281</v>
      </c>
      <c r="B140" s="5">
        <v>2337.0</v>
      </c>
      <c r="C140" s="5">
        <v>25.8</v>
      </c>
      <c r="D140" s="5">
        <v>23.6</v>
      </c>
      <c r="G140" s="5">
        <v>9.82</v>
      </c>
      <c r="I140" s="5">
        <v>1.36</v>
      </c>
    </row>
    <row r="141">
      <c r="A141" s="4" t="s">
        <v>366</v>
      </c>
      <c r="B141" s="5">
        <v>2336.0</v>
      </c>
      <c r="C141" s="5">
        <v>18.2</v>
      </c>
      <c r="D141" s="5">
        <v>18.3</v>
      </c>
      <c r="G141" s="5">
        <v>8.8</v>
      </c>
      <c r="I141" s="5">
        <v>0.92</v>
      </c>
    </row>
    <row r="142">
      <c r="A142" s="4" t="s">
        <v>1283</v>
      </c>
      <c r="B142" s="5">
        <v>2331.0</v>
      </c>
      <c r="C142" s="5">
        <v>16.4</v>
      </c>
      <c r="D142" s="5">
        <v>13.9</v>
      </c>
      <c r="G142" s="5">
        <v>9.18</v>
      </c>
      <c r="I142" s="5">
        <v>0.85</v>
      </c>
    </row>
    <row r="143">
      <c r="A143" s="4" t="s">
        <v>1284</v>
      </c>
      <c r="B143" s="5">
        <v>2335.0</v>
      </c>
      <c r="C143" s="5">
        <v>14.4</v>
      </c>
      <c r="D143" s="5">
        <v>18.0</v>
      </c>
      <c r="G143" s="5">
        <v>8.06</v>
      </c>
      <c r="I143" s="5">
        <v>0.55</v>
      </c>
    </row>
    <row r="144">
      <c r="A144" s="4" t="s">
        <v>1285</v>
      </c>
      <c r="B144" s="5">
        <v>2334.0</v>
      </c>
      <c r="C144" s="5">
        <v>16.4</v>
      </c>
      <c r="D144" s="5">
        <v>12.9</v>
      </c>
      <c r="G144" s="5">
        <v>9.07</v>
      </c>
      <c r="I144" s="5">
        <v>1.0</v>
      </c>
    </row>
    <row r="145">
      <c r="A145" s="4" t="s">
        <v>372</v>
      </c>
      <c r="B145" s="5">
        <v>2199.0</v>
      </c>
      <c r="C145" s="5">
        <v>15.5</v>
      </c>
      <c r="D145" s="5">
        <v>12.9</v>
      </c>
      <c r="G145" s="5">
        <v>7.34</v>
      </c>
      <c r="I145" s="5">
        <v>0.81</v>
      </c>
    </row>
    <row r="146">
      <c r="A146" s="4" t="s">
        <v>1289</v>
      </c>
      <c r="B146" s="5">
        <v>2200.0</v>
      </c>
      <c r="C146" s="5">
        <v>18.5</v>
      </c>
      <c r="D146" s="5">
        <v>12.3</v>
      </c>
      <c r="G146" s="5">
        <v>7.92</v>
      </c>
      <c r="I146" s="5">
        <v>0.4</v>
      </c>
    </row>
    <row r="147">
      <c r="A147" s="4" t="s">
        <v>1290</v>
      </c>
      <c r="B147" s="5">
        <v>2198.0</v>
      </c>
      <c r="C147" s="5">
        <v>13.0</v>
      </c>
      <c r="D147" s="5">
        <v>14.2</v>
      </c>
      <c r="G147" s="5">
        <v>7.41</v>
      </c>
      <c r="I147" s="5">
        <v>0.29</v>
      </c>
    </row>
    <row r="148">
      <c r="A148" s="4" t="s">
        <v>1498</v>
      </c>
      <c r="B148" s="5">
        <v>2197.0</v>
      </c>
      <c r="C148" s="5">
        <v>20.9</v>
      </c>
      <c r="D148" s="5">
        <v>8.9</v>
      </c>
      <c r="G148" s="5">
        <v>5.55</v>
      </c>
      <c r="I148" s="5">
        <v>0.22</v>
      </c>
    </row>
    <row r="149">
      <c r="A149" s="4" t="s">
        <v>365</v>
      </c>
      <c r="B149" s="5">
        <v>2332.0</v>
      </c>
      <c r="C149" s="5">
        <v>18.1</v>
      </c>
      <c r="D149" s="5">
        <v>16.2</v>
      </c>
      <c r="G149" s="5">
        <v>5.95</v>
      </c>
      <c r="I149" s="5">
        <v>0.14</v>
      </c>
    </row>
    <row r="150">
      <c r="A150" s="4" t="s">
        <v>1292</v>
      </c>
      <c r="B150" s="5">
        <v>2343.0</v>
      </c>
      <c r="C150" s="5">
        <v>7.4</v>
      </c>
      <c r="D150" s="5">
        <v>17.1</v>
      </c>
      <c r="G150" s="5">
        <v>7.26</v>
      </c>
      <c r="I150" s="5">
        <v>0.46</v>
      </c>
    </row>
    <row r="151">
      <c r="A151" s="4"/>
    </row>
    <row r="152">
      <c r="A152" s="4" t="s">
        <v>386</v>
      </c>
    </row>
    <row r="153">
      <c r="A153" s="4" t="s">
        <v>389</v>
      </c>
    </row>
    <row r="154">
      <c r="A154" s="4" t="s">
        <v>1860</v>
      </c>
    </row>
    <row r="155">
      <c r="A155" s="4" t="s">
        <v>391</v>
      </c>
    </row>
    <row r="156">
      <c r="A156" s="4" t="s">
        <v>393</v>
      </c>
    </row>
    <row r="157">
      <c r="A157" s="4" t="s">
        <v>1861</v>
      </c>
    </row>
    <row r="158">
      <c r="A158" s="4" t="s">
        <v>397</v>
      </c>
    </row>
    <row r="159">
      <c r="A159" s="4" t="s">
        <v>396</v>
      </c>
    </row>
    <row r="160">
      <c r="A160" s="4" t="s">
        <v>1862</v>
      </c>
    </row>
    <row r="161">
      <c r="A161" s="4" t="s">
        <v>402</v>
      </c>
    </row>
    <row r="162">
      <c r="A162" s="4" t="s">
        <v>395</v>
      </c>
    </row>
    <row r="163">
      <c r="A163" s="4" t="s">
        <v>1863</v>
      </c>
    </row>
    <row r="164">
      <c r="A164" s="4" t="s">
        <v>1332</v>
      </c>
    </row>
    <row r="165">
      <c r="A165" s="4" t="s">
        <v>405</v>
      </c>
    </row>
    <row r="166">
      <c r="A166" s="4" t="s">
        <v>404</v>
      </c>
    </row>
    <row r="167">
      <c r="A167" s="4"/>
    </row>
    <row r="168">
      <c r="A168" s="4" t="s">
        <v>406</v>
      </c>
      <c r="B168" s="5">
        <v>2358.0</v>
      </c>
      <c r="C168" s="5">
        <v>21.4</v>
      </c>
      <c r="D168" s="5">
        <v>13.6</v>
      </c>
      <c r="G168" s="5">
        <v>13.79</v>
      </c>
      <c r="I168" s="5">
        <v>6.68</v>
      </c>
    </row>
    <row r="169">
      <c r="A169" s="4" t="s">
        <v>407</v>
      </c>
      <c r="B169" s="5">
        <v>2357.0</v>
      </c>
      <c r="C169" s="5">
        <v>23.1</v>
      </c>
      <c r="D169" s="5">
        <v>21.3</v>
      </c>
      <c r="G169" s="5">
        <v>11.87</v>
      </c>
      <c r="I169" s="5">
        <v>3.76</v>
      </c>
    </row>
    <row r="170">
      <c r="A170" s="4" t="s">
        <v>408</v>
      </c>
      <c r="B170" s="5">
        <v>2353.0</v>
      </c>
      <c r="C170" s="5">
        <v>23.6</v>
      </c>
      <c r="D170" s="5">
        <v>21.9</v>
      </c>
      <c r="G170" s="5">
        <v>9.4</v>
      </c>
      <c r="I170" s="5">
        <v>2.9</v>
      </c>
    </row>
    <row r="171">
      <c r="A171" s="4" t="s">
        <v>411</v>
      </c>
      <c r="B171" s="5">
        <v>2349.0</v>
      </c>
      <c r="C171" s="5">
        <v>21.1</v>
      </c>
      <c r="D171" s="5">
        <v>23.1</v>
      </c>
      <c r="G171" s="5">
        <v>10.91</v>
      </c>
      <c r="I171" s="5">
        <v>1.83</v>
      </c>
    </row>
    <row r="172">
      <c r="A172" s="9" t="s">
        <v>409</v>
      </c>
      <c r="B172" s="5">
        <v>2356.0</v>
      </c>
      <c r="C172" s="5">
        <v>22.1</v>
      </c>
      <c r="D172" s="5">
        <v>25.1</v>
      </c>
      <c r="G172" s="5">
        <v>10.19</v>
      </c>
      <c r="I172" s="5">
        <v>1.25</v>
      </c>
    </row>
    <row r="173">
      <c r="A173" s="4" t="s">
        <v>1306</v>
      </c>
      <c r="B173" s="5">
        <v>2354.0</v>
      </c>
      <c r="C173" s="5">
        <v>25.0</v>
      </c>
      <c r="D173" s="5">
        <v>27.2</v>
      </c>
      <c r="G173" s="5">
        <v>9.78</v>
      </c>
      <c r="I173" s="5">
        <v>1.24</v>
      </c>
    </row>
    <row r="174">
      <c r="A174" s="4" t="s">
        <v>410</v>
      </c>
      <c r="B174" s="5">
        <v>2352.0</v>
      </c>
      <c r="C174" s="5">
        <v>21.6</v>
      </c>
      <c r="D174" s="5">
        <v>14.8</v>
      </c>
      <c r="G174" s="5">
        <v>9.72</v>
      </c>
      <c r="I174" s="5">
        <v>1.3</v>
      </c>
    </row>
    <row r="175">
      <c r="A175" s="4" t="s">
        <v>1864</v>
      </c>
      <c r="B175" s="5">
        <v>2355.0</v>
      </c>
      <c r="C175" s="5">
        <v>31.6</v>
      </c>
      <c r="D175" s="5">
        <v>23.2</v>
      </c>
      <c r="G175" s="5">
        <v>8.1</v>
      </c>
      <c r="I175" s="5">
        <v>1.1</v>
      </c>
    </row>
    <row r="176">
      <c r="A176" s="4" t="s">
        <v>415</v>
      </c>
      <c r="B176" s="5">
        <v>2345.0</v>
      </c>
      <c r="C176" s="5">
        <v>18.9</v>
      </c>
      <c r="D176" s="5">
        <v>16.1</v>
      </c>
      <c r="G176" s="5">
        <v>9.84</v>
      </c>
      <c r="I176" s="5">
        <v>1.38</v>
      </c>
    </row>
    <row r="177">
      <c r="A177" s="4" t="s">
        <v>413</v>
      </c>
      <c r="B177" s="5">
        <v>2350.0</v>
      </c>
      <c r="C177" s="5">
        <v>18.3</v>
      </c>
      <c r="D177" s="5">
        <v>21.9</v>
      </c>
      <c r="G177" s="5">
        <v>8.06</v>
      </c>
      <c r="I177" s="5">
        <v>0.54</v>
      </c>
    </row>
    <row r="178">
      <c r="A178" s="4" t="s">
        <v>1309</v>
      </c>
      <c r="B178" s="5">
        <v>2347.0</v>
      </c>
      <c r="C178" s="5">
        <v>18.2</v>
      </c>
      <c r="D178" s="5">
        <v>16.2</v>
      </c>
      <c r="G178" s="5">
        <v>9.04</v>
      </c>
      <c r="I178" s="5">
        <v>0.94</v>
      </c>
    </row>
    <row r="179">
      <c r="A179" s="4" t="s">
        <v>412</v>
      </c>
      <c r="B179" s="5">
        <v>2348.0</v>
      </c>
      <c r="C179" s="5">
        <v>22.1</v>
      </c>
      <c r="D179" s="5">
        <v>24.0</v>
      </c>
      <c r="G179" s="5">
        <v>7.13</v>
      </c>
      <c r="I179" s="5">
        <v>0.78</v>
      </c>
    </row>
    <row r="180">
      <c r="A180" s="4" t="s">
        <v>1865</v>
      </c>
      <c r="B180" s="5">
        <v>2351.0</v>
      </c>
      <c r="C180" s="5">
        <v>23.8</v>
      </c>
      <c r="D180" s="5">
        <v>20.9</v>
      </c>
      <c r="G180" s="5">
        <v>8.51</v>
      </c>
      <c r="I180" s="5">
        <v>0.66</v>
      </c>
    </row>
    <row r="181">
      <c r="A181" s="4" t="s">
        <v>1312</v>
      </c>
      <c r="B181" s="5">
        <v>2346.0</v>
      </c>
      <c r="C181" s="5">
        <v>20.0</v>
      </c>
      <c r="D181" s="5">
        <v>15.4</v>
      </c>
      <c r="G181" s="5">
        <v>6.63</v>
      </c>
      <c r="I181" s="5">
        <v>0.54</v>
      </c>
    </row>
    <row r="182">
      <c r="A182" s="4" t="s">
        <v>1866</v>
      </c>
      <c r="B182" s="5">
        <v>2344.0</v>
      </c>
      <c r="C182" s="5">
        <v>21.2</v>
      </c>
      <c r="D182" s="5">
        <v>16.5</v>
      </c>
      <c r="G182" s="5">
        <v>7.2</v>
      </c>
      <c r="I182" s="5">
        <v>0.36</v>
      </c>
    </row>
    <row r="183">
      <c r="A183" s="4"/>
    </row>
    <row r="184">
      <c r="A184" s="4" t="s">
        <v>425</v>
      </c>
      <c r="B184" s="5">
        <v>2367.0</v>
      </c>
      <c r="C184" s="5">
        <v>25.4</v>
      </c>
      <c r="D184" s="5">
        <v>19.6</v>
      </c>
      <c r="G184" s="5">
        <v>10.72</v>
      </c>
      <c r="I184" s="5">
        <v>1.87</v>
      </c>
    </row>
    <row r="185">
      <c r="A185" s="4" t="s">
        <v>426</v>
      </c>
      <c r="B185" s="5">
        <v>2362.0</v>
      </c>
      <c r="C185" s="5">
        <v>26.9</v>
      </c>
      <c r="D185" s="5">
        <v>25.5</v>
      </c>
      <c r="G185" s="5">
        <v>10.9</v>
      </c>
      <c r="I185" s="5">
        <v>2.31</v>
      </c>
    </row>
    <row r="186">
      <c r="A186" s="4" t="s">
        <v>1867</v>
      </c>
      <c r="B186" s="5">
        <v>2366.0</v>
      </c>
      <c r="C186" s="5">
        <v>19.9</v>
      </c>
      <c r="D186" s="5">
        <v>18.8</v>
      </c>
      <c r="E186" s="5">
        <v>1.8</v>
      </c>
      <c r="G186" s="5">
        <v>7.46</v>
      </c>
      <c r="I186" s="5">
        <v>0.95</v>
      </c>
    </row>
    <row r="187">
      <c r="A187" s="4" t="s">
        <v>427</v>
      </c>
      <c r="B187" s="5">
        <v>2361.0</v>
      </c>
      <c r="C187" s="5">
        <v>22.4</v>
      </c>
      <c r="D187" s="5">
        <v>17.9</v>
      </c>
      <c r="G187" s="5">
        <v>10.14</v>
      </c>
      <c r="I187" s="5">
        <v>1.64</v>
      </c>
    </row>
    <row r="188">
      <c r="A188" s="4" t="s">
        <v>1868</v>
      </c>
      <c r="B188" s="5">
        <v>2365.0</v>
      </c>
      <c r="C188" s="5">
        <v>17.6</v>
      </c>
      <c r="D188" s="5">
        <v>20.7</v>
      </c>
      <c r="G188" s="5">
        <v>6.78</v>
      </c>
      <c r="I188" s="5">
        <v>0.67</v>
      </c>
    </row>
    <row r="189">
      <c r="A189" s="4" t="s">
        <v>428</v>
      </c>
      <c r="B189" s="5">
        <v>2360.0</v>
      </c>
      <c r="C189" s="5">
        <v>19.6</v>
      </c>
      <c r="D189" s="5">
        <v>15.9</v>
      </c>
      <c r="G189" s="5">
        <v>8.78</v>
      </c>
      <c r="I189" s="5">
        <v>1.5</v>
      </c>
    </row>
    <row r="190">
      <c r="A190" s="4" t="s">
        <v>1869</v>
      </c>
      <c r="B190" s="5">
        <v>2364.0</v>
      </c>
      <c r="C190" s="5">
        <v>17.1</v>
      </c>
      <c r="D190" s="5">
        <v>15.2</v>
      </c>
      <c r="G190" s="5">
        <v>6.94</v>
      </c>
      <c r="I190" s="5">
        <v>0.61</v>
      </c>
    </row>
    <row r="191">
      <c r="A191" s="4" t="s">
        <v>433</v>
      </c>
      <c r="B191" s="5">
        <v>2359.0</v>
      </c>
      <c r="C191" s="5">
        <v>19.5</v>
      </c>
      <c r="D191" s="5">
        <v>19.6</v>
      </c>
      <c r="G191" s="5">
        <v>6.94</v>
      </c>
      <c r="I191" s="5">
        <v>0.44</v>
      </c>
    </row>
    <row r="192">
      <c r="A192" s="4" t="s">
        <v>1870</v>
      </c>
      <c r="B192" s="5">
        <v>2363.0</v>
      </c>
      <c r="C192" s="5">
        <v>18.2</v>
      </c>
      <c r="D192" s="5">
        <v>19.5</v>
      </c>
      <c r="G192" s="5">
        <v>8.14</v>
      </c>
      <c r="I192" s="5">
        <v>0.48</v>
      </c>
    </row>
    <row r="193">
      <c r="A193" s="4"/>
    </row>
    <row r="194">
      <c r="A194" s="4" t="s">
        <v>438</v>
      </c>
    </row>
    <row r="195">
      <c r="A195" s="4" t="s">
        <v>439</v>
      </c>
    </row>
    <row r="196">
      <c r="A196" s="4" t="s">
        <v>441</v>
      </c>
    </row>
    <row r="197">
      <c r="A197" s="4" t="s">
        <v>1328</v>
      </c>
    </row>
    <row r="198">
      <c r="A198" s="4" t="s">
        <v>442</v>
      </c>
    </row>
    <row r="199">
      <c r="A199" s="4" t="s">
        <v>443</v>
      </c>
    </row>
    <row r="200">
      <c r="A200" s="4" t="s">
        <v>1330</v>
      </c>
    </row>
    <row r="201">
      <c r="A201" s="4" t="s">
        <v>1331</v>
      </c>
    </row>
    <row r="202">
      <c r="A202" s="4"/>
    </row>
    <row r="203">
      <c r="A203" s="4" t="s">
        <v>463</v>
      </c>
    </row>
    <row r="204">
      <c r="A204" s="4" t="s">
        <v>464</v>
      </c>
    </row>
    <row r="205">
      <c r="A205" s="4" t="s">
        <v>465</v>
      </c>
    </row>
    <row r="206">
      <c r="A206" s="4" t="s">
        <v>467</v>
      </c>
    </row>
    <row r="207">
      <c r="A207" s="4" t="s">
        <v>469</v>
      </c>
    </row>
    <row r="208">
      <c r="A208" s="4"/>
    </row>
    <row r="209">
      <c r="A209" s="4" t="s">
        <v>475</v>
      </c>
      <c r="B209" s="5">
        <v>2323.0</v>
      </c>
      <c r="C209" s="5">
        <v>11.3</v>
      </c>
      <c r="D209" s="5">
        <v>6.5</v>
      </c>
      <c r="G209" s="5">
        <v>8.68</v>
      </c>
      <c r="I209" s="5">
        <v>1.22</v>
      </c>
    </row>
    <row r="210">
      <c r="A210" s="4" t="s">
        <v>477</v>
      </c>
      <c r="B210" s="5">
        <v>2322.0</v>
      </c>
      <c r="C210" s="5">
        <v>16.6</v>
      </c>
      <c r="D210" s="5">
        <v>17.6</v>
      </c>
      <c r="G210" s="5">
        <v>7.67</v>
      </c>
      <c r="I210" s="5">
        <v>0.38</v>
      </c>
    </row>
    <row r="211">
      <c r="A211" s="4" t="s">
        <v>476</v>
      </c>
      <c r="B211" s="5">
        <v>2321.0</v>
      </c>
      <c r="C211" s="5">
        <v>26.3</v>
      </c>
      <c r="D211" s="5">
        <v>22.4</v>
      </c>
      <c r="G211" s="5">
        <v>11.03</v>
      </c>
      <c r="I211" s="5">
        <v>1.87</v>
      </c>
    </row>
    <row r="212">
      <c r="A212" s="4" t="s">
        <v>478</v>
      </c>
      <c r="B212" s="5">
        <v>2319.0</v>
      </c>
      <c r="C212" s="5">
        <v>23.4</v>
      </c>
      <c r="D212" s="5">
        <v>17.8</v>
      </c>
      <c r="G212" s="5">
        <v>9.33</v>
      </c>
      <c r="I212" s="5">
        <v>1.17</v>
      </c>
    </row>
    <row r="213">
      <c r="A213" s="4" t="s">
        <v>480</v>
      </c>
      <c r="B213" s="5">
        <v>2320.0</v>
      </c>
      <c r="C213" s="5">
        <v>19.8</v>
      </c>
      <c r="D213" s="5">
        <v>19.2</v>
      </c>
      <c r="G213" s="5">
        <v>5.57</v>
      </c>
      <c r="I213" s="5">
        <v>0.38</v>
      </c>
    </row>
    <row r="214">
      <c r="A214" s="4" t="s">
        <v>479</v>
      </c>
      <c r="B214" s="5">
        <v>2317.0</v>
      </c>
      <c r="C214" s="5">
        <v>19.2</v>
      </c>
      <c r="D214" s="5">
        <v>20.2</v>
      </c>
      <c r="G214" s="5">
        <v>9.81</v>
      </c>
      <c r="I214" s="5">
        <v>0.96</v>
      </c>
    </row>
    <row r="215">
      <c r="A215" s="4" t="s">
        <v>488</v>
      </c>
      <c r="B215" s="5">
        <v>2318.0</v>
      </c>
      <c r="C215" s="5">
        <v>14.3</v>
      </c>
      <c r="D215" s="5">
        <v>19.4</v>
      </c>
      <c r="G215" s="5">
        <v>7.26</v>
      </c>
      <c r="I215" s="5">
        <v>0.53</v>
      </c>
    </row>
    <row r="216">
      <c r="A216" s="4" t="s">
        <v>482</v>
      </c>
      <c r="B216" s="5">
        <v>2316.0</v>
      </c>
      <c r="C216" s="5">
        <v>16.6</v>
      </c>
      <c r="D216" s="5">
        <v>16.5</v>
      </c>
      <c r="G216" s="5">
        <v>7.84</v>
      </c>
      <c r="I216" s="5">
        <v>0.25</v>
      </c>
    </row>
    <row r="217">
      <c r="A217" s="4" t="s">
        <v>493</v>
      </c>
      <c r="B217" s="5">
        <v>2315.0</v>
      </c>
      <c r="C217" s="5">
        <v>16.0</v>
      </c>
      <c r="D217" s="5">
        <v>16.3</v>
      </c>
      <c r="G217" s="5">
        <v>7.54</v>
      </c>
      <c r="I217" s="5">
        <v>0.31</v>
      </c>
    </row>
    <row r="218">
      <c r="A218" s="4"/>
    </row>
    <row r="219">
      <c r="A219" s="4" t="s">
        <v>496</v>
      </c>
      <c r="B219" s="5">
        <v>2330.0</v>
      </c>
      <c r="C219" s="5">
        <v>20.1</v>
      </c>
      <c r="D219" s="5">
        <v>12.2</v>
      </c>
      <c r="G219" s="5">
        <v>13.63</v>
      </c>
      <c r="I219" s="5">
        <v>3.65</v>
      </c>
    </row>
    <row r="220">
      <c r="A220" s="4" t="s">
        <v>497</v>
      </c>
      <c r="B220" s="5">
        <v>2329.0</v>
      </c>
      <c r="C220" s="5">
        <v>24.4</v>
      </c>
      <c r="D220" s="5">
        <v>23.7</v>
      </c>
      <c r="G220" s="5">
        <v>8.09</v>
      </c>
      <c r="I220" s="5">
        <v>1.55</v>
      </c>
    </row>
    <row r="221">
      <c r="A221" s="4" t="s">
        <v>504</v>
      </c>
      <c r="B221" s="5">
        <v>2326.0</v>
      </c>
      <c r="C221" s="5">
        <v>17.7</v>
      </c>
      <c r="D221" s="5">
        <v>19.1</v>
      </c>
      <c r="G221" s="5">
        <v>9.67</v>
      </c>
      <c r="I221" s="5">
        <v>1.01</v>
      </c>
    </row>
    <row r="222">
      <c r="A222" s="4" t="s">
        <v>1871</v>
      </c>
      <c r="B222" s="5">
        <v>2328.0</v>
      </c>
      <c r="C222" s="5">
        <v>27.9</v>
      </c>
      <c r="D222" s="5">
        <v>19.1</v>
      </c>
      <c r="G222" s="5">
        <v>10.48</v>
      </c>
      <c r="I222" s="5">
        <v>1.07</v>
      </c>
    </row>
    <row r="223">
      <c r="A223" s="4" t="s">
        <v>505</v>
      </c>
      <c r="B223" s="5">
        <v>2324.0</v>
      </c>
      <c r="C223" s="5">
        <v>22.1</v>
      </c>
      <c r="D223" s="5">
        <v>18.1</v>
      </c>
      <c r="G223" s="5">
        <v>6.58</v>
      </c>
      <c r="I223" s="5">
        <v>0.49</v>
      </c>
    </row>
    <row r="224">
      <c r="A224" s="4" t="s">
        <v>503</v>
      </c>
      <c r="B224" s="5">
        <v>2325.0</v>
      </c>
      <c r="C224" s="5">
        <v>24.6</v>
      </c>
      <c r="D224" s="5">
        <v>24.1</v>
      </c>
      <c r="G224" s="5">
        <v>5.66</v>
      </c>
      <c r="I224" s="5">
        <v>0.41</v>
      </c>
    </row>
    <row r="225">
      <c r="A225" s="4" t="s">
        <v>499</v>
      </c>
      <c r="B225" s="5">
        <v>2327.0</v>
      </c>
      <c r="C225" s="5">
        <v>20.7</v>
      </c>
      <c r="D225" s="5">
        <v>20.6</v>
      </c>
      <c r="G225" s="5">
        <v>6.58</v>
      </c>
      <c r="I225" s="5">
        <v>0.63</v>
      </c>
    </row>
    <row r="226">
      <c r="A226" s="4"/>
    </row>
    <row r="227">
      <c r="A227" s="4" t="s">
        <v>517</v>
      </c>
    </row>
    <row r="228">
      <c r="A228" s="4" t="s">
        <v>518</v>
      </c>
    </row>
    <row r="229">
      <c r="A229" s="4" t="s">
        <v>521</v>
      </c>
    </row>
    <row r="230">
      <c r="A230" s="4" t="s">
        <v>519</v>
      </c>
    </row>
    <row r="231">
      <c r="A231" s="4" t="s">
        <v>522</v>
      </c>
    </row>
    <row r="232">
      <c r="A232" s="4"/>
    </row>
    <row r="233">
      <c r="A233" s="4" t="s">
        <v>537</v>
      </c>
    </row>
    <row r="234">
      <c r="A234" s="4" t="s">
        <v>538</v>
      </c>
    </row>
    <row r="235">
      <c r="A235" s="4" t="s">
        <v>540</v>
      </c>
    </row>
    <row r="236">
      <c r="A236" s="4"/>
    </row>
    <row r="237">
      <c r="A237" s="4" t="s">
        <v>557</v>
      </c>
    </row>
    <row r="238">
      <c r="A238" s="4" t="s">
        <v>558</v>
      </c>
    </row>
    <row r="239">
      <c r="A239" s="4" t="s">
        <v>560</v>
      </c>
    </row>
    <row r="240">
      <c r="A240" s="4" t="s">
        <v>562</v>
      </c>
    </row>
    <row r="241">
      <c r="A241" s="4"/>
    </row>
    <row r="242">
      <c r="A242" s="4"/>
    </row>
    <row r="243">
      <c r="A243" s="4" t="s">
        <v>572</v>
      </c>
    </row>
    <row r="244">
      <c r="A244" s="4" t="s">
        <v>573</v>
      </c>
    </row>
    <row r="245">
      <c r="A245" s="4" t="s">
        <v>575</v>
      </c>
    </row>
    <row r="246">
      <c r="A246" s="4" t="s">
        <v>574</v>
      </c>
    </row>
    <row r="247">
      <c r="A247" s="4"/>
    </row>
    <row r="248">
      <c r="A248" s="4" t="s">
        <v>584</v>
      </c>
    </row>
    <row r="249">
      <c r="A249" s="4" t="s">
        <v>585</v>
      </c>
    </row>
    <row r="250">
      <c r="A250" s="4"/>
    </row>
    <row r="251">
      <c r="A251" s="4" t="s">
        <v>601</v>
      </c>
    </row>
    <row r="252">
      <c r="A252" s="4" t="s">
        <v>602</v>
      </c>
    </row>
    <row r="253">
      <c r="A253" s="4"/>
    </row>
    <row r="254">
      <c r="A254" s="4" t="s">
        <v>620</v>
      </c>
    </row>
    <row r="255">
      <c r="A255" s="4"/>
    </row>
    <row r="256">
      <c r="A256" s="4" t="s">
        <v>639</v>
      </c>
    </row>
    <row r="257">
      <c r="A257" s="4"/>
    </row>
    <row r="258">
      <c r="A258" s="4" t="s">
        <v>655</v>
      </c>
    </row>
    <row r="259">
      <c r="A259" s="4"/>
    </row>
    <row r="260">
      <c r="A260" s="4" t="s">
        <v>666</v>
      </c>
    </row>
    <row r="261">
      <c r="A261" s="4"/>
    </row>
    <row r="262">
      <c r="A262" s="4" t="s">
        <v>1872</v>
      </c>
    </row>
    <row r="263">
      <c r="A263" s="4"/>
    </row>
    <row r="264">
      <c r="A264" s="4"/>
    </row>
    <row r="265">
      <c r="A265" s="4" t="s">
        <v>754</v>
      </c>
      <c r="B265" s="5">
        <v>2400.0</v>
      </c>
      <c r="C265" s="5">
        <v>23.6</v>
      </c>
      <c r="D265" s="5">
        <v>14.1</v>
      </c>
      <c r="G265" s="5">
        <v>13.8</v>
      </c>
      <c r="H265" s="5">
        <v>2.0</v>
      </c>
      <c r="I265" s="5">
        <v>9.96</v>
      </c>
      <c r="K265" s="2" t="s">
        <v>14</v>
      </c>
    </row>
    <row r="266">
      <c r="A266" s="4" t="s">
        <v>755</v>
      </c>
      <c r="B266" s="5">
        <v>2399.0</v>
      </c>
      <c r="C266" s="5">
        <v>18.9</v>
      </c>
      <c r="D266" s="5">
        <v>15.5</v>
      </c>
      <c r="G266" s="5">
        <v>14.77</v>
      </c>
      <c r="I266" s="5">
        <v>6.2</v>
      </c>
      <c r="K266" s="6">
        <f>counta(I265:I412)</f>
        <v>86</v>
      </c>
    </row>
    <row r="267">
      <c r="A267" s="4" t="s">
        <v>1561</v>
      </c>
      <c r="B267" s="5">
        <v>2397.0</v>
      </c>
      <c r="C267" s="5">
        <v>12.6</v>
      </c>
      <c r="D267" s="5">
        <v>12.6</v>
      </c>
      <c r="G267" s="5">
        <v>12.97</v>
      </c>
      <c r="I267" s="5">
        <v>2.23</v>
      </c>
      <c r="K267" s="6">
        <f>sum(I265:I412)/K266</f>
        <v>1.449069767</v>
      </c>
    </row>
    <row r="268">
      <c r="A268" s="4" t="s">
        <v>756</v>
      </c>
      <c r="B268" s="5">
        <v>2387.0</v>
      </c>
      <c r="C268" s="5">
        <v>23.6</v>
      </c>
      <c r="D268" s="5">
        <v>24.2</v>
      </c>
      <c r="G268" s="5">
        <v>18.01</v>
      </c>
      <c r="I268" s="5">
        <v>4.47</v>
      </c>
    </row>
    <row r="269">
      <c r="A269" s="4" t="s">
        <v>1873</v>
      </c>
      <c r="B269" s="5">
        <v>2394.0</v>
      </c>
      <c r="C269" s="5">
        <v>23.6</v>
      </c>
      <c r="D269" s="5">
        <v>24.1</v>
      </c>
      <c r="E269" s="5">
        <v>14.8</v>
      </c>
      <c r="G269" s="5">
        <v>17.84</v>
      </c>
      <c r="I269" s="5">
        <v>4.74</v>
      </c>
    </row>
    <row r="270">
      <c r="A270" s="4" t="s">
        <v>1562</v>
      </c>
      <c r="B270" s="5">
        <v>2396.0</v>
      </c>
      <c r="C270" s="5">
        <v>14.9</v>
      </c>
      <c r="D270" s="5">
        <v>19.5</v>
      </c>
      <c r="G270" s="5">
        <v>13.05</v>
      </c>
      <c r="I270" s="5">
        <v>2.17</v>
      </c>
    </row>
    <row r="271">
      <c r="A271" s="4" t="s">
        <v>759</v>
      </c>
      <c r="B271" s="5">
        <v>2388.0</v>
      </c>
      <c r="C271" s="5">
        <v>26.1</v>
      </c>
      <c r="D271" s="5">
        <v>28.0</v>
      </c>
      <c r="G271" s="5">
        <v>14.4</v>
      </c>
      <c r="I271" s="5">
        <v>1.73</v>
      </c>
    </row>
    <row r="272">
      <c r="A272" s="4" t="s">
        <v>1874</v>
      </c>
      <c r="B272" s="5">
        <v>2383.0</v>
      </c>
      <c r="C272" s="5">
        <v>23.0</v>
      </c>
      <c r="D272" s="5">
        <v>20.1</v>
      </c>
      <c r="G272" s="5">
        <v>12.36</v>
      </c>
      <c r="I272" s="5">
        <v>2.25</v>
      </c>
    </row>
    <row r="273">
      <c r="A273" s="4" t="s">
        <v>765</v>
      </c>
      <c r="B273" s="5">
        <v>2389.0</v>
      </c>
      <c r="C273" s="5">
        <v>21.5</v>
      </c>
      <c r="D273" s="5">
        <v>17.3</v>
      </c>
      <c r="G273" s="5">
        <v>12.67</v>
      </c>
      <c r="I273" s="5">
        <v>1.98</v>
      </c>
    </row>
    <row r="274">
      <c r="A274" s="4" t="s">
        <v>761</v>
      </c>
      <c r="B274" s="5">
        <v>2398.0</v>
      </c>
      <c r="C274" s="5">
        <v>25.7</v>
      </c>
      <c r="D274" s="5">
        <v>32.6</v>
      </c>
      <c r="G274" s="5">
        <v>9.88</v>
      </c>
      <c r="I274" s="5">
        <v>1.21</v>
      </c>
    </row>
    <row r="275">
      <c r="A275" s="4" t="s">
        <v>1564</v>
      </c>
      <c r="B275" s="5">
        <v>2391.0</v>
      </c>
      <c r="C275" s="5">
        <v>19.5</v>
      </c>
      <c r="D275" s="5">
        <v>19.3</v>
      </c>
      <c r="G275" s="5">
        <v>9.82</v>
      </c>
      <c r="I275" s="5">
        <v>1.77</v>
      </c>
    </row>
    <row r="276">
      <c r="A276" s="4" t="s">
        <v>758</v>
      </c>
      <c r="B276" s="5">
        <v>2368.0</v>
      </c>
      <c r="C276" s="5">
        <v>26.1</v>
      </c>
      <c r="D276" s="5">
        <v>22.5</v>
      </c>
      <c r="G276" s="5">
        <v>11.24</v>
      </c>
      <c r="I276" s="5">
        <v>1.96</v>
      </c>
    </row>
    <row r="277">
      <c r="A277" s="4" t="s">
        <v>764</v>
      </c>
      <c r="B277" s="5">
        <v>2376.0</v>
      </c>
      <c r="C277" s="5">
        <v>20.3</v>
      </c>
      <c r="D277" s="5">
        <v>16.7</v>
      </c>
      <c r="G277" s="5">
        <v>10.46</v>
      </c>
      <c r="I277" s="5">
        <v>1.57</v>
      </c>
    </row>
    <row r="278">
      <c r="A278" s="4" t="s">
        <v>1875</v>
      </c>
      <c r="B278" s="5">
        <v>2373.0</v>
      </c>
      <c r="C278" s="5">
        <v>17.8</v>
      </c>
      <c r="D278" s="5">
        <v>19.8</v>
      </c>
      <c r="G278" s="5">
        <v>9.8</v>
      </c>
      <c r="I278" s="5">
        <v>1.54</v>
      </c>
    </row>
    <row r="279">
      <c r="A279" s="4" t="s">
        <v>763</v>
      </c>
      <c r="B279" s="5">
        <v>2386.0</v>
      </c>
      <c r="C279" s="5">
        <v>18.5</v>
      </c>
      <c r="D279" s="5">
        <v>18.8</v>
      </c>
      <c r="G279" s="5">
        <v>9.11</v>
      </c>
      <c r="I279" s="5">
        <v>1.07</v>
      </c>
    </row>
    <row r="280">
      <c r="A280" s="4" t="s">
        <v>1569</v>
      </c>
      <c r="B280" s="5">
        <v>2393.0</v>
      </c>
      <c r="C280" s="5">
        <v>27.4</v>
      </c>
      <c r="D280" s="5">
        <v>27.8</v>
      </c>
      <c r="G280" s="5">
        <v>9.67</v>
      </c>
      <c r="I280" s="5">
        <v>1.3</v>
      </c>
    </row>
    <row r="281">
      <c r="A281" s="4" t="s">
        <v>1570</v>
      </c>
      <c r="B281" s="5">
        <v>2390.0</v>
      </c>
      <c r="C281" s="5">
        <v>20.7</v>
      </c>
      <c r="D281" s="5">
        <v>16.0</v>
      </c>
      <c r="G281" s="5">
        <v>8.91</v>
      </c>
      <c r="I281" s="5">
        <v>1.16</v>
      </c>
    </row>
    <row r="282">
      <c r="A282" s="4" t="s">
        <v>1876</v>
      </c>
      <c r="B282" s="5">
        <v>2395.0</v>
      </c>
      <c r="C282" s="5">
        <v>22.2</v>
      </c>
      <c r="D282" s="5">
        <v>28.0</v>
      </c>
      <c r="G282" s="5">
        <v>9.33</v>
      </c>
      <c r="I282" s="5">
        <v>0.93</v>
      </c>
    </row>
    <row r="283">
      <c r="A283" s="4" t="s">
        <v>768</v>
      </c>
      <c r="B283" s="5">
        <v>2384.0</v>
      </c>
      <c r="C283" s="5">
        <v>18.2</v>
      </c>
      <c r="D283" s="5">
        <v>16.9</v>
      </c>
      <c r="G283" s="5">
        <v>8.94</v>
      </c>
      <c r="I283" s="5">
        <v>1.57</v>
      </c>
    </row>
    <row r="284">
      <c r="A284" s="4" t="s">
        <v>1565</v>
      </c>
      <c r="B284" s="5">
        <v>2385.0</v>
      </c>
      <c r="C284" s="5">
        <v>19.1</v>
      </c>
      <c r="D284" s="5">
        <v>19.2</v>
      </c>
      <c r="G284" s="5">
        <v>8.42</v>
      </c>
      <c r="I284" s="5">
        <v>1.44</v>
      </c>
    </row>
    <row r="285">
      <c r="A285" s="4" t="s">
        <v>1877</v>
      </c>
      <c r="B285" s="5">
        <v>2382.0</v>
      </c>
      <c r="C285" s="5">
        <v>16.9</v>
      </c>
      <c r="D285" s="5">
        <v>24.4</v>
      </c>
      <c r="G285" s="5">
        <v>7.7</v>
      </c>
      <c r="I285" s="5">
        <v>0.57</v>
      </c>
    </row>
    <row r="286">
      <c r="A286" s="4" t="s">
        <v>1338</v>
      </c>
      <c r="J286" s="5" t="s">
        <v>1840</v>
      </c>
    </row>
    <row r="287">
      <c r="A287" s="4" t="s">
        <v>770</v>
      </c>
      <c r="B287" s="5">
        <v>2379.0</v>
      </c>
      <c r="C287" s="5">
        <v>20.8</v>
      </c>
      <c r="D287" s="5">
        <v>16.5</v>
      </c>
      <c r="G287" s="5">
        <v>7.92</v>
      </c>
      <c r="I287" s="5">
        <v>0.43</v>
      </c>
    </row>
    <row r="288">
      <c r="A288" s="4" t="s">
        <v>766</v>
      </c>
      <c r="B288" s="5">
        <v>2374.0</v>
      </c>
      <c r="C288" s="5">
        <v>20.2</v>
      </c>
      <c r="D288" s="5">
        <v>12.8</v>
      </c>
      <c r="G288" s="5">
        <v>8.22</v>
      </c>
      <c r="I288" s="5">
        <v>0.85</v>
      </c>
    </row>
    <row r="289">
      <c r="A289" s="4" t="s">
        <v>1878</v>
      </c>
      <c r="B289" s="5">
        <v>2371.0</v>
      </c>
      <c r="C289" s="5">
        <v>14.7</v>
      </c>
      <c r="D289" s="5">
        <v>10.7</v>
      </c>
      <c r="G289" s="5">
        <v>8.39</v>
      </c>
      <c r="I289" s="5">
        <v>0.63</v>
      </c>
    </row>
    <row r="290">
      <c r="A290" s="4" t="s">
        <v>769</v>
      </c>
      <c r="B290" s="5">
        <v>2377.0</v>
      </c>
      <c r="C290" s="5">
        <v>17.0</v>
      </c>
      <c r="D290" s="5">
        <v>17.5</v>
      </c>
      <c r="G290" s="5">
        <v>7.47</v>
      </c>
      <c r="I290" s="5">
        <v>0.48</v>
      </c>
    </row>
    <row r="291">
      <c r="A291" s="4" t="s">
        <v>1879</v>
      </c>
      <c r="B291" s="5">
        <v>2392.0</v>
      </c>
      <c r="C291" s="5">
        <v>18.8</v>
      </c>
      <c r="D291" s="5">
        <v>18.1</v>
      </c>
      <c r="G291" s="5">
        <v>8.23</v>
      </c>
      <c r="I291" s="5">
        <v>0.65</v>
      </c>
    </row>
    <row r="292">
      <c r="A292" s="4" t="s">
        <v>1566</v>
      </c>
      <c r="B292" s="5">
        <v>2378.0</v>
      </c>
      <c r="C292" s="5">
        <v>15.4</v>
      </c>
      <c r="D292" s="5">
        <v>9.4</v>
      </c>
      <c r="G292" s="5">
        <v>8.02</v>
      </c>
      <c r="I292" s="5">
        <v>0.57</v>
      </c>
    </row>
    <row r="293">
      <c r="A293" s="4" t="s">
        <v>1342</v>
      </c>
      <c r="J293" s="5" t="s">
        <v>1840</v>
      </c>
    </row>
    <row r="294">
      <c r="A294" s="4" t="s">
        <v>1571</v>
      </c>
      <c r="B294" s="5">
        <v>2375.0</v>
      </c>
      <c r="C294" s="5">
        <v>11.1</v>
      </c>
      <c r="D294" s="5">
        <v>9.1</v>
      </c>
      <c r="G294" s="5">
        <v>4.59</v>
      </c>
      <c r="I294" s="5">
        <v>0.17</v>
      </c>
    </row>
    <row r="295">
      <c r="A295" s="4" t="s">
        <v>1845</v>
      </c>
      <c r="B295" s="5">
        <v>2381.0</v>
      </c>
      <c r="C295" s="5">
        <v>19.9</v>
      </c>
      <c r="D295" s="5">
        <v>14.3</v>
      </c>
      <c r="G295" s="5">
        <v>6.95</v>
      </c>
      <c r="I295" s="5">
        <v>0.52</v>
      </c>
    </row>
    <row r="296">
      <c r="A296" s="4" t="s">
        <v>1351</v>
      </c>
      <c r="B296" s="5">
        <v>2370.0</v>
      </c>
      <c r="C296" s="5">
        <v>14.8</v>
      </c>
      <c r="D296" s="5">
        <v>10.2</v>
      </c>
      <c r="G296" s="5">
        <v>4.65</v>
      </c>
      <c r="I296" s="5">
        <v>0.06</v>
      </c>
    </row>
    <row r="297">
      <c r="A297" s="4" t="s">
        <v>1880</v>
      </c>
      <c r="B297" s="5">
        <v>2380.0</v>
      </c>
      <c r="C297" s="5">
        <v>17.3</v>
      </c>
      <c r="D297" s="5">
        <v>14.0</v>
      </c>
      <c r="G297" s="5">
        <v>5.65</v>
      </c>
      <c r="I297" s="5">
        <v>0.23</v>
      </c>
    </row>
    <row r="298">
      <c r="A298" s="4" t="s">
        <v>1881</v>
      </c>
      <c r="B298" s="5">
        <v>2369.0</v>
      </c>
      <c r="C298" s="5">
        <v>4.96</v>
      </c>
      <c r="D298" s="5">
        <v>11.4</v>
      </c>
      <c r="G298" s="5">
        <v>9.2</v>
      </c>
      <c r="I298" s="5">
        <v>0.15</v>
      </c>
    </row>
    <row r="299">
      <c r="A299" s="4" t="s">
        <v>1568</v>
      </c>
      <c r="B299" s="5">
        <v>2372.0</v>
      </c>
      <c r="C299" s="5">
        <v>17.2</v>
      </c>
      <c r="D299" s="5">
        <v>12.6</v>
      </c>
      <c r="G299" s="5">
        <v>5.92</v>
      </c>
      <c r="I299" s="5">
        <v>0.31</v>
      </c>
    </row>
    <row r="300">
      <c r="A300" s="4"/>
    </row>
    <row r="301">
      <c r="A301" s="4" t="s">
        <v>771</v>
      </c>
      <c r="B301" s="5">
        <v>2523.0</v>
      </c>
      <c r="C301" s="5">
        <v>24.9</v>
      </c>
      <c r="D301" s="5">
        <v>15.0</v>
      </c>
      <c r="G301" s="5">
        <v>10.13</v>
      </c>
      <c r="I301" s="5">
        <v>6.77</v>
      </c>
    </row>
    <row r="302">
      <c r="A302" s="4" t="s">
        <v>1882</v>
      </c>
      <c r="B302" s="5">
        <v>2522.0</v>
      </c>
      <c r="C302" s="5">
        <v>22.3</v>
      </c>
      <c r="D302" s="5">
        <v>27.1</v>
      </c>
      <c r="G302" s="5">
        <v>10.62</v>
      </c>
      <c r="I302" s="5">
        <v>1.7</v>
      </c>
    </row>
    <row r="303">
      <c r="A303" s="4" t="s">
        <v>772</v>
      </c>
      <c r="B303" s="5">
        <v>2521.0</v>
      </c>
      <c r="C303" s="5">
        <v>24.4</v>
      </c>
      <c r="D303" s="5">
        <v>22.6</v>
      </c>
      <c r="G303" s="5">
        <v>11.36</v>
      </c>
      <c r="I303" s="5">
        <v>4.04</v>
      </c>
    </row>
    <row r="304">
      <c r="A304" s="4" t="s">
        <v>774</v>
      </c>
      <c r="B304" s="5">
        <v>2512.0</v>
      </c>
      <c r="C304" s="5">
        <v>25.7</v>
      </c>
      <c r="D304" s="5">
        <v>23.0</v>
      </c>
      <c r="G304" s="5">
        <v>10.94</v>
      </c>
      <c r="I304" s="5">
        <v>3.08</v>
      </c>
    </row>
    <row r="305">
      <c r="A305" s="4" t="s">
        <v>1883</v>
      </c>
      <c r="B305" s="5">
        <v>2510.0</v>
      </c>
      <c r="C305" s="5">
        <v>24.4</v>
      </c>
      <c r="D305" s="5">
        <v>25.1</v>
      </c>
      <c r="G305" s="5">
        <v>8.9</v>
      </c>
      <c r="I305" s="5">
        <v>1.53</v>
      </c>
    </row>
    <row r="306">
      <c r="A306" s="4" t="s">
        <v>1884</v>
      </c>
      <c r="B306" s="5">
        <v>2518.0</v>
      </c>
      <c r="C306" s="5">
        <v>18.2</v>
      </c>
      <c r="D306" s="5">
        <v>22.6</v>
      </c>
      <c r="G306" s="5">
        <v>9.2</v>
      </c>
      <c r="I306" s="5">
        <v>0.95</v>
      </c>
    </row>
    <row r="307">
      <c r="A307" s="4" t="s">
        <v>779</v>
      </c>
      <c r="B307" s="5">
        <v>2507.0</v>
      </c>
      <c r="C307" s="5">
        <v>24.0</v>
      </c>
      <c r="D307" s="5">
        <v>21.5</v>
      </c>
      <c r="G307" s="5">
        <v>7.78</v>
      </c>
      <c r="I307" s="5">
        <v>1.72</v>
      </c>
    </row>
    <row r="308">
      <c r="A308" s="4" t="s">
        <v>1353</v>
      </c>
      <c r="B308" s="5">
        <v>2517.0</v>
      </c>
      <c r="C308" s="5">
        <v>24.0</v>
      </c>
      <c r="D308" s="5">
        <v>28.1</v>
      </c>
      <c r="G308" s="5">
        <v>5.88</v>
      </c>
      <c r="I308" s="5">
        <v>1.08</v>
      </c>
    </row>
    <row r="309">
      <c r="A309" s="4" t="s">
        <v>1885</v>
      </c>
      <c r="B309" s="5">
        <v>2513.0</v>
      </c>
      <c r="C309" s="5">
        <v>18.8</v>
      </c>
      <c r="D309" s="5">
        <v>20.1</v>
      </c>
      <c r="G309" s="5">
        <v>7.2</v>
      </c>
      <c r="I309" s="5">
        <v>0.71</v>
      </c>
    </row>
    <row r="310">
      <c r="A310" s="4" t="s">
        <v>1794</v>
      </c>
      <c r="B310" s="5">
        <v>2511.0</v>
      </c>
      <c r="C310" s="5">
        <v>28.5</v>
      </c>
      <c r="D310" s="5">
        <v>27.4</v>
      </c>
      <c r="G310" s="5">
        <v>8.37</v>
      </c>
      <c r="I310" s="5">
        <v>1.23</v>
      </c>
    </row>
    <row r="311">
      <c r="A311" s="4" t="s">
        <v>1886</v>
      </c>
      <c r="B311" s="5">
        <v>2509.0</v>
      </c>
      <c r="C311" s="5">
        <v>22.3</v>
      </c>
      <c r="D311" s="5">
        <v>20.2</v>
      </c>
      <c r="G311" s="5">
        <v>8.13</v>
      </c>
      <c r="I311" s="5">
        <v>0.68</v>
      </c>
    </row>
    <row r="312">
      <c r="A312" s="4" t="s">
        <v>780</v>
      </c>
      <c r="B312" s="5">
        <v>2503.0</v>
      </c>
      <c r="C312" s="5">
        <v>16.7</v>
      </c>
      <c r="D312" s="5">
        <v>13.7</v>
      </c>
      <c r="G312" s="5">
        <v>7.88</v>
      </c>
      <c r="I312" s="5">
        <v>0.79</v>
      </c>
    </row>
    <row r="313">
      <c r="A313" s="4" t="s">
        <v>1798</v>
      </c>
      <c r="B313" s="5">
        <v>2506.0</v>
      </c>
      <c r="C313" s="5">
        <v>15.9</v>
      </c>
      <c r="D313" s="5">
        <v>14.3</v>
      </c>
      <c r="G313" s="5">
        <v>8.66</v>
      </c>
      <c r="I313" s="5">
        <v>0.72</v>
      </c>
    </row>
    <row r="314">
      <c r="A314" s="4" t="s">
        <v>1356</v>
      </c>
      <c r="B314" s="5">
        <v>2515.0</v>
      </c>
      <c r="C314" s="5">
        <v>15.5</v>
      </c>
      <c r="D314" s="5">
        <v>14.1</v>
      </c>
      <c r="G314" s="5">
        <v>7.25</v>
      </c>
      <c r="I314" s="5">
        <v>0.71</v>
      </c>
    </row>
    <row r="315">
      <c r="A315" s="4" t="s">
        <v>1573</v>
      </c>
      <c r="B315" s="5">
        <v>2520.0</v>
      </c>
      <c r="C315" s="5">
        <v>24.4</v>
      </c>
      <c r="D315" s="5">
        <v>20.1</v>
      </c>
      <c r="G315" s="5">
        <v>6.8</v>
      </c>
      <c r="I315" s="5">
        <v>0.46</v>
      </c>
    </row>
    <row r="316">
      <c r="A316" s="4" t="s">
        <v>1887</v>
      </c>
      <c r="B316" s="5">
        <v>2504.0</v>
      </c>
      <c r="C316" s="5">
        <v>13.7</v>
      </c>
      <c r="D316" s="5">
        <v>16.6</v>
      </c>
      <c r="G316" s="5">
        <v>5.53</v>
      </c>
      <c r="I316" s="5">
        <v>0.49</v>
      </c>
    </row>
    <row r="317">
      <c r="A317" s="4" t="s">
        <v>1888</v>
      </c>
      <c r="B317" s="5">
        <v>2508.0</v>
      </c>
      <c r="C317" s="5">
        <v>14.8</v>
      </c>
      <c r="D317" s="5">
        <v>15.3</v>
      </c>
      <c r="G317" s="5">
        <v>6.73</v>
      </c>
      <c r="I317" s="5">
        <v>0.44</v>
      </c>
    </row>
    <row r="318">
      <c r="A318" s="4" t="s">
        <v>1889</v>
      </c>
      <c r="B318" s="5">
        <v>2502.0</v>
      </c>
      <c r="C318" s="5">
        <v>13.3</v>
      </c>
      <c r="D318" s="5">
        <v>9.4</v>
      </c>
      <c r="G318" s="5">
        <v>3.95</v>
      </c>
      <c r="I318" s="5">
        <v>0.09</v>
      </c>
    </row>
    <row r="319">
      <c r="A319" s="4" t="s">
        <v>1890</v>
      </c>
      <c r="B319" s="5">
        <v>2505.0</v>
      </c>
      <c r="C319" s="5">
        <v>12.7</v>
      </c>
      <c r="D319" s="5">
        <v>12.1</v>
      </c>
      <c r="G319" s="5">
        <v>4.25</v>
      </c>
      <c r="I319" s="5">
        <v>0.1</v>
      </c>
    </row>
    <row r="320">
      <c r="A320" s="4" t="s">
        <v>777</v>
      </c>
      <c r="B320" s="5">
        <v>2516.0</v>
      </c>
      <c r="C320" s="5">
        <v>18.1</v>
      </c>
      <c r="D320" s="5">
        <v>16.6</v>
      </c>
      <c r="G320" s="5">
        <v>5.7</v>
      </c>
      <c r="I320" s="5">
        <v>0.23</v>
      </c>
    </row>
    <row r="321">
      <c r="A321" s="4" t="s">
        <v>1359</v>
      </c>
      <c r="B321" s="5">
        <v>2514.0</v>
      </c>
      <c r="C321" s="5">
        <v>13.6</v>
      </c>
      <c r="D321" s="5">
        <v>14.1</v>
      </c>
      <c r="G321" s="5">
        <v>4.74</v>
      </c>
      <c r="I321" s="5">
        <v>0.17</v>
      </c>
    </row>
    <row r="322">
      <c r="A322" s="4" t="s">
        <v>1574</v>
      </c>
      <c r="B322" s="5">
        <v>2519.0</v>
      </c>
      <c r="C322" s="5">
        <v>14.0</v>
      </c>
      <c r="D322" s="5">
        <v>16.5</v>
      </c>
      <c r="G322" s="5">
        <v>4.91</v>
      </c>
      <c r="I322" s="5">
        <v>0.24</v>
      </c>
    </row>
    <row r="323">
      <c r="A323" s="4" t="s">
        <v>1803</v>
      </c>
      <c r="B323" s="5">
        <v>2501.0</v>
      </c>
      <c r="C323" s="5">
        <v>15.1</v>
      </c>
      <c r="D323" s="5">
        <v>10.9</v>
      </c>
      <c r="G323" s="5">
        <v>5.4</v>
      </c>
      <c r="I323" s="5">
        <v>0.24</v>
      </c>
    </row>
    <row r="324">
      <c r="A324" s="4"/>
    </row>
    <row r="325">
      <c r="A325" s="4" t="s">
        <v>796</v>
      </c>
      <c r="B325" s="5">
        <v>2536.0</v>
      </c>
      <c r="C325" s="5">
        <v>26.2</v>
      </c>
      <c r="D325" s="5">
        <v>19.8</v>
      </c>
      <c r="G325" s="5">
        <v>10.99</v>
      </c>
      <c r="I325" s="5">
        <v>3.1</v>
      </c>
    </row>
    <row r="326">
      <c r="A326" s="4" t="s">
        <v>797</v>
      </c>
      <c r="B326" s="5">
        <v>2534.0</v>
      </c>
      <c r="C326" s="5">
        <v>30.6</v>
      </c>
      <c r="D326" s="5">
        <v>24.0</v>
      </c>
      <c r="G326" s="5">
        <v>11.47</v>
      </c>
      <c r="I326" s="5">
        <v>3.56</v>
      </c>
    </row>
    <row r="327">
      <c r="A327" s="4" t="s">
        <v>1366</v>
      </c>
      <c r="B327" s="5">
        <v>2535.0</v>
      </c>
      <c r="C327" s="5">
        <v>23.1</v>
      </c>
      <c r="D327" s="5">
        <v>26.2</v>
      </c>
      <c r="G327" s="5">
        <v>10.58</v>
      </c>
      <c r="I327" s="5">
        <v>2.16</v>
      </c>
    </row>
    <row r="328">
      <c r="A328" s="4" t="s">
        <v>798</v>
      </c>
      <c r="B328" s="5">
        <v>2531.0</v>
      </c>
      <c r="C328" s="5">
        <v>25.6</v>
      </c>
      <c r="D328" s="5">
        <v>18.2</v>
      </c>
      <c r="G328" s="5">
        <v>9.99</v>
      </c>
      <c r="I328" s="5">
        <v>2.18</v>
      </c>
    </row>
    <row r="329">
      <c r="A329" s="4" t="s">
        <v>799</v>
      </c>
      <c r="B329" s="5">
        <v>2533.0</v>
      </c>
      <c r="C329" s="5">
        <v>21.6</v>
      </c>
      <c r="D329" s="5">
        <v>27.1</v>
      </c>
      <c r="G329" s="5">
        <v>8.03</v>
      </c>
      <c r="I329" s="5">
        <v>0.99</v>
      </c>
    </row>
    <row r="330">
      <c r="A330" s="4" t="s">
        <v>1368</v>
      </c>
      <c r="B330" s="5">
        <v>2530.0</v>
      </c>
      <c r="C330" s="5">
        <v>23.8</v>
      </c>
      <c r="D330" s="5">
        <v>26.1</v>
      </c>
      <c r="G330" s="5">
        <v>7.93</v>
      </c>
      <c r="I330" s="5">
        <v>0.94</v>
      </c>
    </row>
    <row r="331">
      <c r="A331" s="4" t="s">
        <v>1369</v>
      </c>
      <c r="B331" s="5">
        <v>2532.0</v>
      </c>
      <c r="C331" s="5">
        <v>22.2</v>
      </c>
      <c r="D331" s="5">
        <v>23.8</v>
      </c>
      <c r="G331" s="5">
        <v>8.58</v>
      </c>
      <c r="I331" s="5">
        <v>1.69</v>
      </c>
    </row>
    <row r="332">
      <c r="A332" s="4" t="s">
        <v>1373</v>
      </c>
      <c r="B332" s="5">
        <v>2525.0</v>
      </c>
      <c r="C332" s="5">
        <v>20.2</v>
      </c>
      <c r="D332" s="5">
        <v>16.7</v>
      </c>
      <c r="G332" s="5">
        <v>7.42</v>
      </c>
      <c r="I332" s="5">
        <v>0.81</v>
      </c>
    </row>
    <row r="333">
      <c r="A333" s="4" t="s">
        <v>800</v>
      </c>
      <c r="B333" s="5">
        <v>2527.0</v>
      </c>
      <c r="C333" s="5">
        <v>22.1</v>
      </c>
      <c r="D333" s="5">
        <v>14.0</v>
      </c>
      <c r="G333" s="5">
        <v>8.15</v>
      </c>
      <c r="I333" s="5">
        <v>1.22</v>
      </c>
    </row>
    <row r="334">
      <c r="A334" s="4" t="s">
        <v>1372</v>
      </c>
      <c r="B334" s="5">
        <v>2526.0</v>
      </c>
      <c r="C334" s="5">
        <v>17.0</v>
      </c>
      <c r="D334" s="5">
        <v>15.2</v>
      </c>
      <c r="G334" s="5">
        <v>7.41</v>
      </c>
      <c r="I334" s="5">
        <v>0.41</v>
      </c>
    </row>
    <row r="335">
      <c r="A335" s="4" t="s">
        <v>801</v>
      </c>
      <c r="B335" s="5">
        <v>2529.0</v>
      </c>
      <c r="C335" s="5">
        <v>16.6</v>
      </c>
      <c r="D335" s="5">
        <v>12.1</v>
      </c>
      <c r="G335" s="5">
        <v>7.81</v>
      </c>
      <c r="I335" s="5">
        <v>0.8</v>
      </c>
    </row>
    <row r="336">
      <c r="A336" s="4" t="s">
        <v>1378</v>
      </c>
      <c r="B336" s="5">
        <v>2524.0</v>
      </c>
      <c r="C336" s="5">
        <v>16.5</v>
      </c>
      <c r="D336" s="5">
        <v>14.8</v>
      </c>
      <c r="G336" s="5">
        <v>6.71</v>
      </c>
      <c r="I336" s="5">
        <v>0.38</v>
      </c>
    </row>
    <row r="337">
      <c r="A337" s="4" t="s">
        <v>803</v>
      </c>
      <c r="B337" s="5">
        <v>2528.0</v>
      </c>
      <c r="C337" s="5">
        <v>15.5</v>
      </c>
      <c r="D337" s="5">
        <v>13.1</v>
      </c>
      <c r="G337" s="5">
        <v>4.8</v>
      </c>
      <c r="I337" s="5">
        <v>0.24</v>
      </c>
    </row>
    <row r="338">
      <c r="A338" s="4" t="s">
        <v>1376</v>
      </c>
    </row>
    <row r="339">
      <c r="A339" s="4"/>
    </row>
    <row r="340">
      <c r="A340" s="4" t="s">
        <v>808</v>
      </c>
    </row>
    <row r="341">
      <c r="A341" s="4" t="s">
        <v>809</v>
      </c>
    </row>
    <row r="342">
      <c r="A342" s="4" t="s">
        <v>810</v>
      </c>
    </row>
    <row r="343">
      <c r="A343" s="4" t="s">
        <v>818</v>
      </c>
    </row>
    <row r="344">
      <c r="A344" s="4"/>
    </row>
    <row r="345">
      <c r="A345" s="4" t="s">
        <v>837</v>
      </c>
      <c r="B345" s="5">
        <v>2541.0</v>
      </c>
      <c r="C345" s="5">
        <v>29.0</v>
      </c>
      <c r="D345" s="5">
        <v>22.1</v>
      </c>
      <c r="G345" s="5">
        <v>12.08</v>
      </c>
      <c r="I345" s="5">
        <v>3.31</v>
      </c>
    </row>
    <row r="346">
      <c r="A346" s="4" t="s">
        <v>838</v>
      </c>
      <c r="B346" s="5">
        <v>2540.0</v>
      </c>
      <c r="C346" s="5">
        <v>27.5</v>
      </c>
      <c r="D346" s="5">
        <v>24.2</v>
      </c>
      <c r="G346" s="5">
        <v>8.72</v>
      </c>
      <c r="I346" s="5">
        <v>2.3</v>
      </c>
    </row>
    <row r="347">
      <c r="A347" s="4" t="s">
        <v>839</v>
      </c>
      <c r="B347" s="5">
        <v>2539.0</v>
      </c>
      <c r="C347" s="5">
        <v>23.3</v>
      </c>
      <c r="D347" s="5">
        <v>21.8</v>
      </c>
      <c r="G347" s="5">
        <v>9.66</v>
      </c>
      <c r="I347" s="5">
        <v>1.63</v>
      </c>
    </row>
    <row r="348">
      <c r="A348" s="4" t="s">
        <v>842</v>
      </c>
      <c r="B348" s="5">
        <v>2538.0</v>
      </c>
      <c r="C348" s="5">
        <v>17.1</v>
      </c>
      <c r="D348" s="5">
        <v>17.7</v>
      </c>
      <c r="G348" s="5">
        <v>6.09</v>
      </c>
      <c r="I348" s="5">
        <v>0.83</v>
      </c>
    </row>
    <row r="349">
      <c r="A349" s="4" t="s">
        <v>846</v>
      </c>
      <c r="B349" s="5">
        <v>2537.0</v>
      </c>
      <c r="C349" s="5">
        <v>15.4</v>
      </c>
      <c r="D349" s="5">
        <v>13.0</v>
      </c>
      <c r="G349" s="5">
        <v>5.15</v>
      </c>
      <c r="I349" s="5">
        <v>0.21</v>
      </c>
    </row>
    <row r="350">
      <c r="A350" s="4"/>
    </row>
    <row r="351">
      <c r="A351" s="4" t="s">
        <v>857</v>
      </c>
      <c r="B351" s="5">
        <v>2549.0</v>
      </c>
      <c r="C351" s="5">
        <v>22.5</v>
      </c>
      <c r="D351" s="5">
        <v>27.4</v>
      </c>
      <c r="G351" s="5">
        <v>10.86</v>
      </c>
      <c r="I351" s="5">
        <v>3.54</v>
      </c>
    </row>
    <row r="352">
      <c r="A352" s="4" t="s">
        <v>858</v>
      </c>
      <c r="B352" s="5">
        <v>2548.0</v>
      </c>
      <c r="C352" s="5">
        <v>34.0</v>
      </c>
      <c r="D352" s="5">
        <v>23.0</v>
      </c>
      <c r="G352" s="5">
        <v>9.4</v>
      </c>
      <c r="I352" s="5">
        <v>2.09</v>
      </c>
    </row>
    <row r="353">
      <c r="A353" s="4" t="s">
        <v>859</v>
      </c>
      <c r="B353" s="5">
        <v>2546.0</v>
      </c>
      <c r="C353" s="5">
        <v>25.3</v>
      </c>
      <c r="D353" s="5">
        <v>19.2</v>
      </c>
      <c r="G353" s="5">
        <v>8.09</v>
      </c>
      <c r="I353" s="5">
        <v>1.37</v>
      </c>
    </row>
    <row r="354">
      <c r="A354" s="4" t="s">
        <v>860</v>
      </c>
      <c r="B354" s="5">
        <v>2547.0</v>
      </c>
      <c r="C354" s="5">
        <v>28.5</v>
      </c>
      <c r="D354" s="5">
        <v>28.5</v>
      </c>
      <c r="G354" s="5">
        <v>8.85</v>
      </c>
      <c r="I354" s="5">
        <v>1.48</v>
      </c>
    </row>
    <row r="355">
      <c r="A355" s="4" t="s">
        <v>863</v>
      </c>
      <c r="B355" s="5">
        <v>2542.0</v>
      </c>
      <c r="C355" s="5">
        <v>17.1</v>
      </c>
      <c r="D355" s="5">
        <v>17.2</v>
      </c>
      <c r="G355" s="5">
        <v>7.4</v>
      </c>
      <c r="I355" s="5">
        <v>0.7</v>
      </c>
    </row>
    <row r="356">
      <c r="A356" s="4" t="s">
        <v>866</v>
      </c>
      <c r="B356" s="5">
        <v>2544.0</v>
      </c>
      <c r="C356" s="5">
        <v>17.6</v>
      </c>
      <c r="D356" s="5">
        <v>15.8</v>
      </c>
      <c r="G356" s="5">
        <v>7.01</v>
      </c>
      <c r="I356" s="5">
        <v>0.74</v>
      </c>
    </row>
    <row r="357">
      <c r="A357" s="4" t="s">
        <v>873</v>
      </c>
      <c r="J357" s="5" t="s">
        <v>1840</v>
      </c>
    </row>
    <row r="358">
      <c r="A358" s="4" t="s">
        <v>872</v>
      </c>
      <c r="B358" s="5">
        <v>2543.0</v>
      </c>
      <c r="C358" s="5">
        <v>18.1</v>
      </c>
      <c r="D358" s="5">
        <v>15.2</v>
      </c>
      <c r="G358" s="5">
        <v>5.25</v>
      </c>
      <c r="I358" s="5">
        <v>0.23</v>
      </c>
    </row>
    <row r="359">
      <c r="A359" s="4" t="s">
        <v>1891</v>
      </c>
      <c r="B359" s="5">
        <v>2545.0</v>
      </c>
      <c r="C359" s="5">
        <v>22.0</v>
      </c>
      <c r="D359" s="5">
        <v>19.6</v>
      </c>
      <c r="G359" s="5">
        <v>5.67</v>
      </c>
      <c r="I359" s="5">
        <v>0.27</v>
      </c>
    </row>
    <row r="360">
      <c r="A360" s="4"/>
    </row>
    <row r="361">
      <c r="A361" s="4" t="s">
        <v>882</v>
      </c>
    </row>
    <row r="362">
      <c r="A362" s="4" t="s">
        <v>883</v>
      </c>
    </row>
    <row r="363">
      <c r="A363" s="4" t="s">
        <v>884</v>
      </c>
    </row>
    <row r="364">
      <c r="A364" s="4" t="s">
        <v>886</v>
      </c>
    </row>
    <row r="365">
      <c r="A365" s="4"/>
    </row>
    <row r="366">
      <c r="A366" s="8" t="s">
        <v>895</v>
      </c>
    </row>
    <row r="367">
      <c r="A367" s="8" t="s">
        <v>896</v>
      </c>
    </row>
    <row r="368">
      <c r="A368" s="8" t="s">
        <v>897</v>
      </c>
    </row>
    <row r="369">
      <c r="A369" s="4"/>
    </row>
    <row r="370">
      <c r="A370" s="4" t="s">
        <v>915</v>
      </c>
      <c r="B370" s="5">
        <v>2554.0</v>
      </c>
      <c r="C370" s="5">
        <v>9.7</v>
      </c>
      <c r="D370" s="5">
        <v>30.9</v>
      </c>
      <c r="G370" s="5">
        <v>11.6</v>
      </c>
    </row>
    <row r="371">
      <c r="A371" s="4" t="s">
        <v>916</v>
      </c>
      <c r="B371" s="5">
        <v>2553.0</v>
      </c>
      <c r="C371" s="5">
        <v>23.6</v>
      </c>
      <c r="D371" s="5">
        <v>18.2</v>
      </c>
      <c r="G371" s="5">
        <v>9.12</v>
      </c>
      <c r="I371" s="5">
        <v>1.12</v>
      </c>
    </row>
    <row r="372">
      <c r="A372" s="4" t="s">
        <v>917</v>
      </c>
      <c r="B372" s="5">
        <v>2552.0</v>
      </c>
      <c r="C372" s="5">
        <v>18.0</v>
      </c>
      <c r="D372" s="5">
        <v>20.3</v>
      </c>
      <c r="G372" s="5">
        <v>8.03</v>
      </c>
      <c r="I372" s="5">
        <v>0.87</v>
      </c>
    </row>
    <row r="373">
      <c r="A373" s="4" t="s">
        <v>920</v>
      </c>
      <c r="B373" s="5">
        <v>2550.0</v>
      </c>
      <c r="C373" s="5">
        <v>14.2</v>
      </c>
      <c r="D373" s="5">
        <v>13.1</v>
      </c>
      <c r="G373" s="5">
        <v>5.84</v>
      </c>
      <c r="I373" s="5">
        <v>0.21</v>
      </c>
    </row>
    <row r="374">
      <c r="A374" s="4" t="s">
        <v>918</v>
      </c>
      <c r="B374" s="5">
        <v>2551.0</v>
      </c>
      <c r="C374" s="5">
        <v>20.1</v>
      </c>
      <c r="D374" s="5">
        <v>16.9</v>
      </c>
      <c r="G374" s="5">
        <v>5.47</v>
      </c>
      <c r="I374" s="5">
        <v>0.2</v>
      </c>
    </row>
    <row r="375">
      <c r="A375" s="4"/>
    </row>
    <row r="376">
      <c r="A376" s="4" t="s">
        <v>930</v>
      </c>
    </row>
    <row r="377">
      <c r="A377" s="4" t="s">
        <v>933</v>
      </c>
    </row>
    <row r="378">
      <c r="A378" s="4" t="s">
        <v>931</v>
      </c>
    </row>
    <row r="379">
      <c r="A379" s="4" t="s">
        <v>939</v>
      </c>
    </row>
    <row r="380">
      <c r="A380" s="4"/>
    </row>
    <row r="381">
      <c r="A381" s="4" t="s">
        <v>961</v>
      </c>
    </row>
    <row r="382">
      <c r="A382" s="4" t="s">
        <v>962</v>
      </c>
    </row>
    <row r="383">
      <c r="A383" s="4" t="s">
        <v>963</v>
      </c>
    </row>
    <row r="384">
      <c r="A384" s="4" t="s">
        <v>964</v>
      </c>
    </row>
    <row r="385">
      <c r="A385" s="4"/>
    </row>
    <row r="386">
      <c r="A386" s="4" t="s">
        <v>983</v>
      </c>
    </row>
    <row r="387">
      <c r="A387" s="4" t="s">
        <v>984</v>
      </c>
    </row>
    <row r="388">
      <c r="A388" s="4" t="s">
        <v>988</v>
      </c>
    </row>
    <row r="389">
      <c r="A389" s="4" t="s">
        <v>1892</v>
      </c>
    </row>
    <row r="390">
      <c r="A390" s="4"/>
    </row>
    <row r="391">
      <c r="A391" s="4" t="s">
        <v>1010</v>
      </c>
    </row>
    <row r="392">
      <c r="A392" s="4" t="s">
        <v>1011</v>
      </c>
    </row>
    <row r="393">
      <c r="A393" s="4"/>
    </row>
    <row r="394">
      <c r="A394" s="4" t="s">
        <v>1025</v>
      </c>
    </row>
    <row r="395">
      <c r="A395" s="4" t="s">
        <v>1026</v>
      </c>
    </row>
    <row r="396">
      <c r="A396" s="4"/>
    </row>
    <row r="397">
      <c r="A397" s="4" t="s">
        <v>1040</v>
      </c>
    </row>
    <row r="398">
      <c r="A398" s="4" t="s">
        <v>1041</v>
      </c>
    </row>
    <row r="399">
      <c r="A399" s="4"/>
    </row>
    <row r="400">
      <c r="A400" s="4" t="s">
        <v>1065</v>
      </c>
    </row>
    <row r="401">
      <c r="A401" s="4" t="s">
        <v>1066</v>
      </c>
    </row>
    <row r="402">
      <c r="A402" s="4"/>
    </row>
    <row r="403">
      <c r="A403" s="4" t="s">
        <v>1082</v>
      </c>
    </row>
    <row r="404">
      <c r="A404" s="4"/>
    </row>
    <row r="405">
      <c r="A405" s="4" t="s">
        <v>1893</v>
      </c>
    </row>
    <row r="406">
      <c r="A406" s="4"/>
    </row>
    <row r="407">
      <c r="A407" s="4" t="s">
        <v>1894</v>
      </c>
    </row>
    <row r="408">
      <c r="A408" s="4"/>
    </row>
    <row r="409">
      <c r="A409" s="4" t="s">
        <v>1120</v>
      </c>
    </row>
    <row r="410">
      <c r="A410" s="4"/>
    </row>
    <row r="411">
      <c r="A411" s="4" t="s">
        <v>1127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1416</v>
      </c>
      <c r="G1" s="2" t="s">
        <v>5</v>
      </c>
      <c r="H1" s="2" t="s">
        <v>6</v>
      </c>
      <c r="I1" s="2" t="s">
        <v>7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A2" s="4" t="s">
        <v>8</v>
      </c>
      <c r="B2" s="5">
        <v>1250.0</v>
      </c>
      <c r="C2" s="5">
        <v>25.3</v>
      </c>
      <c r="D2" s="5">
        <v>15.5</v>
      </c>
      <c r="G2" s="5">
        <v>13.04</v>
      </c>
      <c r="H2" s="5">
        <v>1.0</v>
      </c>
      <c r="I2" s="5">
        <v>4.87</v>
      </c>
    </row>
    <row r="3">
      <c r="A3" s="4" t="s">
        <v>9</v>
      </c>
      <c r="B3" s="5">
        <v>1249.0</v>
      </c>
      <c r="C3" s="5">
        <v>19.7</v>
      </c>
      <c r="D3" s="5">
        <v>18.0</v>
      </c>
      <c r="G3" s="5">
        <v>17.74</v>
      </c>
      <c r="I3" s="5">
        <v>5.26</v>
      </c>
      <c r="K3" s="2" t="s">
        <v>10</v>
      </c>
    </row>
    <row r="4">
      <c r="A4" s="4" t="s">
        <v>11</v>
      </c>
      <c r="B4" s="5">
        <v>1248.0</v>
      </c>
      <c r="C4" s="5">
        <v>20.5</v>
      </c>
      <c r="D4" s="5">
        <v>18.2</v>
      </c>
      <c r="G4" s="5">
        <v>15.88</v>
      </c>
      <c r="I4" s="5">
        <v>4.78</v>
      </c>
      <c r="K4" s="6">
        <f>counta(I2:I1006)</f>
        <v>192</v>
      </c>
    </row>
    <row r="5">
      <c r="A5" s="4" t="s">
        <v>13</v>
      </c>
      <c r="B5" s="5">
        <v>1247.0</v>
      </c>
      <c r="C5" s="5">
        <v>27.5</v>
      </c>
      <c r="D5" s="5">
        <v>27.0</v>
      </c>
      <c r="G5" s="5">
        <v>14.84</v>
      </c>
      <c r="I5" s="5">
        <v>3.1</v>
      </c>
    </row>
    <row r="6">
      <c r="A6" s="4" t="s">
        <v>15</v>
      </c>
      <c r="B6" s="5">
        <v>1245.0</v>
      </c>
      <c r="C6" s="5">
        <v>23.6</v>
      </c>
      <c r="D6" s="5">
        <v>16.8</v>
      </c>
      <c r="G6" s="5">
        <v>12.18</v>
      </c>
      <c r="I6" s="5">
        <v>3.74</v>
      </c>
    </row>
    <row r="7">
      <c r="A7" s="4" t="s">
        <v>16</v>
      </c>
      <c r="B7" s="5">
        <v>1244.0</v>
      </c>
      <c r="C7" s="5">
        <v>23.1</v>
      </c>
      <c r="D7" s="5">
        <v>28.7</v>
      </c>
      <c r="G7" s="5">
        <v>14.32</v>
      </c>
      <c r="I7" s="5">
        <v>1.59</v>
      </c>
      <c r="K7" s="2" t="s">
        <v>14</v>
      </c>
    </row>
    <row r="8">
      <c r="A8" s="4" t="s">
        <v>17</v>
      </c>
      <c r="B8" s="5">
        <v>1246.0</v>
      </c>
      <c r="C8" s="5">
        <v>25.4</v>
      </c>
      <c r="D8" s="5">
        <v>18.0</v>
      </c>
      <c r="G8" s="5">
        <v>14.34</v>
      </c>
      <c r="I8" s="5">
        <v>2.58</v>
      </c>
      <c r="K8" s="18">
        <f>counta(I2:I74)</f>
        <v>65</v>
      </c>
    </row>
    <row r="9">
      <c r="A9" s="4" t="s">
        <v>30</v>
      </c>
      <c r="B9" s="5">
        <v>1235.0</v>
      </c>
      <c r="C9" s="5">
        <v>20.0</v>
      </c>
      <c r="D9" s="5">
        <v>13.7</v>
      </c>
      <c r="G9" s="5">
        <v>7.55</v>
      </c>
      <c r="I9" s="5">
        <v>1.38</v>
      </c>
      <c r="K9" s="18">
        <f>sum(I2:I74)/K8</f>
        <v>1.739384615</v>
      </c>
    </row>
    <row r="10">
      <c r="A10" s="4" t="s">
        <v>1203</v>
      </c>
      <c r="B10" s="5">
        <v>1242.0</v>
      </c>
      <c r="C10" s="5">
        <v>28.3</v>
      </c>
      <c r="D10" s="5">
        <v>20.1</v>
      </c>
      <c r="G10" s="5">
        <v>11.81</v>
      </c>
      <c r="I10" s="5">
        <v>1.45</v>
      </c>
    </row>
    <row r="11">
      <c r="A11" s="4" t="s">
        <v>20</v>
      </c>
      <c r="B11" s="5">
        <v>1241.0</v>
      </c>
      <c r="C11" s="5">
        <v>13.9</v>
      </c>
      <c r="D11" s="5">
        <v>16.5</v>
      </c>
      <c r="G11" s="5">
        <v>11.04</v>
      </c>
      <c r="I11" s="5">
        <v>1.04</v>
      </c>
    </row>
    <row r="12">
      <c r="A12" s="4" t="s">
        <v>24</v>
      </c>
      <c r="B12" s="5">
        <v>1243.0</v>
      </c>
      <c r="C12" s="5">
        <v>23.4</v>
      </c>
      <c r="D12" s="5">
        <v>17.7</v>
      </c>
      <c r="G12" s="5">
        <v>13.04</v>
      </c>
      <c r="I12" s="5">
        <v>1.94</v>
      </c>
    </row>
    <row r="13">
      <c r="A13" s="4" t="s">
        <v>1207</v>
      </c>
      <c r="B13" s="5">
        <v>1232.0</v>
      </c>
      <c r="C13" s="5">
        <v>13.2</v>
      </c>
      <c r="D13" s="5">
        <v>13.6</v>
      </c>
      <c r="G13" s="5">
        <v>6.55</v>
      </c>
      <c r="I13" s="5">
        <v>0.67</v>
      </c>
    </row>
    <row r="14">
      <c r="A14" s="4" t="s">
        <v>1635</v>
      </c>
      <c r="B14" s="5">
        <v>1236.0</v>
      </c>
      <c r="C14" s="5">
        <v>23.6</v>
      </c>
      <c r="D14" s="5">
        <v>19.1</v>
      </c>
      <c r="G14" s="5">
        <v>8.67</v>
      </c>
      <c r="I14" s="5">
        <v>0.92</v>
      </c>
    </row>
    <row r="15">
      <c r="A15" s="4" t="s">
        <v>1208</v>
      </c>
      <c r="B15" s="5">
        <v>1239.0</v>
      </c>
      <c r="C15" s="5">
        <v>16.7</v>
      </c>
      <c r="D15" s="5">
        <v>12.5</v>
      </c>
      <c r="G15" s="5">
        <v>10.89</v>
      </c>
      <c r="I15" s="5">
        <v>1.07</v>
      </c>
    </row>
    <row r="16">
      <c r="A16" s="4" t="s">
        <v>1209</v>
      </c>
      <c r="B16" s="5">
        <v>1240.0</v>
      </c>
      <c r="C16" s="5">
        <v>12.2</v>
      </c>
      <c r="D16" s="5">
        <v>13.6</v>
      </c>
      <c r="G16" s="5">
        <v>10.64</v>
      </c>
      <c r="I16" s="5">
        <v>0.81</v>
      </c>
    </row>
    <row r="17">
      <c r="A17" s="4" t="s">
        <v>34</v>
      </c>
      <c r="B17" s="5">
        <v>1233.0</v>
      </c>
      <c r="C17" s="5">
        <v>20.2</v>
      </c>
      <c r="D17" s="5">
        <v>12.3</v>
      </c>
      <c r="G17" s="5">
        <v>12.22</v>
      </c>
      <c r="I17" s="5">
        <v>1.57</v>
      </c>
    </row>
    <row r="18">
      <c r="A18" s="4" t="s">
        <v>1639</v>
      </c>
      <c r="B18" s="5">
        <v>1234.0</v>
      </c>
      <c r="C18" s="5">
        <v>12.1</v>
      </c>
      <c r="D18" s="5">
        <v>11.7</v>
      </c>
      <c r="G18" s="5">
        <v>7.09</v>
      </c>
      <c r="I18" s="5">
        <v>0.33</v>
      </c>
    </row>
    <row r="19">
      <c r="A19" s="4" t="s">
        <v>1216</v>
      </c>
      <c r="B19" s="5">
        <v>1238.0</v>
      </c>
      <c r="C19" s="5">
        <v>11.6</v>
      </c>
      <c r="D19" s="5">
        <v>15.1</v>
      </c>
      <c r="G19" s="5">
        <v>10.27</v>
      </c>
      <c r="I19" s="5">
        <v>0.62</v>
      </c>
    </row>
    <row r="20">
      <c r="A20" s="4" t="s">
        <v>1217</v>
      </c>
      <c r="B20" s="5">
        <v>1237.0</v>
      </c>
      <c r="C20" s="5">
        <v>13.1</v>
      </c>
      <c r="D20" s="5">
        <v>12.0</v>
      </c>
      <c r="G20" s="5">
        <v>7.19</v>
      </c>
      <c r="I20" s="5">
        <v>0.41</v>
      </c>
    </row>
    <row r="21">
      <c r="A21" s="4" t="s">
        <v>48</v>
      </c>
      <c r="B21" s="5">
        <v>1231.0</v>
      </c>
      <c r="C21" s="5">
        <v>13.7</v>
      </c>
      <c r="D21" s="5">
        <v>14.7</v>
      </c>
      <c r="G21" s="5">
        <v>8.98</v>
      </c>
      <c r="I21" s="5">
        <v>0.71</v>
      </c>
    </row>
    <row r="22">
      <c r="A22" s="4"/>
    </row>
    <row r="23">
      <c r="A23" s="4" t="s">
        <v>50</v>
      </c>
      <c r="B23" s="5">
        <v>1265.0</v>
      </c>
      <c r="C23" s="5">
        <v>15.2</v>
      </c>
      <c r="D23" s="5">
        <v>11.2</v>
      </c>
      <c r="G23" s="5">
        <v>14.66</v>
      </c>
      <c r="I23" s="5">
        <v>4.97</v>
      </c>
    </row>
    <row r="24">
      <c r="A24" s="4" t="s">
        <v>51</v>
      </c>
      <c r="B24" s="5">
        <v>1264.0</v>
      </c>
      <c r="C24" s="5">
        <v>17.2</v>
      </c>
      <c r="D24" s="5">
        <v>18.1</v>
      </c>
      <c r="G24" s="5">
        <v>17.41</v>
      </c>
      <c r="I24" s="5">
        <v>6.21</v>
      </c>
    </row>
    <row r="25">
      <c r="A25" s="4" t="s">
        <v>53</v>
      </c>
      <c r="B25" s="5">
        <v>1263.0</v>
      </c>
      <c r="C25" s="5">
        <v>25.8</v>
      </c>
      <c r="D25" s="5">
        <v>21.2</v>
      </c>
      <c r="G25" s="5">
        <v>14.98</v>
      </c>
      <c r="I25" s="5">
        <v>3.85</v>
      </c>
    </row>
    <row r="26">
      <c r="A26" s="4" t="s">
        <v>1221</v>
      </c>
      <c r="B26" s="5">
        <v>1251.0</v>
      </c>
      <c r="C26" s="5">
        <v>18.2</v>
      </c>
      <c r="D26" s="5">
        <v>15.8</v>
      </c>
      <c r="G26" s="5">
        <v>11.35</v>
      </c>
      <c r="I26" s="5">
        <v>0.63</v>
      </c>
    </row>
    <row r="27">
      <c r="A27" s="4" t="s">
        <v>1224</v>
      </c>
      <c r="B27" s="5">
        <v>1262.0</v>
      </c>
      <c r="C27" s="5">
        <v>29.6</v>
      </c>
      <c r="D27" s="5">
        <v>22.6</v>
      </c>
      <c r="G27" s="5">
        <v>12.3</v>
      </c>
      <c r="I27" s="5">
        <v>2.26</v>
      </c>
    </row>
    <row r="28">
      <c r="A28" s="4" t="s">
        <v>1419</v>
      </c>
      <c r="B28" s="5">
        <v>1260.0</v>
      </c>
      <c r="C28" s="5">
        <v>28.3</v>
      </c>
      <c r="D28" s="5">
        <v>17.5</v>
      </c>
      <c r="G28" s="5">
        <v>14.04</v>
      </c>
      <c r="I28" s="5">
        <v>2.94</v>
      </c>
    </row>
    <row r="29">
      <c r="A29" s="4" t="s">
        <v>56</v>
      </c>
      <c r="B29" s="5">
        <v>1258.0</v>
      </c>
      <c r="C29" s="5">
        <v>28.0</v>
      </c>
      <c r="D29" s="5">
        <v>28.2</v>
      </c>
      <c r="G29" s="5">
        <v>11.42</v>
      </c>
      <c r="I29" s="5">
        <v>0.84</v>
      </c>
    </row>
    <row r="30">
      <c r="A30" s="4" t="s">
        <v>1226</v>
      </c>
      <c r="B30" s="5">
        <v>1259.0</v>
      </c>
      <c r="C30" s="5">
        <v>23.6</v>
      </c>
      <c r="D30" s="5">
        <v>17.4</v>
      </c>
      <c r="G30" s="5">
        <v>15.67</v>
      </c>
      <c r="I30" s="5">
        <v>1.51</v>
      </c>
    </row>
    <row r="31">
      <c r="A31" s="4" t="s">
        <v>1425</v>
      </c>
      <c r="B31" s="5">
        <v>1256.0</v>
      </c>
      <c r="C31" s="5">
        <v>16.6</v>
      </c>
      <c r="D31" s="5">
        <v>14.1</v>
      </c>
      <c r="G31" s="5">
        <v>12.57</v>
      </c>
      <c r="I31" s="5">
        <v>1.12</v>
      </c>
    </row>
    <row r="32">
      <c r="A32" s="4" t="s">
        <v>57</v>
      </c>
      <c r="B32" s="5">
        <v>1252.0</v>
      </c>
      <c r="C32" s="5">
        <v>17.6</v>
      </c>
      <c r="D32" s="5">
        <v>13.7</v>
      </c>
      <c r="G32" s="5">
        <v>14.83</v>
      </c>
      <c r="I32" s="5">
        <v>0.73</v>
      </c>
    </row>
    <row r="33">
      <c r="A33" s="4" t="s">
        <v>1420</v>
      </c>
      <c r="B33" s="5">
        <v>1254.0</v>
      </c>
      <c r="C33" s="5">
        <v>23.8</v>
      </c>
      <c r="D33" s="5">
        <v>15.4</v>
      </c>
      <c r="G33" s="5">
        <v>14.8</v>
      </c>
      <c r="I33" s="5">
        <v>2.08</v>
      </c>
    </row>
    <row r="34">
      <c r="A34" s="4" t="s">
        <v>1423</v>
      </c>
      <c r="B34" s="5">
        <v>1253.0</v>
      </c>
      <c r="C34" s="5">
        <v>15.9</v>
      </c>
      <c r="D34" s="5">
        <v>14.7</v>
      </c>
      <c r="G34" s="5">
        <v>11.45</v>
      </c>
      <c r="I34" s="5">
        <v>1.13</v>
      </c>
    </row>
    <row r="35">
      <c r="A35" s="9" t="s">
        <v>1421</v>
      </c>
      <c r="B35" s="5">
        <v>1261.0</v>
      </c>
      <c r="C35" s="5">
        <v>30.0</v>
      </c>
      <c r="D35" s="5">
        <v>21.0</v>
      </c>
      <c r="G35" s="5">
        <v>10.76</v>
      </c>
      <c r="I35" s="5">
        <v>0.99</v>
      </c>
    </row>
    <row r="36">
      <c r="A36" s="4" t="s">
        <v>1422</v>
      </c>
      <c r="B36" s="5">
        <v>1257.0</v>
      </c>
      <c r="C36" s="5">
        <v>16.9</v>
      </c>
      <c r="D36" s="5">
        <v>15.5</v>
      </c>
      <c r="G36" s="5">
        <v>9.64</v>
      </c>
      <c r="I36" s="5">
        <v>0.74</v>
      </c>
    </row>
    <row r="37">
      <c r="A37" s="4" t="s">
        <v>73</v>
      </c>
    </row>
    <row r="38">
      <c r="A38" s="4" t="s">
        <v>1427</v>
      </c>
    </row>
    <row r="39">
      <c r="A39" s="9" t="s">
        <v>84</v>
      </c>
      <c r="B39" s="5">
        <v>1255.0</v>
      </c>
      <c r="C39" s="5">
        <v>13.8</v>
      </c>
      <c r="D39" s="5">
        <v>11.7</v>
      </c>
      <c r="G39" s="5">
        <v>9.3</v>
      </c>
      <c r="I39" s="5">
        <v>0.49</v>
      </c>
    </row>
    <row r="40">
      <c r="A40" s="4"/>
    </row>
    <row r="41">
      <c r="A41" s="4" t="s">
        <v>93</v>
      </c>
      <c r="B41" s="5">
        <v>1270.0</v>
      </c>
      <c r="C41" s="5">
        <v>23.2</v>
      </c>
      <c r="D41" s="5">
        <v>25.0</v>
      </c>
      <c r="G41" s="5">
        <v>14.74</v>
      </c>
      <c r="I41" s="5">
        <v>4.12</v>
      </c>
    </row>
    <row r="42">
      <c r="A42" s="4" t="s">
        <v>1231</v>
      </c>
      <c r="B42" s="5">
        <v>1269.0</v>
      </c>
      <c r="C42" s="5">
        <v>31.6</v>
      </c>
      <c r="D42" s="5">
        <v>28.3</v>
      </c>
      <c r="G42" s="5">
        <v>12.38</v>
      </c>
      <c r="I42" s="5">
        <v>2.99</v>
      </c>
    </row>
    <row r="43">
      <c r="A43" s="4" t="s">
        <v>1233</v>
      </c>
      <c r="B43" s="5">
        <v>1268.0</v>
      </c>
      <c r="C43" s="5">
        <v>26.3</v>
      </c>
      <c r="D43" s="5">
        <v>23.0</v>
      </c>
      <c r="G43" s="5">
        <v>11.14</v>
      </c>
      <c r="I43" s="5">
        <v>1.92</v>
      </c>
    </row>
    <row r="44">
      <c r="A44" s="4" t="s">
        <v>1234</v>
      </c>
      <c r="B44" s="5">
        <v>1267.0</v>
      </c>
      <c r="C44" s="5">
        <v>19.2</v>
      </c>
      <c r="D44" s="5">
        <v>17.2</v>
      </c>
      <c r="G44" s="5">
        <v>9.39</v>
      </c>
      <c r="I44" s="5">
        <v>1.23</v>
      </c>
    </row>
    <row r="45">
      <c r="A45" s="4" t="s">
        <v>1235</v>
      </c>
      <c r="B45" s="5">
        <v>1266.0</v>
      </c>
      <c r="C45" s="5">
        <v>18.0</v>
      </c>
      <c r="D45" s="5">
        <v>12.6</v>
      </c>
      <c r="G45" s="5">
        <v>7.96</v>
      </c>
      <c r="I45" s="5">
        <v>0.72</v>
      </c>
    </row>
    <row r="46">
      <c r="A46" s="4"/>
    </row>
    <row r="47">
      <c r="A47" s="4" t="s">
        <v>128</v>
      </c>
      <c r="B47" s="5">
        <v>1282.0</v>
      </c>
      <c r="C47" s="5">
        <v>22.4</v>
      </c>
      <c r="D47" s="5">
        <v>25.4</v>
      </c>
      <c r="G47" s="5">
        <v>10.08</v>
      </c>
      <c r="I47" s="5">
        <v>2.1</v>
      </c>
    </row>
    <row r="48">
      <c r="A48" s="4" t="s">
        <v>130</v>
      </c>
      <c r="B48" s="5">
        <v>1280.0</v>
      </c>
      <c r="C48" s="5">
        <v>33.7</v>
      </c>
      <c r="D48" s="5">
        <v>29.0</v>
      </c>
      <c r="G48" s="5">
        <v>8.71</v>
      </c>
      <c r="I48" s="5">
        <v>0.81</v>
      </c>
    </row>
    <row r="49">
      <c r="A49" s="4" t="s">
        <v>129</v>
      </c>
      <c r="B49" s="5">
        <v>1281.0</v>
      </c>
      <c r="C49" s="5">
        <v>31.2</v>
      </c>
      <c r="D49" s="5">
        <v>22.0</v>
      </c>
      <c r="G49" s="5">
        <v>9.17</v>
      </c>
      <c r="I49" s="5">
        <v>1.08</v>
      </c>
    </row>
    <row r="50">
      <c r="A50" s="4" t="s">
        <v>1239</v>
      </c>
      <c r="B50" s="5">
        <v>1279.0</v>
      </c>
      <c r="C50" s="5">
        <v>29.1</v>
      </c>
      <c r="D50" s="5">
        <v>33.4</v>
      </c>
      <c r="G50" s="5">
        <v>10.27</v>
      </c>
      <c r="I50" s="5">
        <v>1.31</v>
      </c>
    </row>
    <row r="51">
      <c r="A51" s="4" t="s">
        <v>136</v>
      </c>
      <c r="B51" s="5">
        <v>1276.0</v>
      </c>
      <c r="C51" s="5">
        <v>28.0</v>
      </c>
      <c r="D51" s="5">
        <v>22.8</v>
      </c>
      <c r="G51" s="5">
        <v>9.79</v>
      </c>
      <c r="I51" s="5">
        <v>1.3</v>
      </c>
    </row>
    <row r="52">
      <c r="A52" s="4" t="s">
        <v>137</v>
      </c>
      <c r="B52" s="5">
        <v>1274.0</v>
      </c>
      <c r="C52" s="5">
        <v>21.4</v>
      </c>
      <c r="D52" s="5">
        <v>20.1</v>
      </c>
      <c r="G52" s="5">
        <v>8.39</v>
      </c>
      <c r="I52" s="5">
        <v>0.89</v>
      </c>
    </row>
    <row r="53">
      <c r="A53" s="4" t="s">
        <v>138</v>
      </c>
      <c r="B53" s="5">
        <v>1275.0</v>
      </c>
      <c r="C53" s="5">
        <v>20.0</v>
      </c>
      <c r="D53" s="5">
        <v>29.6</v>
      </c>
      <c r="G53" s="5">
        <v>9.78</v>
      </c>
      <c r="I53" s="5">
        <v>0.77</v>
      </c>
    </row>
    <row r="54">
      <c r="A54" s="4" t="s">
        <v>1240</v>
      </c>
      <c r="B54" s="5">
        <v>1272.0</v>
      </c>
      <c r="C54" s="5">
        <v>24.1</v>
      </c>
      <c r="D54" s="5">
        <v>18.0</v>
      </c>
      <c r="G54" s="5">
        <v>10.05</v>
      </c>
      <c r="I54" s="5">
        <v>0.62</v>
      </c>
    </row>
    <row r="55">
      <c r="A55" s="4" t="s">
        <v>131</v>
      </c>
      <c r="B55" s="5">
        <v>1278.0</v>
      </c>
      <c r="C55" s="5">
        <v>25.7</v>
      </c>
      <c r="D55" s="5">
        <v>23.2</v>
      </c>
      <c r="G55" s="5">
        <v>8.84</v>
      </c>
      <c r="I55" s="5">
        <v>0.71</v>
      </c>
    </row>
    <row r="56">
      <c r="A56" s="4" t="s">
        <v>132</v>
      </c>
      <c r="B56" s="5">
        <v>1277.0</v>
      </c>
      <c r="C56" s="5">
        <v>19.7</v>
      </c>
      <c r="D56" s="5">
        <v>19.0</v>
      </c>
      <c r="G56" s="5">
        <v>10.76</v>
      </c>
      <c r="I56" s="5">
        <v>0.9</v>
      </c>
    </row>
    <row r="57">
      <c r="A57" s="4" t="s">
        <v>139</v>
      </c>
      <c r="B57" s="5">
        <v>1273.0</v>
      </c>
      <c r="C57" s="5">
        <v>22.2</v>
      </c>
      <c r="D57" s="5">
        <v>15.2</v>
      </c>
      <c r="G57" s="5">
        <v>7.75</v>
      </c>
      <c r="I57" s="5">
        <v>0.45</v>
      </c>
    </row>
    <row r="58">
      <c r="A58" s="4" t="s">
        <v>141</v>
      </c>
    </row>
    <row r="59">
      <c r="A59" s="4" t="s">
        <v>147</v>
      </c>
      <c r="B59" s="5">
        <v>1271.0</v>
      </c>
      <c r="C59" s="5">
        <v>19.7</v>
      </c>
      <c r="D59" s="5">
        <v>18.0</v>
      </c>
      <c r="G59" s="5">
        <v>8.83</v>
      </c>
      <c r="I59" s="5">
        <v>0.4</v>
      </c>
    </row>
    <row r="60">
      <c r="A60" s="4"/>
    </row>
    <row r="61">
      <c r="A61" s="4" t="s">
        <v>162</v>
      </c>
      <c r="B61" s="5">
        <v>1289.0</v>
      </c>
      <c r="C61" s="5">
        <v>18.1</v>
      </c>
      <c r="D61" s="5">
        <v>27.6</v>
      </c>
      <c r="G61" s="5">
        <v>13.47</v>
      </c>
      <c r="I61" s="5">
        <v>3.2</v>
      </c>
    </row>
    <row r="62">
      <c r="A62" s="4" t="s">
        <v>163</v>
      </c>
      <c r="B62" s="5">
        <v>1288.0</v>
      </c>
      <c r="C62" s="5">
        <v>30.5</v>
      </c>
      <c r="D62" s="5">
        <v>22.0</v>
      </c>
      <c r="G62" s="5">
        <v>10.87</v>
      </c>
      <c r="I62" s="5">
        <v>2.47</v>
      </c>
    </row>
    <row r="63">
      <c r="A63" s="4" t="s">
        <v>165</v>
      </c>
      <c r="B63" s="5">
        <v>1286.0</v>
      </c>
      <c r="C63" s="5">
        <v>21.7</v>
      </c>
      <c r="D63" s="5">
        <v>21.4</v>
      </c>
      <c r="G63" s="5">
        <v>10.94</v>
      </c>
      <c r="I63" s="5">
        <v>1.92</v>
      </c>
    </row>
    <row r="64">
      <c r="A64" s="4" t="s">
        <v>1680</v>
      </c>
      <c r="B64" s="5">
        <v>1287.0</v>
      </c>
      <c r="C64" s="5">
        <v>37.5</v>
      </c>
      <c r="D64" s="5">
        <v>23.5</v>
      </c>
      <c r="G64" s="5">
        <v>9.39</v>
      </c>
      <c r="I64" s="5">
        <v>1.41</v>
      </c>
    </row>
    <row r="65">
      <c r="A65" s="4" t="s">
        <v>166</v>
      </c>
      <c r="B65" s="5">
        <v>1283.0</v>
      </c>
      <c r="C65" s="5">
        <v>22.7</v>
      </c>
      <c r="D65" s="5">
        <v>21.6</v>
      </c>
      <c r="G65" s="5">
        <v>10.84</v>
      </c>
      <c r="I65" s="5">
        <v>1.43</v>
      </c>
    </row>
    <row r="66">
      <c r="A66" s="4" t="s">
        <v>1681</v>
      </c>
      <c r="B66" s="5">
        <v>1284.0</v>
      </c>
      <c r="C66" s="5">
        <v>26.2</v>
      </c>
      <c r="D66" s="5">
        <v>19.5</v>
      </c>
      <c r="G66" s="5">
        <v>10.0</v>
      </c>
      <c r="I66" s="5">
        <v>1.28</v>
      </c>
    </row>
    <row r="67">
      <c r="A67" s="4" t="s">
        <v>169</v>
      </c>
      <c r="B67" s="5">
        <v>1285.0</v>
      </c>
      <c r="C67" s="5">
        <v>30.6</v>
      </c>
      <c r="D67" s="5">
        <v>20.6</v>
      </c>
      <c r="G67" s="5">
        <v>9.39</v>
      </c>
      <c r="I67" s="5">
        <v>0.58</v>
      </c>
    </row>
    <row r="68">
      <c r="A68" s="4"/>
    </row>
    <row r="69">
      <c r="A69" s="4" t="s">
        <v>183</v>
      </c>
      <c r="B69" s="5">
        <v>1295.0</v>
      </c>
      <c r="C69" s="5">
        <v>30.4</v>
      </c>
      <c r="D69" s="5">
        <v>22.0</v>
      </c>
      <c r="G69" s="5">
        <v>12.08</v>
      </c>
      <c r="I69" s="5">
        <v>2.18</v>
      </c>
    </row>
    <row r="70">
      <c r="A70" s="4" t="s">
        <v>184</v>
      </c>
      <c r="B70" s="5">
        <v>1294.0</v>
      </c>
      <c r="C70" s="5">
        <v>29.5</v>
      </c>
      <c r="D70" s="5">
        <v>23.1</v>
      </c>
      <c r="G70" s="5">
        <v>10.87</v>
      </c>
      <c r="I70" s="5">
        <v>1.74</v>
      </c>
    </row>
    <row r="71">
      <c r="A71" s="4" t="s">
        <v>185</v>
      </c>
      <c r="B71" s="5">
        <v>1291.0</v>
      </c>
      <c r="C71" s="5">
        <v>26.1</v>
      </c>
      <c r="D71" s="5">
        <v>20.7</v>
      </c>
      <c r="G71" s="5">
        <v>11.83</v>
      </c>
      <c r="I71" s="5">
        <v>1.72</v>
      </c>
    </row>
    <row r="72">
      <c r="A72" s="4" t="s">
        <v>186</v>
      </c>
      <c r="B72" s="5">
        <v>1293.0</v>
      </c>
      <c r="C72" s="5">
        <v>39.0</v>
      </c>
      <c r="D72" s="5">
        <v>22.5</v>
      </c>
      <c r="G72" s="5">
        <v>10.25</v>
      </c>
      <c r="I72" s="5">
        <v>1.3</v>
      </c>
    </row>
    <row r="73">
      <c r="A73" s="4" t="s">
        <v>187</v>
      </c>
      <c r="B73" s="5">
        <v>1290.0</v>
      </c>
      <c r="C73" s="5">
        <v>23.2</v>
      </c>
      <c r="D73" s="5">
        <v>18.6</v>
      </c>
      <c r="G73" s="5">
        <v>11.32</v>
      </c>
      <c r="I73" s="5">
        <v>1.21</v>
      </c>
    </row>
    <row r="74">
      <c r="A74" s="4" t="s">
        <v>191</v>
      </c>
      <c r="B74" s="5">
        <v>1292.0</v>
      </c>
      <c r="C74" s="5">
        <v>28.3</v>
      </c>
      <c r="D74" s="5">
        <v>22.7</v>
      </c>
      <c r="G74" s="5">
        <v>10.86</v>
      </c>
      <c r="I74" s="5">
        <v>0.97</v>
      </c>
    </row>
    <row r="75">
      <c r="A75" s="4"/>
    </row>
    <row r="76">
      <c r="A76" s="4"/>
    </row>
    <row r="77">
      <c r="A77" s="4" t="s">
        <v>199</v>
      </c>
    </row>
    <row r="78">
      <c r="A78" s="4" t="s">
        <v>200</v>
      </c>
    </row>
    <row r="79">
      <c r="A79" s="4" t="s">
        <v>201</v>
      </c>
    </row>
    <row r="80">
      <c r="A80" s="4" t="s">
        <v>202</v>
      </c>
    </row>
    <row r="81">
      <c r="A81" s="4"/>
    </row>
    <row r="82">
      <c r="A82" s="4" t="s">
        <v>1251</v>
      </c>
    </row>
    <row r="83">
      <c r="A83" s="4" t="s">
        <v>1252</v>
      </c>
    </row>
    <row r="84">
      <c r="A84" s="4"/>
    </row>
    <row r="85">
      <c r="A85" s="4" t="s">
        <v>237</v>
      </c>
    </row>
    <row r="86">
      <c r="A86" s="4" t="s">
        <v>238</v>
      </c>
    </row>
    <row r="87">
      <c r="A87" s="4"/>
    </row>
    <row r="88">
      <c r="A88" s="4" t="s">
        <v>250</v>
      </c>
    </row>
    <row r="89">
      <c r="A89" s="4"/>
    </row>
    <row r="90">
      <c r="A90" s="19" t="s">
        <v>329</v>
      </c>
      <c r="H90" s="5">
        <v>1.0</v>
      </c>
      <c r="K90" s="20" t="s">
        <v>14</v>
      </c>
    </row>
    <row r="91">
      <c r="A91" s="19" t="s">
        <v>330</v>
      </c>
      <c r="K91" s="6">
        <f>counta(I102:I176)</f>
        <v>67</v>
      </c>
    </row>
    <row r="92">
      <c r="A92" s="19" t="s">
        <v>331</v>
      </c>
      <c r="K92" s="6">
        <f>sum(I102:I176)/K91</f>
        <v>2.116865672</v>
      </c>
    </row>
    <row r="93">
      <c r="A93" s="19" t="s">
        <v>1258</v>
      </c>
    </row>
    <row r="94">
      <c r="A94" s="19" t="s">
        <v>336</v>
      </c>
    </row>
    <row r="95">
      <c r="A95" s="19" t="s">
        <v>1263</v>
      </c>
    </row>
    <row r="96">
      <c r="A96" s="19" t="s">
        <v>341</v>
      </c>
    </row>
    <row r="97">
      <c r="A97" s="19" t="s">
        <v>1259</v>
      </c>
    </row>
    <row r="98">
      <c r="A98" s="19" t="s">
        <v>1269</v>
      </c>
    </row>
    <row r="99">
      <c r="A99" s="19" t="s">
        <v>343</v>
      </c>
    </row>
    <row r="100">
      <c r="A100" s="19" t="s">
        <v>1704</v>
      </c>
      <c r="K100" s="18"/>
    </row>
    <row r="101">
      <c r="A101" s="4"/>
      <c r="K101" s="18"/>
    </row>
    <row r="102">
      <c r="A102" s="21" t="s">
        <v>356</v>
      </c>
      <c r="B102" s="5">
        <v>1314.0</v>
      </c>
      <c r="C102" s="5">
        <v>18.3</v>
      </c>
      <c r="D102" s="5">
        <v>10.4</v>
      </c>
      <c r="G102" s="5">
        <v>16.72</v>
      </c>
      <c r="I102" s="5">
        <v>6.21</v>
      </c>
      <c r="K102" s="18"/>
    </row>
    <row r="103">
      <c r="A103" s="21" t="s">
        <v>357</v>
      </c>
      <c r="B103" s="5">
        <v>1310.0</v>
      </c>
      <c r="C103" s="5">
        <v>16.5</v>
      </c>
      <c r="D103" s="5">
        <v>16.1</v>
      </c>
      <c r="G103" s="5">
        <v>15.45</v>
      </c>
      <c r="I103" s="5">
        <v>6.03</v>
      </c>
    </row>
    <row r="104">
      <c r="A104" s="21" t="s">
        <v>1495</v>
      </c>
      <c r="B104" s="5">
        <v>1313.0</v>
      </c>
      <c r="C104" s="5">
        <v>24.5</v>
      </c>
      <c r="D104" s="5">
        <v>25.2</v>
      </c>
      <c r="G104" s="5">
        <v>14.39</v>
      </c>
      <c r="I104" s="5">
        <v>3.5</v>
      </c>
    </row>
    <row r="105">
      <c r="A105" s="21" t="s">
        <v>359</v>
      </c>
      <c r="B105" s="5">
        <v>1309.0</v>
      </c>
      <c r="C105" s="5">
        <v>25.5</v>
      </c>
      <c r="D105" s="5">
        <v>19.2</v>
      </c>
      <c r="G105" s="5">
        <v>14.01</v>
      </c>
      <c r="I105" s="5">
        <v>4.67</v>
      </c>
    </row>
    <row r="106">
      <c r="A106" s="21" t="s">
        <v>1281</v>
      </c>
      <c r="B106" s="5">
        <v>1305.0</v>
      </c>
      <c r="C106" s="5">
        <v>30.2</v>
      </c>
      <c r="D106" s="5">
        <v>27.2</v>
      </c>
      <c r="G106" s="5">
        <v>12.66</v>
      </c>
      <c r="I106" s="5">
        <v>1.96</v>
      </c>
    </row>
    <row r="107">
      <c r="A107" s="21" t="s">
        <v>1496</v>
      </c>
      <c r="B107" s="5">
        <v>1312.0</v>
      </c>
      <c r="C107" s="5">
        <v>24.2</v>
      </c>
      <c r="D107" s="5">
        <v>18.6</v>
      </c>
      <c r="G107" s="5">
        <v>14.28</v>
      </c>
      <c r="I107" s="5">
        <v>2.49</v>
      </c>
    </row>
    <row r="108">
      <c r="A108" s="21" t="s">
        <v>375</v>
      </c>
      <c r="B108" s="5">
        <v>1308.0</v>
      </c>
      <c r="C108" s="5">
        <v>26.0</v>
      </c>
      <c r="D108" s="5">
        <v>28.3</v>
      </c>
      <c r="G108" s="5">
        <v>13.31</v>
      </c>
      <c r="I108" s="5">
        <v>3.1</v>
      </c>
    </row>
    <row r="109">
      <c r="A109" s="21" t="s">
        <v>1283</v>
      </c>
      <c r="B109" s="5">
        <v>1302.0</v>
      </c>
      <c r="C109" s="5">
        <v>15.5</v>
      </c>
      <c r="D109" s="5">
        <v>4.7</v>
      </c>
      <c r="G109" s="5">
        <v>10.53</v>
      </c>
      <c r="I109" s="5">
        <v>1.12</v>
      </c>
    </row>
    <row r="110">
      <c r="A110" s="21" t="s">
        <v>367</v>
      </c>
      <c r="B110" s="5">
        <v>1311.0</v>
      </c>
      <c r="C110" s="5">
        <v>27.1</v>
      </c>
      <c r="D110" s="5">
        <v>22.6</v>
      </c>
      <c r="G110" s="5">
        <v>11.24</v>
      </c>
      <c r="I110" s="5">
        <v>1.36</v>
      </c>
    </row>
    <row r="111">
      <c r="A111" s="21" t="s">
        <v>1497</v>
      </c>
      <c r="B111" s="5">
        <v>1304.0</v>
      </c>
      <c r="C111" s="5">
        <v>21.0</v>
      </c>
      <c r="D111" s="5">
        <v>16.1</v>
      </c>
      <c r="G111" s="5">
        <v>13.01</v>
      </c>
      <c r="I111" s="5">
        <v>1.8</v>
      </c>
    </row>
    <row r="112">
      <c r="A112" s="21" t="s">
        <v>1284</v>
      </c>
      <c r="B112" s="5">
        <v>1307.0</v>
      </c>
      <c r="C112" s="5">
        <v>23.0</v>
      </c>
      <c r="D112" s="5">
        <v>21.5</v>
      </c>
      <c r="G112" s="5">
        <v>11.58</v>
      </c>
      <c r="I112" s="5">
        <v>1.12</v>
      </c>
    </row>
    <row r="113">
      <c r="A113" s="21" t="s">
        <v>1285</v>
      </c>
      <c r="B113" s="5">
        <v>1297.0</v>
      </c>
      <c r="C113" s="5">
        <v>20.5</v>
      </c>
      <c r="D113" s="5">
        <v>17.1</v>
      </c>
      <c r="G113" s="5">
        <v>9.61</v>
      </c>
      <c r="I113" s="5">
        <v>1.42</v>
      </c>
    </row>
    <row r="114">
      <c r="A114" s="4" t="s">
        <v>1290</v>
      </c>
      <c r="B114" s="5">
        <v>1301.0</v>
      </c>
      <c r="C114" s="5">
        <v>15.6</v>
      </c>
      <c r="D114" s="5">
        <v>14.1</v>
      </c>
      <c r="G114" s="5">
        <v>9.56</v>
      </c>
      <c r="I114" s="5">
        <v>1.04</v>
      </c>
    </row>
    <row r="115">
      <c r="A115" s="4" t="s">
        <v>1289</v>
      </c>
      <c r="B115" s="5">
        <v>1300.0</v>
      </c>
      <c r="C115" s="5">
        <v>10.8</v>
      </c>
      <c r="D115" s="5">
        <v>11.3</v>
      </c>
      <c r="G115" s="5">
        <v>9.08</v>
      </c>
      <c r="I115" s="5">
        <v>1.01</v>
      </c>
    </row>
    <row r="116">
      <c r="A116" s="4" t="s">
        <v>1498</v>
      </c>
      <c r="B116" s="5">
        <v>1296.0</v>
      </c>
      <c r="C116" s="5">
        <v>16.3</v>
      </c>
      <c r="D116" s="5">
        <v>12.9</v>
      </c>
      <c r="G116" s="5">
        <v>10.12</v>
      </c>
      <c r="I116" s="5">
        <v>0.98</v>
      </c>
    </row>
    <row r="117">
      <c r="A117" s="4" t="s">
        <v>369</v>
      </c>
      <c r="B117" s="5">
        <v>1299.0</v>
      </c>
      <c r="C117" s="5">
        <v>13.2</v>
      </c>
      <c r="D117" s="5">
        <v>14.8</v>
      </c>
      <c r="G117" s="5">
        <v>9.99</v>
      </c>
      <c r="I117" s="5">
        <v>0.99</v>
      </c>
    </row>
    <row r="118">
      <c r="A118" s="21" t="s">
        <v>1499</v>
      </c>
      <c r="B118" s="5">
        <v>1303.0</v>
      </c>
      <c r="C118" s="5">
        <v>16.2</v>
      </c>
      <c r="D118" s="5">
        <v>13.6</v>
      </c>
      <c r="G118" s="5">
        <v>11.1</v>
      </c>
      <c r="I118" s="5">
        <v>1.51</v>
      </c>
    </row>
    <row r="119">
      <c r="A119" s="4" t="s">
        <v>360</v>
      </c>
      <c r="B119" s="5">
        <v>1306.0</v>
      </c>
      <c r="C119" s="5">
        <v>2.5</v>
      </c>
      <c r="D119" s="5">
        <v>8.3</v>
      </c>
      <c r="G119" s="5">
        <v>9.09</v>
      </c>
      <c r="I119" s="5">
        <v>0.71</v>
      </c>
    </row>
    <row r="120">
      <c r="A120" s="4" t="s">
        <v>1501</v>
      </c>
    </row>
    <row r="121">
      <c r="A121" s="4" t="s">
        <v>380</v>
      </c>
      <c r="B121" s="5">
        <v>1298.0</v>
      </c>
      <c r="C121" s="5">
        <v>8.6</v>
      </c>
      <c r="D121" s="5">
        <v>12.9</v>
      </c>
      <c r="G121" s="5">
        <v>8.41</v>
      </c>
      <c r="I121" s="5">
        <v>0.62</v>
      </c>
    </row>
    <row r="122">
      <c r="A122" s="4"/>
    </row>
    <row r="123">
      <c r="A123" s="21" t="s">
        <v>386</v>
      </c>
      <c r="B123" s="5">
        <v>1334.0</v>
      </c>
      <c r="C123" s="5">
        <v>21.6</v>
      </c>
      <c r="D123" s="5">
        <v>9.3</v>
      </c>
      <c r="G123" s="5">
        <v>18.72</v>
      </c>
      <c r="I123" s="5">
        <v>8.72</v>
      </c>
    </row>
    <row r="124">
      <c r="A124" s="21" t="s">
        <v>387</v>
      </c>
      <c r="B124" s="5">
        <v>1333.0</v>
      </c>
      <c r="C124" s="5">
        <v>18.8</v>
      </c>
      <c r="D124" s="5">
        <v>18.5</v>
      </c>
      <c r="G124" s="5">
        <v>15.91</v>
      </c>
      <c r="I124" s="5">
        <v>6.76</v>
      </c>
    </row>
    <row r="125">
      <c r="A125" s="21" t="s">
        <v>388</v>
      </c>
      <c r="B125" s="5">
        <v>1332.0</v>
      </c>
      <c r="C125" s="5">
        <v>25.1</v>
      </c>
      <c r="D125" s="5">
        <v>19.0</v>
      </c>
      <c r="G125" s="5">
        <v>14.41</v>
      </c>
      <c r="I125" s="5">
        <v>4.4</v>
      </c>
    </row>
    <row r="126">
      <c r="A126" s="21" t="s">
        <v>1505</v>
      </c>
      <c r="B126" s="5">
        <v>1331.0</v>
      </c>
      <c r="C126" s="5">
        <v>28.3</v>
      </c>
      <c r="D126" s="5">
        <v>27.6</v>
      </c>
      <c r="G126" s="5">
        <v>14.23</v>
      </c>
      <c r="I126" s="5">
        <v>3.04</v>
      </c>
    </row>
    <row r="127">
      <c r="A127" s="21" t="s">
        <v>390</v>
      </c>
      <c r="B127" s="5">
        <v>1330.0</v>
      </c>
      <c r="C127" s="5">
        <v>25.3</v>
      </c>
      <c r="D127" s="5">
        <v>16.6</v>
      </c>
      <c r="G127" s="5">
        <v>13.51</v>
      </c>
      <c r="I127" s="5">
        <v>3.16</v>
      </c>
    </row>
    <row r="128">
      <c r="A128" s="21" t="s">
        <v>1843</v>
      </c>
      <c r="B128" s="5">
        <v>1320.0</v>
      </c>
      <c r="C128" s="5">
        <v>31.1</v>
      </c>
      <c r="D128" s="5">
        <v>30.6</v>
      </c>
      <c r="G128" s="5">
        <v>11.11</v>
      </c>
      <c r="I128" s="5">
        <v>1.2</v>
      </c>
    </row>
    <row r="129">
      <c r="A129" s="21" t="s">
        <v>1506</v>
      </c>
      <c r="B129" s="5">
        <v>1327.0</v>
      </c>
      <c r="C129" s="5">
        <v>24.3</v>
      </c>
      <c r="D129" s="5">
        <v>19.4</v>
      </c>
      <c r="G129" s="5">
        <v>10.59</v>
      </c>
      <c r="I129" s="5">
        <v>1.89</v>
      </c>
    </row>
    <row r="130">
      <c r="A130" s="21" t="s">
        <v>391</v>
      </c>
      <c r="B130" s="5">
        <v>1329.0</v>
      </c>
      <c r="C130" s="5">
        <v>28.0</v>
      </c>
      <c r="D130" s="5">
        <v>29.6</v>
      </c>
      <c r="G130" s="5">
        <v>11.42</v>
      </c>
      <c r="I130" s="5">
        <v>1.48</v>
      </c>
    </row>
    <row r="131">
      <c r="A131" s="21" t="s">
        <v>400</v>
      </c>
      <c r="B131" s="5">
        <v>1324.0</v>
      </c>
      <c r="C131" s="5">
        <v>21.6</v>
      </c>
      <c r="D131" s="5">
        <v>13.4</v>
      </c>
      <c r="G131" s="5">
        <v>11.02</v>
      </c>
      <c r="I131" s="5">
        <v>1.95</v>
      </c>
    </row>
    <row r="132">
      <c r="A132" s="21" t="s">
        <v>399</v>
      </c>
      <c r="B132" s="5">
        <v>1328.0</v>
      </c>
      <c r="C132" s="5">
        <v>23.6</v>
      </c>
      <c r="D132" s="5">
        <v>19.1</v>
      </c>
      <c r="G132" s="5">
        <v>12.91</v>
      </c>
      <c r="I132" s="5">
        <v>0.95</v>
      </c>
    </row>
    <row r="133">
      <c r="A133" s="21" t="s">
        <v>1895</v>
      </c>
      <c r="B133" s="5">
        <v>1319.0</v>
      </c>
      <c r="C133" s="5">
        <v>24.4</v>
      </c>
      <c r="D133" s="5">
        <v>16.1</v>
      </c>
      <c r="G133" s="5">
        <v>10.61</v>
      </c>
      <c r="I133" s="5">
        <v>1.25</v>
      </c>
    </row>
    <row r="134">
      <c r="A134" s="21" t="s">
        <v>397</v>
      </c>
      <c r="B134" s="5">
        <v>1325.0</v>
      </c>
      <c r="C134" s="5">
        <v>19.5</v>
      </c>
      <c r="D134" s="5">
        <v>13.2</v>
      </c>
      <c r="G134" s="5">
        <v>9.56</v>
      </c>
      <c r="I134" s="5">
        <v>0.98</v>
      </c>
    </row>
    <row r="135">
      <c r="A135" s="21" t="s">
        <v>1507</v>
      </c>
      <c r="B135" s="5">
        <v>1326.0</v>
      </c>
      <c r="C135" s="5">
        <v>22.0</v>
      </c>
      <c r="D135" s="5">
        <v>14.6</v>
      </c>
      <c r="G135" s="5">
        <v>11.9</v>
      </c>
      <c r="I135" s="5">
        <v>1.45</v>
      </c>
    </row>
    <row r="136">
      <c r="A136" s="21" t="s">
        <v>1731</v>
      </c>
      <c r="B136" s="5">
        <v>1318.0</v>
      </c>
      <c r="C136" s="5">
        <v>24.5</v>
      </c>
      <c r="D136" s="5">
        <v>18.8</v>
      </c>
      <c r="G136" s="5">
        <v>10.65</v>
      </c>
      <c r="I136" s="5">
        <v>1.21</v>
      </c>
    </row>
    <row r="137">
      <c r="A137" s="4" t="s">
        <v>1299</v>
      </c>
      <c r="B137" s="5">
        <v>1315.0</v>
      </c>
      <c r="C137" s="5">
        <v>16.6</v>
      </c>
      <c r="D137" s="5">
        <v>13.3</v>
      </c>
      <c r="G137" s="5">
        <v>9.42</v>
      </c>
      <c r="I137" s="5">
        <v>1.07</v>
      </c>
    </row>
    <row r="138">
      <c r="A138" s="4" t="s">
        <v>1300</v>
      </c>
      <c r="B138" s="5">
        <v>1323.0</v>
      </c>
      <c r="C138" s="5">
        <v>13.4</v>
      </c>
      <c r="D138" s="5">
        <v>14.6</v>
      </c>
      <c r="G138" s="5">
        <v>7.78</v>
      </c>
      <c r="I138" s="5">
        <v>0.51</v>
      </c>
    </row>
    <row r="139">
      <c r="A139" s="4" t="s">
        <v>402</v>
      </c>
      <c r="B139" s="5">
        <v>1316.0</v>
      </c>
      <c r="C139" s="5">
        <v>15.6</v>
      </c>
      <c r="D139" s="5">
        <v>13.2</v>
      </c>
      <c r="G139" s="5">
        <v>8.66</v>
      </c>
      <c r="I139" s="5">
        <v>0.77</v>
      </c>
    </row>
    <row r="140">
      <c r="A140" s="4" t="s">
        <v>1896</v>
      </c>
      <c r="B140" s="5">
        <v>1322.0</v>
      </c>
      <c r="C140" s="5">
        <v>22.9</v>
      </c>
      <c r="D140" s="5">
        <v>16.2</v>
      </c>
      <c r="G140" s="5">
        <v>11.14</v>
      </c>
      <c r="I140" s="5">
        <v>0.97</v>
      </c>
    </row>
    <row r="141">
      <c r="A141" s="4" t="s">
        <v>1508</v>
      </c>
      <c r="B141" s="5">
        <v>1321.0</v>
      </c>
      <c r="C141" s="5">
        <v>17.1</v>
      </c>
      <c r="D141" s="5">
        <v>11.0</v>
      </c>
      <c r="G141" s="5">
        <v>9.05</v>
      </c>
      <c r="I141" s="5">
        <v>0.96</v>
      </c>
    </row>
    <row r="142">
      <c r="A142" s="4" t="s">
        <v>1897</v>
      </c>
      <c r="B142" s="5">
        <v>1317.0</v>
      </c>
      <c r="C142" s="5">
        <v>17.5</v>
      </c>
      <c r="D142" s="5">
        <v>17.6</v>
      </c>
      <c r="G142" s="5">
        <v>9.07</v>
      </c>
      <c r="I142" s="5">
        <v>0.77</v>
      </c>
    </row>
    <row r="143">
      <c r="A143" s="4"/>
    </row>
    <row r="144">
      <c r="A144" s="21" t="s">
        <v>406</v>
      </c>
      <c r="B144" s="5">
        <v>1465.0</v>
      </c>
      <c r="C144" s="5">
        <v>20.0</v>
      </c>
      <c r="D144" s="5">
        <v>4.0</v>
      </c>
      <c r="G144" s="5">
        <v>19.56</v>
      </c>
      <c r="I144" s="5">
        <v>8.59</v>
      </c>
    </row>
    <row r="145">
      <c r="A145" s="21" t="s">
        <v>1303</v>
      </c>
      <c r="B145" s="5">
        <v>1458.0</v>
      </c>
      <c r="C145" s="5">
        <v>26.1</v>
      </c>
      <c r="D145" s="5">
        <v>20.2</v>
      </c>
      <c r="G145" s="5">
        <v>15.11</v>
      </c>
      <c r="I145" s="5">
        <v>2.76</v>
      </c>
    </row>
    <row r="146">
      <c r="A146" s="21" t="s">
        <v>407</v>
      </c>
      <c r="B146" s="5">
        <v>1464.0</v>
      </c>
      <c r="C146" s="5">
        <v>33.2</v>
      </c>
      <c r="D146" s="5">
        <v>23.6</v>
      </c>
      <c r="G146" s="5">
        <v>14.75</v>
      </c>
      <c r="I146" s="5">
        <v>4.95</v>
      </c>
    </row>
    <row r="147">
      <c r="A147" s="21" t="s">
        <v>1305</v>
      </c>
      <c r="B147" s="5">
        <v>1457.0</v>
      </c>
      <c r="C147" s="5">
        <v>24.5</v>
      </c>
      <c r="D147" s="5">
        <v>20.3</v>
      </c>
      <c r="G147" s="5">
        <v>11.54</v>
      </c>
      <c r="I147" s="5">
        <v>2.67</v>
      </c>
    </row>
    <row r="148">
      <c r="A148" s="21" t="s">
        <v>409</v>
      </c>
      <c r="B148" s="5">
        <v>1459.0</v>
      </c>
      <c r="C148" s="5">
        <v>37.3</v>
      </c>
      <c r="D148" s="5">
        <v>28.2</v>
      </c>
      <c r="G148" s="5">
        <v>12.05</v>
      </c>
      <c r="I148" s="5">
        <v>1.99</v>
      </c>
    </row>
    <row r="149">
      <c r="A149" s="21" t="s">
        <v>408</v>
      </c>
      <c r="B149" s="5">
        <v>1463.0</v>
      </c>
      <c r="C149" s="5">
        <v>21.3</v>
      </c>
      <c r="D149" s="5">
        <v>19.6</v>
      </c>
      <c r="G149" s="5">
        <v>13.78</v>
      </c>
      <c r="I149" s="5">
        <v>4.0</v>
      </c>
    </row>
    <row r="150">
      <c r="A150" s="21" t="s">
        <v>411</v>
      </c>
      <c r="B150" s="5">
        <v>1461.0</v>
      </c>
      <c r="C150" s="5">
        <v>22.2</v>
      </c>
      <c r="D150" s="5">
        <v>17.2</v>
      </c>
      <c r="G150" s="5">
        <v>12.22</v>
      </c>
      <c r="I150" s="5">
        <v>2.38</v>
      </c>
    </row>
    <row r="151">
      <c r="A151" s="21" t="s">
        <v>1306</v>
      </c>
      <c r="B151" s="5">
        <v>1460.0</v>
      </c>
      <c r="C151" s="5">
        <v>27.6</v>
      </c>
      <c r="D151" s="5">
        <v>20.6</v>
      </c>
      <c r="G151" s="5">
        <v>11.77</v>
      </c>
      <c r="I151" s="5">
        <v>1.56</v>
      </c>
    </row>
    <row r="152">
      <c r="A152" s="21" t="s">
        <v>410</v>
      </c>
      <c r="B152" s="5">
        <v>1456.0</v>
      </c>
      <c r="C152" s="5">
        <v>21.6</v>
      </c>
      <c r="D152" s="5">
        <v>16.1</v>
      </c>
      <c r="G152" s="5">
        <v>10.51</v>
      </c>
      <c r="I152" s="5">
        <v>1.96</v>
      </c>
    </row>
    <row r="153">
      <c r="A153" s="21" t="s">
        <v>1308</v>
      </c>
      <c r="B153" s="5">
        <v>1340.0</v>
      </c>
      <c r="C153" s="5">
        <v>25.1</v>
      </c>
      <c r="D153" s="5">
        <v>15.2</v>
      </c>
      <c r="G153" s="5">
        <v>10.13</v>
      </c>
      <c r="I153" s="5">
        <v>1.51</v>
      </c>
    </row>
    <row r="154">
      <c r="A154" s="4" t="s">
        <v>415</v>
      </c>
      <c r="B154" s="5">
        <v>1338.0</v>
      </c>
      <c r="C154" s="5">
        <v>20.3</v>
      </c>
      <c r="D154" s="5">
        <v>15.5</v>
      </c>
      <c r="G154" s="5">
        <v>11.01</v>
      </c>
      <c r="I154" s="5">
        <v>1.18</v>
      </c>
    </row>
    <row r="155">
      <c r="A155" s="4" t="s">
        <v>413</v>
      </c>
      <c r="B155" s="5">
        <v>1462.0</v>
      </c>
      <c r="C155" s="5">
        <v>25.5</v>
      </c>
      <c r="D155" s="5">
        <v>29.5</v>
      </c>
      <c r="G155" s="5">
        <v>10.3</v>
      </c>
      <c r="I155" s="5">
        <v>0.91</v>
      </c>
    </row>
    <row r="156">
      <c r="A156" s="4" t="s">
        <v>1309</v>
      </c>
      <c r="B156" s="5">
        <v>1335.0</v>
      </c>
      <c r="C156" s="5">
        <v>20.4</v>
      </c>
      <c r="D156" s="5">
        <v>14.7</v>
      </c>
      <c r="G156" s="5">
        <v>10.4</v>
      </c>
      <c r="I156" s="5">
        <v>0.87</v>
      </c>
    </row>
    <row r="157">
      <c r="A157" s="4" t="s">
        <v>412</v>
      </c>
      <c r="B157" s="5">
        <v>1336.0</v>
      </c>
      <c r="C157" s="5">
        <v>20.5</v>
      </c>
      <c r="D157" s="5">
        <v>15.6</v>
      </c>
      <c r="G157" s="5">
        <v>9.91</v>
      </c>
      <c r="I157" s="5">
        <v>1.09</v>
      </c>
    </row>
    <row r="158">
      <c r="A158" s="4" t="s">
        <v>1516</v>
      </c>
      <c r="B158" s="5">
        <v>1339.0</v>
      </c>
      <c r="C158" s="5">
        <v>19.1</v>
      </c>
      <c r="D158" s="5">
        <v>22.2</v>
      </c>
      <c r="G158" s="5">
        <v>8.26</v>
      </c>
      <c r="I158" s="5">
        <v>0.44</v>
      </c>
    </row>
    <row r="159">
      <c r="A159" s="4" t="s">
        <v>1311</v>
      </c>
      <c r="B159" s="5">
        <v>1337.0</v>
      </c>
      <c r="C159" s="5">
        <v>18.2</v>
      </c>
      <c r="D159" s="5">
        <v>12.3</v>
      </c>
      <c r="G159" s="5">
        <v>8.84</v>
      </c>
      <c r="I159" s="5">
        <v>0.93</v>
      </c>
    </row>
    <row r="160">
      <c r="A160" s="4"/>
    </row>
    <row r="161">
      <c r="A161" s="21" t="s">
        <v>425</v>
      </c>
      <c r="B161" s="5">
        <v>1470.0</v>
      </c>
      <c r="C161" s="5">
        <v>29.0</v>
      </c>
      <c r="D161" s="5">
        <v>15.8</v>
      </c>
      <c r="G161" s="5">
        <v>10.89</v>
      </c>
      <c r="I161" s="5">
        <v>1.92</v>
      </c>
    </row>
    <row r="162">
      <c r="A162" s="4" t="s">
        <v>426</v>
      </c>
      <c r="B162" s="5">
        <v>1468.0</v>
      </c>
      <c r="C162" s="5">
        <v>26.3</v>
      </c>
      <c r="D162" s="5">
        <v>20.2</v>
      </c>
      <c r="G162" s="5">
        <v>14.45</v>
      </c>
      <c r="I162" s="5">
        <v>2.22</v>
      </c>
    </row>
    <row r="163">
      <c r="A163" s="4" t="s">
        <v>1316</v>
      </c>
      <c r="B163" s="5">
        <v>1469.0</v>
      </c>
      <c r="C163" s="5">
        <v>27.2</v>
      </c>
      <c r="D163" s="5">
        <v>30.1</v>
      </c>
      <c r="G163" s="5">
        <v>9.46</v>
      </c>
      <c r="I163" s="5">
        <v>1.18</v>
      </c>
    </row>
    <row r="164">
      <c r="A164" s="4" t="s">
        <v>427</v>
      </c>
      <c r="B164" s="5">
        <v>1467.0</v>
      </c>
      <c r="C164" s="5">
        <v>25.1</v>
      </c>
      <c r="D164" s="5">
        <v>21.6</v>
      </c>
      <c r="G164" s="5">
        <v>11.88</v>
      </c>
      <c r="I164" s="5">
        <v>2.1</v>
      </c>
    </row>
    <row r="165">
      <c r="A165" s="4" t="s">
        <v>1322</v>
      </c>
      <c r="B165" s="5">
        <v>1466.0</v>
      </c>
      <c r="C165" s="5">
        <v>22.0</v>
      </c>
      <c r="D165" s="5">
        <v>18.6</v>
      </c>
      <c r="G165" s="5">
        <v>8.57</v>
      </c>
      <c r="I165" s="5">
        <v>0.66</v>
      </c>
    </row>
    <row r="166">
      <c r="A166" s="4"/>
    </row>
    <row r="167">
      <c r="A167" s="4" t="s">
        <v>438</v>
      </c>
      <c r="B167" s="5">
        <v>1472.0</v>
      </c>
      <c r="C167" s="5">
        <v>12.0</v>
      </c>
      <c r="D167" s="5">
        <v>19.7</v>
      </c>
      <c r="G167" s="5">
        <v>11.74</v>
      </c>
      <c r="I167" s="14">
        <v>2.84</v>
      </c>
    </row>
    <row r="168">
      <c r="A168" s="4" t="s">
        <v>439</v>
      </c>
      <c r="B168" s="5">
        <v>1473.0</v>
      </c>
      <c r="C168" s="5">
        <v>20.0</v>
      </c>
      <c r="D168" s="5">
        <v>20.2</v>
      </c>
      <c r="G168" s="5">
        <v>10.93</v>
      </c>
      <c r="I168" s="5">
        <v>0.22</v>
      </c>
    </row>
    <row r="169">
      <c r="A169" s="9" t="s">
        <v>441</v>
      </c>
      <c r="B169" s="5">
        <v>1472.0</v>
      </c>
      <c r="C169" s="5">
        <v>26.6</v>
      </c>
      <c r="D169" s="5">
        <v>20.4</v>
      </c>
      <c r="G169" s="5">
        <v>9.78</v>
      </c>
      <c r="I169" s="14">
        <v>1.2</v>
      </c>
    </row>
    <row r="170">
      <c r="A170" s="9" t="s">
        <v>442</v>
      </c>
      <c r="B170" s="5">
        <v>1471.0</v>
      </c>
      <c r="C170" s="5">
        <v>21.7</v>
      </c>
      <c r="D170" s="5">
        <v>15.2</v>
      </c>
      <c r="G170" s="5">
        <v>7.48</v>
      </c>
      <c r="I170" s="5">
        <v>0.42</v>
      </c>
    </row>
    <row r="171">
      <c r="A171" s="4"/>
    </row>
    <row r="172">
      <c r="A172" s="4" t="s">
        <v>463</v>
      </c>
      <c r="B172" s="5">
        <v>1477.0</v>
      </c>
      <c r="C172" s="5">
        <v>29.4</v>
      </c>
      <c r="D172" s="5">
        <v>21.7</v>
      </c>
      <c r="G172" s="5">
        <v>8.32</v>
      </c>
      <c r="I172" s="5">
        <v>2.68</v>
      </c>
    </row>
    <row r="173">
      <c r="A173" s="4" t="s">
        <v>464</v>
      </c>
      <c r="B173" s="5">
        <v>1476.0</v>
      </c>
      <c r="C173" s="5">
        <v>20.5</v>
      </c>
      <c r="D173" s="5">
        <v>18.2</v>
      </c>
      <c r="G173" s="5">
        <v>12.02</v>
      </c>
      <c r="I173" s="5">
        <v>2.66</v>
      </c>
    </row>
    <row r="174">
      <c r="A174" s="4" t="s">
        <v>465</v>
      </c>
      <c r="B174" s="5">
        <v>1475.0</v>
      </c>
      <c r="C174" s="5">
        <v>26.1</v>
      </c>
      <c r="D174" s="5">
        <v>21.2</v>
      </c>
      <c r="G174" s="5">
        <v>9.05</v>
      </c>
    </row>
    <row r="175">
      <c r="A175" s="9" t="s">
        <v>467</v>
      </c>
      <c r="B175" s="5">
        <v>1474.0</v>
      </c>
      <c r="C175" s="5">
        <v>22.5</v>
      </c>
      <c r="D175" s="5">
        <v>17.6</v>
      </c>
      <c r="G175" s="5">
        <v>8.73</v>
      </c>
      <c r="I175" s="5">
        <v>0.81</v>
      </c>
    </row>
    <row r="176">
      <c r="A176" s="9" t="s">
        <v>469</v>
      </c>
      <c r="B176" s="5">
        <v>1473.0</v>
      </c>
      <c r="C176" s="5">
        <v>18.5</v>
      </c>
      <c r="D176" s="5">
        <v>13.0</v>
      </c>
      <c r="G176" s="5">
        <v>4.96</v>
      </c>
    </row>
    <row r="177">
      <c r="A177" s="4"/>
    </row>
    <row r="178">
      <c r="A178" s="4" t="s">
        <v>754</v>
      </c>
      <c r="B178" s="5">
        <v>1600.0</v>
      </c>
      <c r="C178" s="5">
        <v>18.8</v>
      </c>
      <c r="D178" s="5">
        <v>11.5</v>
      </c>
      <c r="G178" s="5">
        <v>21.86</v>
      </c>
      <c r="H178" s="5">
        <v>2.0</v>
      </c>
      <c r="I178" s="5">
        <v>4.76</v>
      </c>
      <c r="K178" s="20" t="s">
        <v>14</v>
      </c>
    </row>
    <row r="179">
      <c r="A179" s="4" t="s">
        <v>755</v>
      </c>
      <c r="B179" s="5">
        <v>1599.0</v>
      </c>
      <c r="C179" s="5">
        <v>12.4</v>
      </c>
      <c r="D179" s="5">
        <v>13.9</v>
      </c>
      <c r="G179" s="5">
        <v>17.06</v>
      </c>
      <c r="I179" s="5">
        <v>5.64</v>
      </c>
      <c r="K179" s="18">
        <f>counta(I178:I248)</f>
        <v>60</v>
      </c>
    </row>
    <row r="180">
      <c r="A180" s="4" t="s">
        <v>765</v>
      </c>
      <c r="B180" s="5">
        <v>1593.0</v>
      </c>
      <c r="C180" s="5">
        <v>28.6</v>
      </c>
      <c r="D180" s="5">
        <v>19.1</v>
      </c>
      <c r="G180" s="5">
        <v>12.82</v>
      </c>
      <c r="I180" s="5">
        <v>2.75</v>
      </c>
      <c r="K180" s="6">
        <f>sum(I178:I248)/K179</f>
        <v>1.933833333</v>
      </c>
    </row>
    <row r="181">
      <c r="A181" s="4" t="s">
        <v>756</v>
      </c>
      <c r="B181" s="5">
        <v>1598.0</v>
      </c>
      <c r="C181" s="5">
        <v>27.1</v>
      </c>
      <c r="D181" s="5">
        <v>20.4</v>
      </c>
      <c r="G181" s="5">
        <v>14.04</v>
      </c>
      <c r="I181" s="5">
        <v>4.56</v>
      </c>
    </row>
    <row r="182">
      <c r="A182" s="4" t="s">
        <v>758</v>
      </c>
      <c r="B182" s="5">
        <v>1597.0</v>
      </c>
      <c r="C182" s="5">
        <v>27.7</v>
      </c>
      <c r="D182" s="5">
        <v>18.4</v>
      </c>
      <c r="G182" s="5">
        <v>11.94</v>
      </c>
      <c r="I182" s="5">
        <v>2.49</v>
      </c>
    </row>
    <row r="183">
      <c r="A183" s="4" t="s">
        <v>768</v>
      </c>
      <c r="B183" s="5">
        <v>1592.0</v>
      </c>
      <c r="C183" s="5">
        <v>25.4</v>
      </c>
      <c r="D183" s="5">
        <v>16.6</v>
      </c>
      <c r="G183" s="5">
        <v>10.56</v>
      </c>
      <c r="I183" s="5">
        <v>1.75</v>
      </c>
    </row>
    <row r="184">
      <c r="A184" s="4" t="s">
        <v>1338</v>
      </c>
      <c r="B184" s="5">
        <v>1596.0</v>
      </c>
      <c r="C184" s="5">
        <v>21.3</v>
      </c>
      <c r="D184" s="5">
        <v>15.0</v>
      </c>
      <c r="G184" s="5">
        <v>9.37</v>
      </c>
      <c r="I184" s="5">
        <v>1.36</v>
      </c>
    </row>
    <row r="185">
      <c r="A185" s="4" t="s">
        <v>770</v>
      </c>
      <c r="B185" s="5">
        <v>1589.0</v>
      </c>
      <c r="C185" s="5">
        <v>25.2</v>
      </c>
      <c r="D185" s="5">
        <v>22.3</v>
      </c>
      <c r="G185" s="5">
        <v>9.37</v>
      </c>
      <c r="I185" s="5">
        <v>0.74</v>
      </c>
    </row>
    <row r="186">
      <c r="A186" s="4" t="s">
        <v>759</v>
      </c>
      <c r="B186" s="5">
        <v>1584.0</v>
      </c>
      <c r="C186" s="5">
        <v>30.0</v>
      </c>
      <c r="D186" s="5">
        <v>26.9</v>
      </c>
      <c r="G186" s="5">
        <v>9.73</v>
      </c>
      <c r="I186" s="5">
        <v>1.01</v>
      </c>
    </row>
    <row r="187">
      <c r="A187" s="4" t="s">
        <v>1873</v>
      </c>
      <c r="B187" s="5">
        <v>1595.0</v>
      </c>
      <c r="C187" s="5">
        <v>22.9</v>
      </c>
      <c r="D187" s="5">
        <v>23.0</v>
      </c>
      <c r="E187" s="5">
        <v>1.9</v>
      </c>
      <c r="G187" s="5">
        <v>15.87</v>
      </c>
    </row>
    <row r="188">
      <c r="A188" s="4" t="s">
        <v>1874</v>
      </c>
      <c r="B188" s="5">
        <v>1587.0</v>
      </c>
      <c r="C188" s="5">
        <v>34.4</v>
      </c>
      <c r="D188" s="5">
        <v>22.0</v>
      </c>
      <c r="G188" s="5">
        <v>10.5</v>
      </c>
      <c r="I188" s="5">
        <v>1.96</v>
      </c>
    </row>
    <row r="189">
      <c r="A189" s="4" t="s">
        <v>1342</v>
      </c>
      <c r="B189" s="5">
        <v>1594.0</v>
      </c>
      <c r="C189" s="5">
        <v>16.1</v>
      </c>
      <c r="D189" s="5">
        <v>12.5</v>
      </c>
      <c r="G189" s="5">
        <v>6.19</v>
      </c>
      <c r="I189" s="5">
        <v>0.5</v>
      </c>
    </row>
    <row r="190">
      <c r="A190" s="4" t="s">
        <v>1898</v>
      </c>
      <c r="B190" s="5">
        <v>1581.0</v>
      </c>
      <c r="C190" s="5">
        <v>22.9</v>
      </c>
      <c r="D190" s="5">
        <v>14.6</v>
      </c>
      <c r="G190" s="5">
        <v>6.44</v>
      </c>
      <c r="I190" s="5">
        <v>0.46</v>
      </c>
    </row>
    <row r="191">
      <c r="A191" s="4" t="s">
        <v>764</v>
      </c>
      <c r="B191" s="5">
        <v>1583.0</v>
      </c>
      <c r="C191" s="5">
        <v>22.7</v>
      </c>
      <c r="D191" s="5">
        <v>15.4</v>
      </c>
      <c r="G191" s="5">
        <v>8.68</v>
      </c>
      <c r="I191" s="5">
        <v>0.6</v>
      </c>
    </row>
    <row r="192">
      <c r="A192" s="4" t="s">
        <v>1875</v>
      </c>
      <c r="B192" s="5">
        <v>1586.0</v>
      </c>
      <c r="C192" s="5">
        <v>22.8</v>
      </c>
      <c r="D192" s="5">
        <v>18.4</v>
      </c>
      <c r="G192" s="5">
        <v>9.18</v>
      </c>
      <c r="I192" s="5">
        <v>1.07</v>
      </c>
    </row>
    <row r="193">
      <c r="A193" s="4" t="s">
        <v>1899</v>
      </c>
      <c r="B193" s="5">
        <v>1591.0</v>
      </c>
      <c r="C193" s="5">
        <v>18.3</v>
      </c>
      <c r="D193" s="5">
        <v>12.7</v>
      </c>
      <c r="G193" s="5">
        <v>6.8</v>
      </c>
      <c r="I193" s="5">
        <v>0.97</v>
      </c>
    </row>
    <row r="194">
      <c r="A194" s="4" t="s">
        <v>1343</v>
      </c>
      <c r="B194" s="5">
        <v>1588.0</v>
      </c>
      <c r="C194" s="5">
        <v>13.3</v>
      </c>
      <c r="D194" s="5">
        <v>8.4</v>
      </c>
      <c r="G194" s="5">
        <v>5.05</v>
      </c>
      <c r="I194" s="5">
        <v>0.17</v>
      </c>
    </row>
    <row r="195">
      <c r="A195" s="4" t="s">
        <v>766</v>
      </c>
      <c r="B195" s="5">
        <v>1582.0</v>
      </c>
      <c r="C195" s="5">
        <v>16.8</v>
      </c>
      <c r="D195" s="5">
        <v>12.1</v>
      </c>
      <c r="G195" s="5">
        <v>4.92</v>
      </c>
      <c r="I195" s="5">
        <v>0.36</v>
      </c>
    </row>
    <row r="196">
      <c r="A196" s="4" t="s">
        <v>1878</v>
      </c>
      <c r="B196" s="5">
        <v>1585.0</v>
      </c>
      <c r="C196" s="5">
        <v>16.8</v>
      </c>
      <c r="D196" s="5">
        <v>11.5</v>
      </c>
      <c r="G196" s="5">
        <v>5.91</v>
      </c>
      <c r="I196" s="5">
        <v>0.53</v>
      </c>
    </row>
    <row r="197">
      <c r="A197" s="4" t="s">
        <v>1900</v>
      </c>
      <c r="B197" s="5">
        <v>1590.0</v>
      </c>
      <c r="C197" s="5">
        <v>13.7</v>
      </c>
      <c r="D197" s="5">
        <v>9.4</v>
      </c>
      <c r="G197" s="5">
        <v>4.17</v>
      </c>
      <c r="I197" s="5">
        <v>0.11</v>
      </c>
    </row>
    <row r="198">
      <c r="A198" s="4"/>
    </row>
    <row r="199">
      <c r="A199" s="4" t="s">
        <v>771</v>
      </c>
      <c r="B199" s="5">
        <v>1620.0</v>
      </c>
      <c r="C199" s="5">
        <v>19.7</v>
      </c>
      <c r="D199" s="5">
        <v>8.8</v>
      </c>
      <c r="G199" s="5">
        <v>25.34</v>
      </c>
      <c r="I199" s="5">
        <v>7.9</v>
      </c>
    </row>
    <row r="200">
      <c r="A200" s="4" t="s">
        <v>772</v>
      </c>
      <c r="B200" s="5">
        <v>1619.0</v>
      </c>
      <c r="C200" s="5">
        <v>17.0</v>
      </c>
      <c r="D200" s="5">
        <v>17.2</v>
      </c>
      <c r="G200" s="5">
        <v>17.7</v>
      </c>
      <c r="I200" s="5">
        <v>5.74</v>
      </c>
    </row>
    <row r="201">
      <c r="A201" s="4" t="s">
        <v>774</v>
      </c>
      <c r="B201" s="5">
        <v>1618.0</v>
      </c>
      <c r="C201" s="5">
        <v>27.3</v>
      </c>
      <c r="D201" s="5">
        <v>22.4</v>
      </c>
      <c r="G201" s="5">
        <v>17.82</v>
      </c>
      <c r="I201" s="5">
        <v>4.6</v>
      </c>
    </row>
    <row r="202">
      <c r="A202" s="4" t="s">
        <v>1353</v>
      </c>
      <c r="B202" s="5">
        <v>1615.0</v>
      </c>
      <c r="C202" s="5">
        <v>31.0</v>
      </c>
      <c r="D202" s="5">
        <v>26.4</v>
      </c>
      <c r="G202" s="5">
        <v>15.46</v>
      </c>
      <c r="I202" s="5">
        <v>4.48</v>
      </c>
    </row>
    <row r="203">
      <c r="A203" s="4" t="s">
        <v>1356</v>
      </c>
      <c r="B203" s="5">
        <v>1611.0</v>
      </c>
      <c r="C203" s="5">
        <v>29.5</v>
      </c>
      <c r="D203" s="5">
        <v>23.2</v>
      </c>
      <c r="G203" s="5">
        <v>14.04</v>
      </c>
      <c r="I203" s="5">
        <v>3.03</v>
      </c>
    </row>
    <row r="204">
      <c r="A204" s="4" t="s">
        <v>779</v>
      </c>
      <c r="B204" s="5">
        <v>1617.0</v>
      </c>
      <c r="C204" s="5">
        <v>27.4</v>
      </c>
      <c r="D204" s="5">
        <v>20.4</v>
      </c>
      <c r="G204" s="5">
        <v>15.29</v>
      </c>
      <c r="I204" s="5">
        <v>3.78</v>
      </c>
    </row>
    <row r="205">
      <c r="A205" s="4" t="s">
        <v>1794</v>
      </c>
      <c r="B205" s="5">
        <v>1609.0</v>
      </c>
      <c r="C205" s="5">
        <v>26.0</v>
      </c>
      <c r="D205" s="5">
        <v>34.4</v>
      </c>
      <c r="G205" s="5">
        <v>10.91</v>
      </c>
      <c r="I205" s="5">
        <v>0.8</v>
      </c>
    </row>
    <row r="206">
      <c r="A206" s="4" t="s">
        <v>1359</v>
      </c>
      <c r="B206" s="5">
        <v>1610.0</v>
      </c>
      <c r="C206" s="5">
        <v>23.9</v>
      </c>
      <c r="D206" s="5">
        <v>18.2</v>
      </c>
      <c r="G206" s="5">
        <v>13.84</v>
      </c>
      <c r="I206" s="5">
        <v>2.24</v>
      </c>
    </row>
    <row r="207">
      <c r="A207" s="4" t="s">
        <v>777</v>
      </c>
      <c r="B207" s="5">
        <v>1613.0</v>
      </c>
      <c r="C207" s="5">
        <v>32.3</v>
      </c>
      <c r="D207" s="5">
        <v>22.5</v>
      </c>
      <c r="G207" s="5">
        <v>11.41</v>
      </c>
      <c r="I207" s="5">
        <v>1.36</v>
      </c>
    </row>
    <row r="208">
      <c r="A208" s="4" t="s">
        <v>1363</v>
      </c>
      <c r="B208" s="5">
        <v>1616.0</v>
      </c>
      <c r="C208" s="5">
        <v>20.7</v>
      </c>
      <c r="D208" s="5">
        <v>13.1</v>
      </c>
      <c r="G208" s="5">
        <v>7.97</v>
      </c>
      <c r="I208" s="5">
        <v>0.57</v>
      </c>
      <c r="J208" s="5" t="s">
        <v>1901</v>
      </c>
    </row>
    <row r="209">
      <c r="A209" s="4" t="s">
        <v>1573</v>
      </c>
      <c r="B209" s="5">
        <v>1607.0</v>
      </c>
      <c r="C209" s="5">
        <v>20.2</v>
      </c>
      <c r="D209" s="5">
        <v>19.4</v>
      </c>
      <c r="G209" s="5">
        <v>8.93</v>
      </c>
      <c r="I209" s="5">
        <v>0.49</v>
      </c>
    </row>
    <row r="210">
      <c r="A210" s="4" t="s">
        <v>782</v>
      </c>
      <c r="B210" s="22">
        <v>1606.0</v>
      </c>
      <c r="C210" s="22">
        <v>20.0</v>
      </c>
      <c r="D210" s="22">
        <v>17.1</v>
      </c>
      <c r="E210" s="23"/>
      <c r="F210" s="23"/>
      <c r="G210" s="22">
        <v>10.88</v>
      </c>
      <c r="H210" s="23"/>
      <c r="I210" s="14">
        <v>1.14</v>
      </c>
    </row>
    <row r="211">
      <c r="A211" s="4" t="s">
        <v>1798</v>
      </c>
      <c r="B211" s="5">
        <v>1608.0</v>
      </c>
      <c r="C211" s="5">
        <v>21.2</v>
      </c>
      <c r="D211" s="5">
        <v>19.1</v>
      </c>
      <c r="G211" s="5">
        <v>11.97</v>
      </c>
      <c r="I211" s="5">
        <v>0.81</v>
      </c>
    </row>
    <row r="212">
      <c r="A212" s="4" t="s">
        <v>780</v>
      </c>
      <c r="B212" s="5">
        <v>1614.0</v>
      </c>
      <c r="C212" s="5">
        <v>27.0</v>
      </c>
      <c r="D212" s="5">
        <v>13.4</v>
      </c>
      <c r="G212" s="5">
        <v>12.45</v>
      </c>
      <c r="I212" s="5">
        <v>2.11</v>
      </c>
    </row>
    <row r="213">
      <c r="A213" s="4" t="s">
        <v>781</v>
      </c>
      <c r="B213" s="5">
        <v>1603.0</v>
      </c>
      <c r="C213" s="5">
        <v>30.6</v>
      </c>
      <c r="D213" s="5">
        <v>24.2</v>
      </c>
      <c r="G213" s="5">
        <v>11.25</v>
      </c>
      <c r="I213" s="5">
        <v>1.15</v>
      </c>
    </row>
    <row r="214">
      <c r="A214" s="4" t="s">
        <v>1360</v>
      </c>
      <c r="B214" s="5">
        <v>1612.0</v>
      </c>
      <c r="C214" s="5">
        <v>19.0</v>
      </c>
      <c r="D214" s="5">
        <v>12.5</v>
      </c>
      <c r="G214" s="5">
        <v>11.74</v>
      </c>
      <c r="I214" s="5">
        <v>1.21</v>
      </c>
    </row>
    <row r="215">
      <c r="A215" s="4" t="s">
        <v>794</v>
      </c>
      <c r="B215" s="5">
        <v>1602.0</v>
      </c>
      <c r="C215" s="5">
        <v>17.8</v>
      </c>
      <c r="D215" s="5">
        <v>13.7</v>
      </c>
      <c r="G215" s="5">
        <v>9.67</v>
      </c>
      <c r="I215" s="5">
        <v>0.76</v>
      </c>
    </row>
    <row r="216">
      <c r="A216" s="4" t="s">
        <v>1902</v>
      </c>
      <c r="B216" s="5">
        <v>1601.0</v>
      </c>
      <c r="C216" s="5">
        <v>20.2</v>
      </c>
      <c r="D216" s="5">
        <v>13.3</v>
      </c>
      <c r="G216" s="5">
        <v>7.74</v>
      </c>
      <c r="I216" s="5">
        <v>0.38</v>
      </c>
    </row>
    <row r="217">
      <c r="A217" s="4" t="s">
        <v>1803</v>
      </c>
      <c r="B217" s="22">
        <v>1606.0</v>
      </c>
      <c r="C217" s="22">
        <v>17.5</v>
      </c>
      <c r="D217" s="22">
        <v>13.6</v>
      </c>
      <c r="E217" s="23"/>
      <c r="F217" s="23"/>
      <c r="G217" s="22">
        <v>9.07</v>
      </c>
      <c r="H217" s="23"/>
      <c r="I217" s="14">
        <v>0.62</v>
      </c>
    </row>
    <row r="218">
      <c r="A218" s="4" t="s">
        <v>788</v>
      </c>
      <c r="B218" s="5">
        <v>1604.0</v>
      </c>
      <c r="C218" s="5">
        <v>16.5</v>
      </c>
      <c r="D218" s="5">
        <v>12.2</v>
      </c>
      <c r="G218" s="5">
        <v>9.34</v>
      </c>
      <c r="I218" s="5">
        <v>0.62</v>
      </c>
    </row>
    <row r="219">
      <c r="A219" s="4"/>
    </row>
    <row r="220">
      <c r="A220" s="4" t="s">
        <v>796</v>
      </c>
      <c r="B220" s="5">
        <v>1628.0</v>
      </c>
      <c r="C220" s="5">
        <v>28.0</v>
      </c>
      <c r="D220" s="5">
        <v>16.5</v>
      </c>
      <c r="G220" s="5">
        <v>15.51</v>
      </c>
      <c r="I220" s="5">
        <v>5.56</v>
      </c>
    </row>
    <row r="221">
      <c r="A221" s="4" t="s">
        <v>797</v>
      </c>
      <c r="B221" s="5">
        <v>1627.0</v>
      </c>
      <c r="C221" s="5">
        <v>27.6</v>
      </c>
      <c r="D221" s="5">
        <v>25.8</v>
      </c>
      <c r="G221" s="5">
        <v>13.2</v>
      </c>
      <c r="I221" s="5">
        <v>4.94</v>
      </c>
    </row>
    <row r="222">
      <c r="A222" s="4" t="s">
        <v>798</v>
      </c>
      <c r="B222" s="5">
        <v>1626.0</v>
      </c>
      <c r="C222" s="5">
        <v>28.8</v>
      </c>
      <c r="D222" s="5">
        <v>20.0</v>
      </c>
      <c r="G222" s="5">
        <v>15.88</v>
      </c>
      <c r="I222" s="5">
        <v>3.45</v>
      </c>
    </row>
    <row r="223">
      <c r="A223" s="4" t="s">
        <v>800</v>
      </c>
      <c r="B223" s="5">
        <v>1625.0</v>
      </c>
      <c r="C223" s="5">
        <v>20.6</v>
      </c>
      <c r="D223" s="5">
        <v>15.5</v>
      </c>
      <c r="G223" s="5">
        <v>12.67</v>
      </c>
      <c r="I223" s="5">
        <v>2.33</v>
      </c>
    </row>
    <row r="224">
      <c r="A224" s="4" t="s">
        <v>799</v>
      </c>
      <c r="B224" s="5">
        <v>1623.0</v>
      </c>
      <c r="C224" s="5">
        <v>29.5</v>
      </c>
      <c r="D224" s="5">
        <v>26.0</v>
      </c>
      <c r="G224" s="5">
        <v>11.24</v>
      </c>
      <c r="I224" s="5">
        <v>1.07</v>
      </c>
    </row>
    <row r="225">
      <c r="A225" s="4" t="s">
        <v>801</v>
      </c>
      <c r="B225" s="5">
        <v>1622.0</v>
      </c>
      <c r="C225" s="5">
        <v>22.1</v>
      </c>
      <c r="D225" s="5">
        <v>18.9</v>
      </c>
      <c r="G225" s="5">
        <v>12.02</v>
      </c>
      <c r="I225" s="5">
        <v>0.67</v>
      </c>
    </row>
    <row r="226">
      <c r="A226" s="4" t="s">
        <v>802</v>
      </c>
      <c r="B226" s="5">
        <v>1624.0</v>
      </c>
      <c r="C226" s="5">
        <v>18.0</v>
      </c>
      <c r="D226" s="5">
        <v>9.4</v>
      </c>
      <c r="G226" s="5">
        <v>11.68</v>
      </c>
      <c r="I226" s="5">
        <v>1.06</v>
      </c>
    </row>
    <row r="227">
      <c r="A227" s="4" t="s">
        <v>803</v>
      </c>
      <c r="B227" s="5">
        <v>1621.0</v>
      </c>
      <c r="C227" s="5">
        <v>21.9</v>
      </c>
      <c r="D227" s="5">
        <v>16.1</v>
      </c>
      <c r="G227" s="5">
        <v>10.5</v>
      </c>
      <c r="I227" s="5">
        <v>0.63</v>
      </c>
    </row>
    <row r="228">
      <c r="A228" s="4"/>
    </row>
    <row r="229">
      <c r="A229" s="4" t="s">
        <v>808</v>
      </c>
    </row>
    <row r="230">
      <c r="A230" s="4" t="s">
        <v>809</v>
      </c>
    </row>
    <row r="231">
      <c r="A231" s="4" t="s">
        <v>810</v>
      </c>
    </row>
    <row r="232">
      <c r="A232" s="4" t="s">
        <v>1386</v>
      </c>
    </row>
    <row r="233">
      <c r="A233" s="4"/>
    </row>
    <row r="234">
      <c r="A234" s="4" t="s">
        <v>837</v>
      </c>
      <c r="B234" s="5">
        <v>1634.0</v>
      </c>
      <c r="C234" s="5">
        <v>32.0</v>
      </c>
      <c r="D234" s="5">
        <v>23.8</v>
      </c>
      <c r="G234" s="5">
        <v>12.58</v>
      </c>
      <c r="I234" s="5">
        <v>3.04</v>
      </c>
    </row>
    <row r="235">
      <c r="A235" s="4" t="s">
        <v>838</v>
      </c>
      <c r="B235" s="5">
        <v>1633.0</v>
      </c>
      <c r="C235" s="5">
        <v>28.7</v>
      </c>
      <c r="D235" s="5">
        <v>21.2</v>
      </c>
      <c r="G235" s="5">
        <v>13.21</v>
      </c>
      <c r="I235" s="5">
        <v>3.01</v>
      </c>
    </row>
    <row r="236">
      <c r="A236" s="4" t="s">
        <v>839</v>
      </c>
      <c r="B236" s="5">
        <v>1632.0</v>
      </c>
      <c r="C236" s="5">
        <v>24.5</v>
      </c>
      <c r="D236" s="5">
        <v>19.1</v>
      </c>
      <c r="G236" s="5">
        <v>13.01</v>
      </c>
      <c r="I236" s="5">
        <v>1.94</v>
      </c>
    </row>
    <row r="237">
      <c r="A237" s="4" t="s">
        <v>840</v>
      </c>
      <c r="B237" s="5">
        <v>1630.0</v>
      </c>
      <c r="C237" s="5">
        <v>33.4</v>
      </c>
      <c r="D237" s="5">
        <v>29.9</v>
      </c>
      <c r="G237" s="5">
        <v>11.08</v>
      </c>
      <c r="I237" s="5">
        <v>1.05</v>
      </c>
    </row>
    <row r="238">
      <c r="A238" s="4" t="s">
        <v>842</v>
      </c>
      <c r="B238" s="5">
        <v>1631.0</v>
      </c>
      <c r="C238" s="5">
        <v>23.6</v>
      </c>
      <c r="D238" s="5">
        <v>16.1</v>
      </c>
      <c r="G238" s="5">
        <v>11.42</v>
      </c>
      <c r="I238" s="5">
        <v>1.31</v>
      </c>
    </row>
    <row r="239">
      <c r="A239" s="4" t="s">
        <v>841</v>
      </c>
      <c r="B239" s="5">
        <v>1629.0</v>
      </c>
      <c r="C239" s="5">
        <v>27.8</v>
      </c>
      <c r="D239" s="5">
        <v>18.0</v>
      </c>
      <c r="G239" s="5">
        <v>9.83</v>
      </c>
      <c r="I239" s="5">
        <v>0.78</v>
      </c>
    </row>
    <row r="240">
      <c r="A240" s="4"/>
    </row>
    <row r="241">
      <c r="A241" s="4" t="s">
        <v>857</v>
      </c>
      <c r="B241" s="5">
        <v>1637.0</v>
      </c>
      <c r="C241" s="5">
        <v>38.4</v>
      </c>
      <c r="D241" s="5">
        <v>29.2</v>
      </c>
      <c r="G241" s="5">
        <v>16.11</v>
      </c>
      <c r="I241" s="5">
        <v>1.22</v>
      </c>
    </row>
    <row r="242">
      <c r="A242" s="4" t="s">
        <v>858</v>
      </c>
      <c r="B242" s="5">
        <v>1636.0</v>
      </c>
      <c r="C242" s="5">
        <v>28.1</v>
      </c>
      <c r="D242" s="5">
        <v>22.4</v>
      </c>
      <c r="G242" s="5">
        <v>11.62</v>
      </c>
      <c r="I242" s="5">
        <v>1.69</v>
      </c>
    </row>
    <row r="243">
      <c r="A243" s="4" t="s">
        <v>859</v>
      </c>
      <c r="B243" s="5">
        <v>1635.0</v>
      </c>
      <c r="C243" s="5">
        <v>26.1</v>
      </c>
      <c r="D243" s="5">
        <v>23.5</v>
      </c>
      <c r="G243" s="5">
        <v>12.54</v>
      </c>
      <c r="I243" s="5">
        <v>1.54</v>
      </c>
    </row>
    <row r="244">
      <c r="A244" s="4"/>
    </row>
    <row r="245">
      <c r="A245" s="4" t="s">
        <v>882</v>
      </c>
      <c r="B245" s="5">
        <v>1641.0</v>
      </c>
      <c r="C245" s="5">
        <v>34.1</v>
      </c>
      <c r="D245" s="5">
        <v>21.1</v>
      </c>
      <c r="G245" s="5">
        <v>11.24</v>
      </c>
      <c r="I245" s="5">
        <v>1.37</v>
      </c>
    </row>
    <row r="246">
      <c r="A246" s="4" t="s">
        <v>883</v>
      </c>
      <c r="B246" s="5">
        <v>1640.0</v>
      </c>
      <c r="C246" s="5">
        <v>26.1</v>
      </c>
      <c r="D246" s="5">
        <v>17.5</v>
      </c>
      <c r="G246" s="5">
        <v>10.65</v>
      </c>
      <c r="I246" s="5">
        <v>1.58</v>
      </c>
    </row>
    <row r="247">
      <c r="A247" s="4" t="s">
        <v>884</v>
      </c>
      <c r="B247" s="5">
        <v>1639.0</v>
      </c>
      <c r="C247" s="5">
        <v>32.4</v>
      </c>
      <c r="D247" s="5">
        <v>20.1</v>
      </c>
      <c r="G247" s="5">
        <v>11.45</v>
      </c>
      <c r="I247" s="5">
        <v>1.28</v>
      </c>
    </row>
    <row r="248">
      <c r="A248" s="4" t="s">
        <v>1903</v>
      </c>
      <c r="B248" s="5">
        <v>1638.0</v>
      </c>
      <c r="C248" s="5">
        <v>32.0</v>
      </c>
      <c r="D248" s="5">
        <v>28.4</v>
      </c>
      <c r="G248" s="5">
        <v>10.61</v>
      </c>
      <c r="I248" s="5">
        <v>0.93</v>
      </c>
    </row>
    <row r="249">
      <c r="A249" s="4"/>
    </row>
    <row r="250">
      <c r="A250" s="4" t="s">
        <v>895</v>
      </c>
    </row>
    <row r="251">
      <c r="A251" s="4" t="s">
        <v>896</v>
      </c>
    </row>
    <row r="252">
      <c r="A252" s="4"/>
    </row>
    <row r="253">
      <c r="A253" s="4" t="s">
        <v>915</v>
      </c>
    </row>
    <row r="254">
      <c r="A254" s="4" t="s">
        <v>916</v>
      </c>
    </row>
    <row r="255">
      <c r="A255" s="4"/>
    </row>
    <row r="256">
      <c r="A256" s="4" t="s">
        <v>930</v>
      </c>
    </row>
    <row r="257">
      <c r="A257" s="4" t="s">
        <v>931</v>
      </c>
    </row>
    <row r="258">
      <c r="A258" s="4"/>
    </row>
    <row r="259">
      <c r="A259" s="4" t="s">
        <v>961</v>
      </c>
    </row>
    <row r="260">
      <c r="A260" s="4"/>
    </row>
    <row r="261">
      <c r="A261" s="4" t="s">
        <v>1904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5"/>
  </cols>
  <sheetData>
    <row r="1">
      <c r="A1" s="1" t="s">
        <v>1543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1416</v>
      </c>
      <c r="G1" s="2" t="s">
        <v>5</v>
      </c>
      <c r="H1" s="2" t="s">
        <v>6</v>
      </c>
      <c r="I1" s="2" t="s">
        <v>7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A2" s="4" t="s">
        <v>8</v>
      </c>
      <c r="B2" s="5">
        <v>2574.0</v>
      </c>
      <c r="C2" s="5">
        <v>29.0</v>
      </c>
      <c r="D2" s="5">
        <v>14.8</v>
      </c>
      <c r="G2" s="5">
        <v>17.0</v>
      </c>
      <c r="H2" s="5">
        <v>2.0</v>
      </c>
      <c r="I2" s="5">
        <v>4.89</v>
      </c>
    </row>
    <row r="3">
      <c r="A3" s="4" t="s">
        <v>9</v>
      </c>
      <c r="B3" s="5">
        <v>2573.0</v>
      </c>
      <c r="C3" s="5">
        <v>22.5</v>
      </c>
      <c r="D3" s="5">
        <v>16.2</v>
      </c>
      <c r="G3" s="5">
        <v>12.18</v>
      </c>
      <c r="I3" s="5">
        <v>2.08</v>
      </c>
      <c r="J3" s="2" t="s">
        <v>10</v>
      </c>
    </row>
    <row r="4">
      <c r="A4" s="4" t="s">
        <v>11</v>
      </c>
      <c r="B4" s="5">
        <v>2568.0</v>
      </c>
      <c r="C4" s="5">
        <v>18.1</v>
      </c>
      <c r="D4" s="5">
        <v>15.4</v>
      </c>
      <c r="G4" s="5">
        <v>9.12</v>
      </c>
      <c r="I4" s="5">
        <v>1.21</v>
      </c>
      <c r="J4" s="6">
        <f>counta(I2:I999)</f>
        <v>348</v>
      </c>
    </row>
    <row r="5">
      <c r="A5" s="4" t="s">
        <v>13</v>
      </c>
      <c r="B5" s="5">
        <v>2571.0</v>
      </c>
      <c r="C5" s="5">
        <v>24.6</v>
      </c>
      <c r="D5" s="5">
        <v>19.0</v>
      </c>
      <c r="G5" s="5">
        <v>9.88</v>
      </c>
      <c r="I5" s="5">
        <v>1.17</v>
      </c>
      <c r="K5" s="2" t="s">
        <v>14</v>
      </c>
    </row>
    <row r="6">
      <c r="A6" s="4" t="s">
        <v>15</v>
      </c>
      <c r="B6" s="5">
        <v>2561.0</v>
      </c>
      <c r="C6" s="5">
        <v>16.7</v>
      </c>
      <c r="D6" s="5">
        <v>12.2</v>
      </c>
      <c r="G6" s="5">
        <v>9.19</v>
      </c>
      <c r="I6" s="5">
        <v>0.86</v>
      </c>
      <c r="K6" s="6">
        <f>counta(I2:I101)</f>
        <v>77</v>
      </c>
    </row>
    <row r="7">
      <c r="A7" s="4" t="s">
        <v>1631</v>
      </c>
      <c r="B7" s="5">
        <v>2567.0</v>
      </c>
      <c r="C7" s="5">
        <v>15.0</v>
      </c>
      <c r="D7" s="5">
        <v>16.1</v>
      </c>
      <c r="G7" s="5">
        <v>8.03</v>
      </c>
      <c r="I7" s="5">
        <v>0.48</v>
      </c>
      <c r="K7" s="6">
        <f>sum(I2:I101)/K6</f>
        <v>0.8672727273</v>
      </c>
    </row>
    <row r="8">
      <c r="A8" s="4" t="s">
        <v>17</v>
      </c>
      <c r="B8" s="5">
        <v>2570.0</v>
      </c>
      <c r="C8" s="5">
        <v>18.0</v>
      </c>
      <c r="D8" s="5">
        <v>14.5</v>
      </c>
      <c r="G8" s="5">
        <v>7.81</v>
      </c>
      <c r="I8" s="5">
        <v>0.73</v>
      </c>
    </row>
    <row r="9">
      <c r="A9" s="4" t="s">
        <v>18</v>
      </c>
      <c r="B9" s="5">
        <v>2572.0</v>
      </c>
      <c r="C9" s="5">
        <v>24.1</v>
      </c>
      <c r="D9" s="5">
        <v>16.5</v>
      </c>
      <c r="G9" s="5">
        <v>8.05</v>
      </c>
      <c r="I9" s="5">
        <v>0.59</v>
      </c>
    </row>
    <row r="10">
      <c r="A10" s="4" t="s">
        <v>30</v>
      </c>
    </row>
    <row r="11">
      <c r="A11" s="4" t="s">
        <v>16</v>
      </c>
      <c r="B11" s="5">
        <v>2566.0</v>
      </c>
      <c r="C11" s="5">
        <v>20.0</v>
      </c>
      <c r="D11" s="5">
        <v>14.7</v>
      </c>
      <c r="G11" s="5">
        <v>8.59</v>
      </c>
      <c r="I11" s="5">
        <v>0.51</v>
      </c>
    </row>
    <row r="12">
      <c r="A12" s="4" t="s">
        <v>1632</v>
      </c>
      <c r="B12" s="5">
        <v>2565.0</v>
      </c>
      <c r="C12" s="5">
        <v>12.2</v>
      </c>
      <c r="D12" s="5">
        <v>10.6</v>
      </c>
      <c r="G12" s="5">
        <v>7.91</v>
      </c>
      <c r="I12" s="5">
        <v>0.37</v>
      </c>
    </row>
    <row r="13">
      <c r="A13" s="4" t="s">
        <v>24</v>
      </c>
      <c r="B13" s="5">
        <v>2562.0</v>
      </c>
      <c r="C13" s="5">
        <v>16.4</v>
      </c>
      <c r="D13" s="5">
        <v>11.5</v>
      </c>
      <c r="G13" s="5">
        <v>9.94</v>
      </c>
      <c r="I13" s="5">
        <v>0.71</v>
      </c>
    </row>
    <row r="14">
      <c r="A14" s="4" t="s">
        <v>20</v>
      </c>
      <c r="B14" s="5">
        <v>2563.0</v>
      </c>
      <c r="C14" s="5">
        <v>10.9</v>
      </c>
      <c r="D14" s="5">
        <v>10.1</v>
      </c>
      <c r="G14" s="5">
        <v>8.3</v>
      </c>
      <c r="I14" s="5">
        <v>0.48</v>
      </c>
    </row>
    <row r="15">
      <c r="A15" s="4" t="s">
        <v>1636</v>
      </c>
      <c r="B15" s="5">
        <v>2556.0</v>
      </c>
      <c r="C15" s="5">
        <v>10.3</v>
      </c>
      <c r="D15" s="5">
        <v>9.2</v>
      </c>
      <c r="G15" s="5">
        <v>7.07</v>
      </c>
      <c r="I15" s="5">
        <v>0.3</v>
      </c>
    </row>
    <row r="16">
      <c r="A16" s="4" t="s">
        <v>26</v>
      </c>
      <c r="B16" s="5">
        <v>2569.0</v>
      </c>
      <c r="C16" s="5">
        <v>16.1</v>
      </c>
      <c r="D16" s="5">
        <v>12.5</v>
      </c>
      <c r="G16" s="5">
        <v>9.93</v>
      </c>
      <c r="I16" s="5">
        <v>0.63</v>
      </c>
    </row>
    <row r="17">
      <c r="A17" s="4" t="s">
        <v>1207</v>
      </c>
    </row>
    <row r="18">
      <c r="A18" s="4" t="s">
        <v>1209</v>
      </c>
      <c r="B18" s="5">
        <v>2558.0</v>
      </c>
      <c r="C18" s="5">
        <v>9.3</v>
      </c>
      <c r="D18" s="5">
        <v>7.2</v>
      </c>
      <c r="G18" s="5">
        <v>6.11</v>
      </c>
      <c r="I18" s="5">
        <v>0.25</v>
      </c>
    </row>
    <row r="19">
      <c r="A19" s="4" t="s">
        <v>1637</v>
      </c>
      <c r="B19" s="5">
        <v>2555.0</v>
      </c>
      <c r="C19" s="5">
        <v>7.1</v>
      </c>
      <c r="D19" s="5">
        <v>6.2</v>
      </c>
      <c r="G19" s="5">
        <v>5.72</v>
      </c>
      <c r="I19" s="5">
        <v>0.16</v>
      </c>
    </row>
    <row r="20">
      <c r="A20" s="4" t="s">
        <v>34</v>
      </c>
      <c r="B20" s="5">
        <v>2559.0</v>
      </c>
      <c r="C20" s="5">
        <v>11.1</v>
      </c>
      <c r="D20" s="5">
        <v>8.0</v>
      </c>
      <c r="G20" s="5">
        <v>8.05</v>
      </c>
      <c r="I20" s="5">
        <v>0.46</v>
      </c>
    </row>
    <row r="21">
      <c r="A21" s="4" t="s">
        <v>39</v>
      </c>
      <c r="B21" s="5">
        <v>2564.0</v>
      </c>
      <c r="C21" s="5">
        <v>9.7</v>
      </c>
      <c r="D21" s="5">
        <v>9.8</v>
      </c>
      <c r="G21" s="5">
        <v>8.06</v>
      </c>
      <c r="I21" s="5">
        <v>0.43</v>
      </c>
    </row>
    <row r="22">
      <c r="A22" s="4" t="s">
        <v>47</v>
      </c>
      <c r="B22" s="5">
        <v>2560.0</v>
      </c>
      <c r="C22" s="5">
        <v>8.9</v>
      </c>
      <c r="D22" s="5">
        <v>7.4</v>
      </c>
      <c r="G22" s="5">
        <v>5.6</v>
      </c>
      <c r="I22" s="5">
        <v>0.17</v>
      </c>
    </row>
    <row r="23">
      <c r="A23" s="4" t="s">
        <v>48</v>
      </c>
      <c r="B23" s="5">
        <v>2557.0</v>
      </c>
      <c r="C23" s="5">
        <v>6.4</v>
      </c>
      <c r="D23" s="5">
        <v>4.3</v>
      </c>
      <c r="G23" s="5">
        <v>3.95</v>
      </c>
      <c r="I23" s="5">
        <v>0.1</v>
      </c>
    </row>
    <row r="24">
      <c r="A24" s="4"/>
    </row>
    <row r="25">
      <c r="A25" s="4" t="s">
        <v>50</v>
      </c>
    </row>
    <row r="26">
      <c r="A26" s="4" t="s">
        <v>51</v>
      </c>
    </row>
    <row r="27">
      <c r="A27" s="8" t="s">
        <v>52</v>
      </c>
    </row>
    <row r="28">
      <c r="A28" s="4" t="s">
        <v>1221</v>
      </c>
    </row>
    <row r="29">
      <c r="A29" s="4" t="s">
        <v>53</v>
      </c>
    </row>
    <row r="30">
      <c r="A30" s="4" t="s">
        <v>1419</v>
      </c>
    </row>
    <row r="31">
      <c r="A31" s="4" t="s">
        <v>56</v>
      </c>
    </row>
    <row r="32">
      <c r="A32" s="4" t="s">
        <v>1224</v>
      </c>
    </row>
    <row r="33">
      <c r="A33" s="4" t="s">
        <v>1659</v>
      </c>
    </row>
    <row r="34">
      <c r="A34" s="4" t="s">
        <v>1220</v>
      </c>
    </row>
    <row r="35">
      <c r="A35" s="4" t="s">
        <v>1837</v>
      </c>
    </row>
    <row r="36">
      <c r="A36" s="4"/>
    </row>
    <row r="37">
      <c r="A37" s="4" t="s">
        <v>93</v>
      </c>
      <c r="B37" s="5">
        <v>2617.0</v>
      </c>
      <c r="C37" s="5">
        <v>34.7</v>
      </c>
      <c r="D37" s="5">
        <v>11.1</v>
      </c>
      <c r="G37" s="5">
        <v>19.15</v>
      </c>
      <c r="I37" s="5">
        <v>7.17</v>
      </c>
    </row>
    <row r="38">
      <c r="A38" s="4" t="s">
        <v>1231</v>
      </c>
      <c r="B38" s="5">
        <v>2615.0</v>
      </c>
      <c r="C38" s="5">
        <v>20.8</v>
      </c>
      <c r="D38" s="5">
        <v>20.5</v>
      </c>
      <c r="G38" s="5">
        <v>14.91</v>
      </c>
      <c r="I38" s="5">
        <v>4.07</v>
      </c>
    </row>
    <row r="39">
      <c r="A39" s="4" t="s">
        <v>97</v>
      </c>
      <c r="B39" s="5">
        <v>2616.0</v>
      </c>
      <c r="C39" s="5">
        <v>18.0</v>
      </c>
      <c r="D39" s="5">
        <v>21.6</v>
      </c>
      <c r="G39" s="5">
        <v>10.34</v>
      </c>
      <c r="I39" s="5">
        <v>2.21</v>
      </c>
    </row>
    <row r="40">
      <c r="A40" s="4" t="s">
        <v>1233</v>
      </c>
      <c r="B40" s="5">
        <v>2609.0</v>
      </c>
      <c r="C40" s="5">
        <v>27.7</v>
      </c>
      <c r="D40" s="5">
        <v>20.0</v>
      </c>
      <c r="G40" s="5">
        <v>12.33</v>
      </c>
      <c r="I40" s="5">
        <v>2.23</v>
      </c>
    </row>
    <row r="41">
      <c r="A41" s="4" t="s">
        <v>1234</v>
      </c>
      <c r="B41" s="5">
        <v>2594.0</v>
      </c>
      <c r="C41" s="5">
        <v>24.4</v>
      </c>
      <c r="D41" s="5">
        <v>18.2</v>
      </c>
      <c r="G41" s="5">
        <v>11.07</v>
      </c>
      <c r="I41" s="5">
        <v>1.83</v>
      </c>
    </row>
    <row r="42">
      <c r="A42" s="4" t="s">
        <v>1232</v>
      </c>
      <c r="B42" s="5">
        <v>2611.0</v>
      </c>
      <c r="C42" s="5">
        <v>24.8</v>
      </c>
      <c r="D42" s="5">
        <v>21.5</v>
      </c>
      <c r="G42" s="5">
        <v>6.37</v>
      </c>
      <c r="I42" s="5">
        <v>0.75</v>
      </c>
    </row>
    <row r="43">
      <c r="A43" s="4" t="s">
        <v>1236</v>
      </c>
      <c r="B43" s="5">
        <v>2599.0</v>
      </c>
      <c r="C43" s="5">
        <v>18.2</v>
      </c>
      <c r="D43" s="5">
        <v>16.6</v>
      </c>
      <c r="G43" s="5">
        <v>4.18</v>
      </c>
      <c r="I43" s="5">
        <v>0.37</v>
      </c>
    </row>
    <row r="44">
      <c r="A44" s="4" t="s">
        <v>1428</v>
      </c>
      <c r="B44" s="5">
        <v>2614.0</v>
      </c>
      <c r="C44" s="5">
        <v>35.8</v>
      </c>
      <c r="D44" s="5">
        <v>24.8</v>
      </c>
      <c r="G44" s="5">
        <v>9.66</v>
      </c>
      <c r="I44" s="5">
        <v>1.35</v>
      </c>
    </row>
    <row r="45">
      <c r="A45" s="4" t="s">
        <v>1429</v>
      </c>
      <c r="B45" s="5">
        <v>2596.0</v>
      </c>
      <c r="C45" s="5">
        <v>23.8</v>
      </c>
      <c r="D45" s="5">
        <v>18.5</v>
      </c>
      <c r="G45" s="5">
        <v>6.45</v>
      </c>
      <c r="I45" s="5">
        <v>0.81</v>
      </c>
    </row>
    <row r="46">
      <c r="A46" s="4" t="s">
        <v>104</v>
      </c>
      <c r="B46" s="5">
        <v>2602.0</v>
      </c>
      <c r="C46" s="5">
        <v>22.9</v>
      </c>
      <c r="D46" s="5">
        <v>19.1</v>
      </c>
      <c r="G46" s="5">
        <v>8.28</v>
      </c>
      <c r="I46" s="5">
        <v>1.25</v>
      </c>
    </row>
    <row r="47">
      <c r="A47" s="4" t="s">
        <v>1430</v>
      </c>
      <c r="B47" s="5">
        <v>2591.0</v>
      </c>
      <c r="C47" s="5">
        <v>26.1</v>
      </c>
      <c r="D47" s="5">
        <v>19.2</v>
      </c>
      <c r="G47" s="5">
        <v>5.21</v>
      </c>
      <c r="I47" s="5">
        <v>0.57</v>
      </c>
    </row>
    <row r="48">
      <c r="A48" s="4" t="s">
        <v>95</v>
      </c>
      <c r="B48" s="5">
        <v>2605.0</v>
      </c>
      <c r="C48" s="5">
        <v>29.7</v>
      </c>
      <c r="D48" s="5">
        <v>22.0</v>
      </c>
      <c r="G48" s="5">
        <v>7.65</v>
      </c>
      <c r="I48" s="5">
        <v>0.53</v>
      </c>
    </row>
    <row r="49">
      <c r="A49" s="4" t="s">
        <v>101</v>
      </c>
      <c r="B49" s="5">
        <v>2597.0</v>
      </c>
      <c r="C49" s="5">
        <v>19.5</v>
      </c>
      <c r="D49" s="5">
        <v>13.1</v>
      </c>
      <c r="G49" s="5">
        <v>3.79</v>
      </c>
      <c r="I49" s="5">
        <v>0.52</v>
      </c>
    </row>
    <row r="50">
      <c r="A50" s="4" t="s">
        <v>1237</v>
      </c>
      <c r="B50" s="5">
        <v>2592.0</v>
      </c>
      <c r="C50" s="5">
        <v>14.7</v>
      </c>
      <c r="D50" s="5">
        <v>13.1</v>
      </c>
      <c r="G50" s="5">
        <v>8.2</v>
      </c>
      <c r="I50" s="5">
        <v>0.42</v>
      </c>
    </row>
    <row r="51">
      <c r="A51" s="4" t="s">
        <v>1431</v>
      </c>
      <c r="B51" s="5">
        <v>2595.0</v>
      </c>
      <c r="C51" s="5">
        <v>16.1</v>
      </c>
      <c r="D51" s="5">
        <v>12.5</v>
      </c>
      <c r="G51" s="5">
        <v>5.73</v>
      </c>
      <c r="I51" s="5">
        <v>0.69</v>
      </c>
    </row>
    <row r="52">
      <c r="A52" s="4" t="s">
        <v>103</v>
      </c>
      <c r="B52" s="5">
        <v>2598.0</v>
      </c>
      <c r="C52" s="5">
        <v>22.7</v>
      </c>
      <c r="D52" s="5">
        <v>16.5</v>
      </c>
      <c r="G52" s="5">
        <v>3.8</v>
      </c>
      <c r="I52" s="5">
        <v>0.43</v>
      </c>
    </row>
    <row r="53">
      <c r="A53" s="4" t="s">
        <v>1851</v>
      </c>
      <c r="B53" s="5">
        <v>2613.0</v>
      </c>
      <c r="C53" s="5">
        <v>24.4</v>
      </c>
      <c r="D53" s="5">
        <v>18.8</v>
      </c>
      <c r="G53" s="5">
        <v>6.65</v>
      </c>
      <c r="I53" s="5">
        <v>0.42</v>
      </c>
    </row>
    <row r="54">
      <c r="A54" s="4" t="s">
        <v>105</v>
      </c>
      <c r="B54" s="5">
        <v>2601.0</v>
      </c>
      <c r="C54" s="5">
        <v>19.7</v>
      </c>
      <c r="D54" s="5">
        <v>15.7</v>
      </c>
      <c r="G54" s="5">
        <v>5.02</v>
      </c>
      <c r="I54" s="5">
        <v>0.7</v>
      </c>
    </row>
    <row r="55">
      <c r="A55" s="4" t="s">
        <v>114</v>
      </c>
      <c r="B55" s="5">
        <v>2593.0</v>
      </c>
      <c r="C55" s="5">
        <v>16.3</v>
      </c>
      <c r="D55" s="5">
        <v>13.6</v>
      </c>
      <c r="G55" s="5">
        <v>7.45</v>
      </c>
      <c r="I55" s="5">
        <v>0.43</v>
      </c>
    </row>
    <row r="56">
      <c r="A56" s="4" t="s">
        <v>1673</v>
      </c>
      <c r="B56" s="5">
        <v>2608.0</v>
      </c>
      <c r="C56" s="5">
        <v>24.6</v>
      </c>
      <c r="D56" s="5">
        <v>19.1</v>
      </c>
      <c r="G56" s="5">
        <v>7.21</v>
      </c>
      <c r="I56" s="5">
        <v>0.32</v>
      </c>
    </row>
    <row r="57">
      <c r="A57" s="4" t="s">
        <v>1675</v>
      </c>
      <c r="B57" s="5">
        <v>2607.0</v>
      </c>
      <c r="C57" s="5">
        <v>17.0</v>
      </c>
      <c r="D57" s="5">
        <v>14.6</v>
      </c>
      <c r="G57" s="5">
        <v>5.69</v>
      </c>
      <c r="I57" s="5">
        <v>0.4</v>
      </c>
    </row>
    <row r="58">
      <c r="A58" s="4" t="s">
        <v>118</v>
      </c>
      <c r="B58" s="5">
        <v>2587.0</v>
      </c>
      <c r="C58" s="5">
        <v>15.0</v>
      </c>
      <c r="D58" s="5">
        <v>14.5</v>
      </c>
      <c r="G58" s="5">
        <v>6.85</v>
      </c>
      <c r="I58" s="5">
        <v>0.31</v>
      </c>
    </row>
    <row r="59">
      <c r="A59" s="4" t="s">
        <v>1905</v>
      </c>
      <c r="B59" s="5">
        <v>2612.0</v>
      </c>
      <c r="C59" s="5">
        <v>24.1</v>
      </c>
      <c r="D59" s="5">
        <v>20.2</v>
      </c>
      <c r="G59" s="5">
        <v>4.97</v>
      </c>
      <c r="I59" s="5">
        <v>0.34</v>
      </c>
    </row>
    <row r="60">
      <c r="A60" s="4" t="s">
        <v>1853</v>
      </c>
      <c r="B60" s="5">
        <v>2604.0</v>
      </c>
      <c r="C60" s="5">
        <v>21.1</v>
      </c>
      <c r="D60" s="5">
        <v>14.3</v>
      </c>
      <c r="G60" s="5">
        <v>3.62</v>
      </c>
      <c r="I60" s="5">
        <v>0.36</v>
      </c>
    </row>
    <row r="61">
      <c r="A61" s="4" t="s">
        <v>113</v>
      </c>
      <c r="B61" s="5">
        <v>2585.0</v>
      </c>
      <c r="C61" s="5">
        <v>15.6</v>
      </c>
      <c r="D61" s="5">
        <v>17.4</v>
      </c>
      <c r="G61" s="5">
        <v>5.37</v>
      </c>
      <c r="I61" s="5">
        <v>0.33</v>
      </c>
    </row>
    <row r="62">
      <c r="A62" s="4" t="s">
        <v>1439</v>
      </c>
      <c r="B62" s="5">
        <v>2584.0</v>
      </c>
      <c r="C62" s="5">
        <v>13.7</v>
      </c>
      <c r="D62" s="5">
        <v>14.2</v>
      </c>
      <c r="G62" s="5">
        <v>4.28</v>
      </c>
      <c r="I62" s="5">
        <v>0.29</v>
      </c>
    </row>
    <row r="63">
      <c r="A63" s="4" t="s">
        <v>1432</v>
      </c>
      <c r="B63" s="5">
        <v>2586.0</v>
      </c>
      <c r="C63" s="5">
        <v>15.0</v>
      </c>
      <c r="D63" s="5">
        <v>14.2</v>
      </c>
      <c r="G63" s="5">
        <v>5.45</v>
      </c>
      <c r="I63" s="5">
        <v>0.5</v>
      </c>
    </row>
    <row r="64">
      <c r="A64" s="4" t="s">
        <v>1906</v>
      </c>
      <c r="B64" s="5">
        <v>2606.0</v>
      </c>
      <c r="C64" s="5">
        <v>25.4</v>
      </c>
      <c r="D64" s="5">
        <v>15.0</v>
      </c>
      <c r="G64" s="5">
        <v>4.31</v>
      </c>
      <c r="I64" s="5">
        <v>0.3</v>
      </c>
    </row>
    <row r="65">
      <c r="A65" s="4" t="s">
        <v>109</v>
      </c>
      <c r="B65" s="5">
        <v>2588.0</v>
      </c>
      <c r="C65" s="5">
        <v>18.3</v>
      </c>
      <c r="D65" s="5">
        <v>14.6</v>
      </c>
      <c r="G65" s="5">
        <v>7.63</v>
      </c>
      <c r="I65" s="5">
        <v>0.42</v>
      </c>
    </row>
    <row r="66">
      <c r="A66" s="4" t="s">
        <v>1435</v>
      </c>
      <c r="B66" s="5">
        <v>2582.0</v>
      </c>
      <c r="C66" s="5">
        <v>14.6</v>
      </c>
      <c r="D66" s="5">
        <v>14.5</v>
      </c>
      <c r="G66" s="5">
        <v>7.08</v>
      </c>
      <c r="I66" s="5">
        <v>0.41</v>
      </c>
    </row>
    <row r="67">
      <c r="A67" s="4" t="s">
        <v>1235</v>
      </c>
      <c r="B67" s="5">
        <v>2581.0</v>
      </c>
      <c r="C67" s="5">
        <v>20.3</v>
      </c>
      <c r="D67" s="5">
        <v>13.0</v>
      </c>
      <c r="G67" s="5">
        <v>7.42</v>
      </c>
      <c r="I67" s="5">
        <v>0.53</v>
      </c>
    </row>
    <row r="68">
      <c r="A68" s="4" t="s">
        <v>1238</v>
      </c>
      <c r="B68" s="5">
        <v>2579.0</v>
      </c>
      <c r="C68" s="5">
        <v>16.7</v>
      </c>
      <c r="D68" s="5">
        <v>12.1</v>
      </c>
      <c r="G68" s="5">
        <v>6.91</v>
      </c>
      <c r="I68" s="5">
        <v>0.34</v>
      </c>
    </row>
    <row r="69">
      <c r="A69" s="4" t="s">
        <v>1907</v>
      </c>
      <c r="B69" s="5">
        <v>2575.0</v>
      </c>
      <c r="C69" s="5">
        <v>13.1</v>
      </c>
      <c r="D69" s="5">
        <v>9.2</v>
      </c>
      <c r="G69" s="5">
        <v>5.5</v>
      </c>
      <c r="I69" s="5">
        <v>0.15</v>
      </c>
    </row>
    <row r="70">
      <c r="A70" s="4" t="s">
        <v>1674</v>
      </c>
      <c r="B70" s="5">
        <v>2589.0</v>
      </c>
      <c r="C70" s="5">
        <v>16.1</v>
      </c>
      <c r="D70" s="5">
        <v>11.6</v>
      </c>
      <c r="G70" s="5">
        <v>4.95</v>
      </c>
    </row>
    <row r="71">
      <c r="A71" s="9" t="s">
        <v>1908</v>
      </c>
      <c r="B71" s="5">
        <v>2610.0</v>
      </c>
      <c r="C71" s="5">
        <v>25.7</v>
      </c>
      <c r="D71" s="5">
        <v>18.1</v>
      </c>
      <c r="G71" s="5">
        <v>4.42</v>
      </c>
      <c r="I71" s="5">
        <v>0.29</v>
      </c>
    </row>
    <row r="72">
      <c r="A72" s="4" t="s">
        <v>1854</v>
      </c>
      <c r="B72" s="5">
        <v>2590.0</v>
      </c>
      <c r="C72" s="5">
        <v>20.0</v>
      </c>
      <c r="D72" s="5">
        <v>16.2</v>
      </c>
      <c r="G72" s="5">
        <v>5.66</v>
      </c>
      <c r="I72" s="5">
        <v>0.29</v>
      </c>
    </row>
    <row r="73">
      <c r="A73" s="4" t="s">
        <v>1909</v>
      </c>
      <c r="B73" s="5">
        <v>2578.0</v>
      </c>
      <c r="C73" s="5">
        <v>14.2</v>
      </c>
      <c r="D73" s="5">
        <v>12.8</v>
      </c>
      <c r="G73" s="5">
        <v>6.59</v>
      </c>
      <c r="I73" s="5">
        <v>0.33</v>
      </c>
    </row>
    <row r="74">
      <c r="A74" s="4" t="s">
        <v>1910</v>
      </c>
      <c r="B74" s="5">
        <v>2600.0</v>
      </c>
      <c r="C74" s="5">
        <v>19.6</v>
      </c>
      <c r="D74" s="5">
        <v>13.6</v>
      </c>
      <c r="G74" s="5">
        <v>7.2</v>
      </c>
      <c r="I74" s="5">
        <v>0.27</v>
      </c>
    </row>
    <row r="75">
      <c r="A75" s="4" t="s">
        <v>121</v>
      </c>
      <c r="B75" s="5">
        <v>2580.0</v>
      </c>
      <c r="C75" s="5">
        <v>14.6</v>
      </c>
      <c r="D75" s="5">
        <v>11.2</v>
      </c>
      <c r="G75" s="5">
        <v>7.57</v>
      </c>
      <c r="I75" s="5">
        <v>0.26</v>
      </c>
    </row>
    <row r="76">
      <c r="A76" s="4" t="s">
        <v>1911</v>
      </c>
      <c r="B76" s="5">
        <v>2577.0</v>
      </c>
      <c r="C76" s="5">
        <v>15.3</v>
      </c>
      <c r="D76" s="5">
        <v>11.5</v>
      </c>
      <c r="G76" s="5">
        <v>8.24</v>
      </c>
    </row>
    <row r="77">
      <c r="A77" s="4" t="s">
        <v>1912</v>
      </c>
      <c r="B77" s="5">
        <v>2603.0</v>
      </c>
      <c r="C77" s="5">
        <v>27.4</v>
      </c>
      <c r="D77" s="5">
        <v>14.5</v>
      </c>
      <c r="G77" s="5">
        <v>4.38</v>
      </c>
      <c r="I77" s="5">
        <v>0.19</v>
      </c>
    </row>
    <row r="78">
      <c r="A78" s="4" t="s">
        <v>119</v>
      </c>
      <c r="B78" s="5">
        <v>2583.0</v>
      </c>
      <c r="C78" s="5">
        <v>16.1</v>
      </c>
      <c r="D78" s="5">
        <v>13.0</v>
      </c>
      <c r="G78" s="5">
        <v>6.78</v>
      </c>
      <c r="I78" s="5">
        <v>0.3</v>
      </c>
    </row>
    <row r="79">
      <c r="A79" s="4" t="s">
        <v>1438</v>
      </c>
      <c r="B79" s="5">
        <v>2576.0</v>
      </c>
      <c r="C79" s="5">
        <v>13.1</v>
      </c>
      <c r="D79" s="5">
        <v>10.6</v>
      </c>
      <c r="G79" s="5">
        <v>6.51</v>
      </c>
      <c r="I79" s="5">
        <v>0.18</v>
      </c>
    </row>
    <row r="80">
      <c r="A80" s="4"/>
    </row>
    <row r="81">
      <c r="A81" s="4" t="s">
        <v>128</v>
      </c>
      <c r="B81" s="5">
        <v>3004.0</v>
      </c>
      <c r="C81" s="5">
        <v>32.6</v>
      </c>
      <c r="D81" s="5">
        <v>11.1</v>
      </c>
      <c r="G81" s="5">
        <v>8.7</v>
      </c>
      <c r="I81" s="5">
        <v>1.24</v>
      </c>
    </row>
    <row r="82">
      <c r="A82" s="9" t="s">
        <v>129</v>
      </c>
      <c r="B82" s="5">
        <v>3003.0</v>
      </c>
      <c r="C82" s="5">
        <v>19.9</v>
      </c>
      <c r="D82" s="5">
        <v>11.1</v>
      </c>
      <c r="G82" s="5">
        <v>8.83</v>
      </c>
      <c r="I82" s="5">
        <v>1.0</v>
      </c>
    </row>
    <row r="83">
      <c r="A83" s="4" t="s">
        <v>130</v>
      </c>
      <c r="B83" s="5">
        <v>3001.0</v>
      </c>
      <c r="C83" s="5">
        <v>16.3</v>
      </c>
      <c r="D83" s="5">
        <v>10.4</v>
      </c>
      <c r="G83" s="5">
        <v>9.0</v>
      </c>
      <c r="I83" s="5">
        <v>0.91</v>
      </c>
    </row>
    <row r="84">
      <c r="A84" s="4" t="s">
        <v>136</v>
      </c>
      <c r="B84" s="5">
        <v>3002.0</v>
      </c>
      <c r="C84" s="5">
        <v>17.4</v>
      </c>
      <c r="D84" s="5">
        <v>12.4</v>
      </c>
      <c r="G84" s="5">
        <v>6.43</v>
      </c>
      <c r="I84" s="5">
        <v>0.93</v>
      </c>
    </row>
    <row r="85">
      <c r="A85" s="4" t="s">
        <v>131</v>
      </c>
      <c r="B85" s="5">
        <v>3000.0</v>
      </c>
      <c r="C85" s="5">
        <v>15.5</v>
      </c>
      <c r="D85" s="5">
        <v>12.6</v>
      </c>
      <c r="G85" s="5">
        <v>7.72</v>
      </c>
      <c r="I85" s="5">
        <v>0.61</v>
      </c>
    </row>
    <row r="86">
      <c r="A86" s="4"/>
    </row>
    <row r="87">
      <c r="A87" s="4" t="s">
        <v>162</v>
      </c>
      <c r="B87" s="5">
        <v>3009.0</v>
      </c>
      <c r="C87" s="5">
        <v>32.4</v>
      </c>
      <c r="D87" s="5">
        <v>14.6</v>
      </c>
      <c r="G87" s="5">
        <v>11.6</v>
      </c>
      <c r="I87" s="5">
        <v>2.43</v>
      </c>
    </row>
    <row r="88">
      <c r="A88" s="4" t="s">
        <v>163</v>
      </c>
      <c r="B88" s="5">
        <v>3008.0</v>
      </c>
      <c r="C88" s="5">
        <v>28.8</v>
      </c>
      <c r="D88" s="5">
        <v>16.8</v>
      </c>
      <c r="G88" s="5">
        <v>11.54</v>
      </c>
      <c r="I88" s="5">
        <v>1.33</v>
      </c>
    </row>
    <row r="89">
      <c r="A89" s="4" t="s">
        <v>164</v>
      </c>
      <c r="B89" s="5">
        <v>3006.0</v>
      </c>
      <c r="C89" s="5">
        <v>23.6</v>
      </c>
      <c r="D89" s="5">
        <v>16.7</v>
      </c>
      <c r="G89" s="5">
        <v>7.91</v>
      </c>
      <c r="I89" s="5">
        <v>0.56</v>
      </c>
    </row>
    <row r="90">
      <c r="A90" s="4" t="s">
        <v>165</v>
      </c>
      <c r="B90" s="5">
        <v>3007.0</v>
      </c>
      <c r="C90" s="5">
        <v>19.5</v>
      </c>
      <c r="D90" s="5">
        <v>18.4</v>
      </c>
      <c r="G90" s="5">
        <v>9.07</v>
      </c>
      <c r="I90" s="5">
        <v>0.96</v>
      </c>
    </row>
    <row r="91">
      <c r="A91" s="4" t="s">
        <v>1242</v>
      </c>
      <c r="B91" s="5">
        <v>3005.0</v>
      </c>
      <c r="C91" s="5">
        <v>19.2</v>
      </c>
      <c r="D91" s="5">
        <v>15.2</v>
      </c>
      <c r="G91" s="5">
        <v>5.26</v>
      </c>
      <c r="I91" s="5">
        <v>0.55</v>
      </c>
    </row>
    <row r="92">
      <c r="A92" s="4"/>
    </row>
    <row r="93">
      <c r="A93" s="4" t="s">
        <v>183</v>
      </c>
      <c r="B93" s="5">
        <v>3014.0</v>
      </c>
      <c r="C93" s="5">
        <v>31.0</v>
      </c>
      <c r="D93" s="5">
        <v>14.9</v>
      </c>
      <c r="G93" s="5">
        <v>7.5</v>
      </c>
      <c r="I93" s="5">
        <v>1.14</v>
      </c>
    </row>
    <row r="94">
      <c r="A94" s="4" t="s">
        <v>184</v>
      </c>
      <c r="B94" s="5">
        <v>3013.0</v>
      </c>
      <c r="C94" s="5">
        <v>25.2</v>
      </c>
      <c r="D94" s="5">
        <v>12.6</v>
      </c>
      <c r="G94" s="5">
        <v>9.94</v>
      </c>
      <c r="I94" s="5">
        <v>1.07</v>
      </c>
    </row>
    <row r="95">
      <c r="A95" s="4" t="s">
        <v>185</v>
      </c>
      <c r="B95" s="5">
        <v>3012.0</v>
      </c>
      <c r="C95" s="5">
        <v>20.7</v>
      </c>
      <c r="D95" s="5">
        <v>15.6</v>
      </c>
      <c r="G95" s="5">
        <v>4.93</v>
      </c>
      <c r="I95" s="5">
        <v>0.8</v>
      </c>
    </row>
    <row r="96">
      <c r="A96" s="4" t="s">
        <v>1458</v>
      </c>
      <c r="B96" s="5">
        <v>3010.0</v>
      </c>
      <c r="C96" s="5">
        <v>24.4</v>
      </c>
      <c r="D96" s="5">
        <v>8.6</v>
      </c>
      <c r="G96" s="5">
        <v>5.02</v>
      </c>
      <c r="I96" s="5">
        <v>0.68</v>
      </c>
    </row>
    <row r="97">
      <c r="A97" s="4" t="s">
        <v>186</v>
      </c>
      <c r="B97" s="5">
        <v>3011.0</v>
      </c>
      <c r="C97" s="5">
        <v>28.8</v>
      </c>
      <c r="D97" s="5">
        <v>16.4</v>
      </c>
      <c r="G97" s="5">
        <v>4.35</v>
      </c>
      <c r="I97" s="5">
        <v>0.58</v>
      </c>
    </row>
    <row r="98">
      <c r="A98" s="4"/>
    </row>
    <row r="99">
      <c r="A99" s="4" t="s">
        <v>199</v>
      </c>
      <c r="B99" s="5">
        <v>3015.0</v>
      </c>
      <c r="C99" s="5">
        <v>21.6</v>
      </c>
      <c r="D99" s="5">
        <v>10.6</v>
      </c>
      <c r="G99" s="5">
        <v>9.08</v>
      </c>
      <c r="I99" s="5">
        <v>1.55</v>
      </c>
    </row>
    <row r="100">
      <c r="A100" s="4"/>
    </row>
    <row r="101">
      <c r="A101" s="4" t="s">
        <v>1251</v>
      </c>
      <c r="K101" s="2" t="s">
        <v>14</v>
      </c>
    </row>
    <row r="102">
      <c r="A102" s="4"/>
      <c r="K102" s="6">
        <f>counta(I103:I317)</f>
        <v>128</v>
      </c>
    </row>
    <row r="103">
      <c r="A103" s="8" t="s">
        <v>329</v>
      </c>
      <c r="H103" s="5">
        <v>2.0</v>
      </c>
      <c r="K103" s="6">
        <f>sum(I103:I317)/K102</f>
        <v>0.814375</v>
      </c>
    </row>
    <row r="104">
      <c r="A104" s="8" t="s">
        <v>330</v>
      </c>
    </row>
    <row r="105">
      <c r="A105" s="8" t="s">
        <v>1258</v>
      </c>
    </row>
    <row r="106">
      <c r="A106" s="8" t="s">
        <v>331</v>
      </c>
    </row>
    <row r="107">
      <c r="A107" s="8" t="s">
        <v>332</v>
      </c>
    </row>
    <row r="108">
      <c r="A108" s="8" t="s">
        <v>333</v>
      </c>
    </row>
    <row r="109">
      <c r="A109" s="8" t="s">
        <v>1259</v>
      </c>
    </row>
    <row r="110">
      <c r="A110" s="8" t="s">
        <v>1263</v>
      </c>
    </row>
    <row r="111">
      <c r="A111" s="8" t="s">
        <v>336</v>
      </c>
    </row>
    <row r="112">
      <c r="A112" s="8" t="s">
        <v>345</v>
      </c>
    </row>
    <row r="113">
      <c r="A113" s="8" t="s">
        <v>337</v>
      </c>
    </row>
    <row r="114">
      <c r="A114" s="8" t="s">
        <v>338</v>
      </c>
    </row>
    <row r="115">
      <c r="A115" s="8" t="s">
        <v>1261</v>
      </c>
    </row>
    <row r="116">
      <c r="A116" s="8" t="s">
        <v>1269</v>
      </c>
    </row>
    <row r="117">
      <c r="A117" s="8" t="s">
        <v>335</v>
      </c>
    </row>
    <row r="118">
      <c r="A118" s="8" t="s">
        <v>341</v>
      </c>
    </row>
    <row r="119">
      <c r="A119" s="8" t="s">
        <v>1704</v>
      </c>
    </row>
    <row r="120">
      <c r="A120" s="8" t="s">
        <v>1271</v>
      </c>
    </row>
    <row r="121">
      <c r="A121" s="8" t="s">
        <v>344</v>
      </c>
    </row>
    <row r="122">
      <c r="A122" s="8" t="s">
        <v>348</v>
      </c>
    </row>
    <row r="123">
      <c r="A123" s="8" t="s">
        <v>349</v>
      </c>
    </row>
    <row r="124">
      <c r="A124" s="8" t="s">
        <v>1267</v>
      </c>
    </row>
    <row r="125">
      <c r="A125" s="8" t="s">
        <v>1280</v>
      </c>
    </row>
    <row r="126">
      <c r="A126" s="8" t="s">
        <v>1858</v>
      </c>
    </row>
    <row r="127">
      <c r="A127" s="8" t="s">
        <v>340</v>
      </c>
    </row>
    <row r="128">
      <c r="A128" s="8" t="s">
        <v>343</v>
      </c>
    </row>
    <row r="129">
      <c r="A129" s="8" t="s">
        <v>1706</v>
      </c>
    </row>
    <row r="130">
      <c r="A130" s="4"/>
    </row>
    <row r="131">
      <c r="A131" s="4" t="s">
        <v>356</v>
      </c>
      <c r="B131" s="5">
        <v>3053.0</v>
      </c>
      <c r="C131" s="5">
        <v>24.9</v>
      </c>
      <c r="D131" s="5">
        <v>11.6</v>
      </c>
      <c r="G131" s="5">
        <v>15.07</v>
      </c>
      <c r="I131" s="5">
        <v>7.14</v>
      </c>
    </row>
    <row r="132">
      <c r="A132" s="4" t="s">
        <v>357</v>
      </c>
      <c r="B132" s="5">
        <v>3051.0</v>
      </c>
      <c r="C132" s="5">
        <v>18.4</v>
      </c>
      <c r="D132" s="5">
        <v>17.3</v>
      </c>
      <c r="G132" s="5">
        <v>12.76</v>
      </c>
      <c r="I132" s="5">
        <v>3.57</v>
      </c>
    </row>
    <row r="133">
      <c r="A133" s="4" t="s">
        <v>359</v>
      </c>
      <c r="B133" s="5">
        <v>3047.0</v>
      </c>
      <c r="C133" s="5">
        <v>25.5</v>
      </c>
      <c r="D133" s="5">
        <v>18.7</v>
      </c>
      <c r="G133" s="5">
        <v>8.54</v>
      </c>
      <c r="I133" s="5">
        <v>2.81</v>
      </c>
      <c r="J133" s="5" t="s">
        <v>1913</v>
      </c>
    </row>
    <row r="134">
      <c r="A134" s="4" t="s">
        <v>1495</v>
      </c>
      <c r="B134" s="5">
        <v>3049.0</v>
      </c>
      <c r="C134" s="5">
        <v>34.1</v>
      </c>
      <c r="D134" s="5">
        <v>22.4</v>
      </c>
      <c r="G134" s="5">
        <v>9.63</v>
      </c>
      <c r="I134" s="5">
        <v>2.44</v>
      </c>
    </row>
    <row r="135">
      <c r="A135" s="4" t="s">
        <v>375</v>
      </c>
      <c r="B135" s="5">
        <v>3038.0</v>
      </c>
      <c r="C135" s="5">
        <v>26.2</v>
      </c>
      <c r="D135" s="5">
        <v>19.5</v>
      </c>
      <c r="G135" s="5">
        <v>8.06</v>
      </c>
      <c r="I135" s="5">
        <v>1.14</v>
      </c>
      <c r="J135" s="5" t="s">
        <v>1913</v>
      </c>
    </row>
    <row r="136">
      <c r="A136" s="4" t="s">
        <v>1914</v>
      </c>
      <c r="B136" s="5">
        <v>3039.0</v>
      </c>
      <c r="C136" s="5">
        <v>24.9</v>
      </c>
      <c r="D136" s="5">
        <v>19.1</v>
      </c>
      <c r="G136" s="5">
        <v>3.61</v>
      </c>
      <c r="I136" s="5">
        <v>0.32</v>
      </c>
    </row>
    <row r="137">
      <c r="A137" s="4" t="s">
        <v>1281</v>
      </c>
      <c r="B137" s="5">
        <v>3046.0</v>
      </c>
      <c r="C137" s="5">
        <v>37.6</v>
      </c>
      <c r="D137" s="5">
        <v>22.2</v>
      </c>
      <c r="G137" s="5">
        <v>8.37</v>
      </c>
      <c r="I137" s="5">
        <v>1.07</v>
      </c>
    </row>
    <row r="138">
      <c r="A138" s="4" t="s">
        <v>1496</v>
      </c>
      <c r="B138" s="5">
        <v>3041.0</v>
      </c>
      <c r="C138" s="5">
        <v>25.7</v>
      </c>
      <c r="D138" s="5">
        <v>16.6</v>
      </c>
      <c r="G138" s="5">
        <v>8.78</v>
      </c>
      <c r="I138" s="5">
        <v>1.26</v>
      </c>
      <c r="J138" s="5" t="s">
        <v>1913</v>
      </c>
    </row>
    <row r="139">
      <c r="A139" s="4" t="s">
        <v>1915</v>
      </c>
      <c r="B139" s="5">
        <v>3045.0</v>
      </c>
      <c r="C139" s="5">
        <v>27.2</v>
      </c>
      <c r="D139" s="5">
        <v>15.1</v>
      </c>
      <c r="G139" s="5">
        <v>3.56</v>
      </c>
      <c r="I139" s="5">
        <v>0.61</v>
      </c>
    </row>
    <row r="140">
      <c r="A140" s="4" t="s">
        <v>1841</v>
      </c>
      <c r="B140" s="5">
        <v>3050.0</v>
      </c>
      <c r="C140" s="5">
        <v>31.9</v>
      </c>
      <c r="D140" s="5">
        <v>24.4</v>
      </c>
      <c r="G140" s="5">
        <v>8.33</v>
      </c>
      <c r="I140" s="5">
        <v>0.74</v>
      </c>
    </row>
    <row r="141">
      <c r="A141" s="4" t="s">
        <v>1293</v>
      </c>
      <c r="B141" s="5">
        <v>3088.0</v>
      </c>
      <c r="C141" s="5">
        <v>17.2</v>
      </c>
      <c r="D141" s="5">
        <v>13.2</v>
      </c>
      <c r="G141" s="5">
        <v>5.34</v>
      </c>
      <c r="I141" s="5">
        <v>0.3</v>
      </c>
      <c r="J141" s="5" t="s">
        <v>1913</v>
      </c>
    </row>
    <row r="142">
      <c r="A142" s="4" t="s">
        <v>1916</v>
      </c>
      <c r="B142" s="5">
        <v>3029.0</v>
      </c>
      <c r="C142" s="5">
        <v>15.9</v>
      </c>
      <c r="D142" s="5">
        <v>13.3</v>
      </c>
      <c r="G142" s="5">
        <v>4.1</v>
      </c>
      <c r="I142" s="5">
        <v>0.19</v>
      </c>
      <c r="J142" s="5" t="s">
        <v>1913</v>
      </c>
    </row>
    <row r="143">
      <c r="A143" s="4" t="s">
        <v>1497</v>
      </c>
      <c r="B143" s="5">
        <v>3031.0</v>
      </c>
      <c r="C143" s="5">
        <v>21.0</v>
      </c>
      <c r="D143" s="5">
        <v>14.3</v>
      </c>
      <c r="G143" s="5">
        <v>4.78</v>
      </c>
      <c r="I143" s="5">
        <v>1.07</v>
      </c>
      <c r="J143" s="5" t="s">
        <v>1913</v>
      </c>
    </row>
    <row r="144">
      <c r="A144" s="4" t="s">
        <v>1285</v>
      </c>
      <c r="B144" s="5">
        <v>3036.0</v>
      </c>
      <c r="C144" s="5">
        <v>21.0</v>
      </c>
      <c r="D144" s="5">
        <v>16.9</v>
      </c>
      <c r="G144" s="5">
        <v>5.54</v>
      </c>
      <c r="I144" s="5">
        <v>0.81</v>
      </c>
    </row>
    <row r="145">
      <c r="A145" s="4" t="s">
        <v>1842</v>
      </c>
      <c r="B145" s="5">
        <v>304.0</v>
      </c>
      <c r="C145" s="5">
        <v>26.2</v>
      </c>
      <c r="D145" s="5">
        <v>16.1</v>
      </c>
      <c r="G145" s="5">
        <v>4.3</v>
      </c>
    </row>
    <row r="146">
      <c r="A146" s="4" t="s">
        <v>1283</v>
      </c>
      <c r="B146" s="5">
        <v>3027.0</v>
      </c>
      <c r="C146" s="5">
        <v>21.4</v>
      </c>
      <c r="D146" s="5">
        <v>10.7</v>
      </c>
      <c r="G146" s="5">
        <v>6.36</v>
      </c>
      <c r="I146" s="5">
        <v>0.77</v>
      </c>
      <c r="J146" s="5" t="s">
        <v>1913</v>
      </c>
    </row>
    <row r="147">
      <c r="A147" s="4" t="s">
        <v>1917</v>
      </c>
      <c r="B147" s="5">
        <v>3048.0</v>
      </c>
      <c r="C147" s="5">
        <v>33.0</v>
      </c>
      <c r="D147" s="5">
        <v>22.3</v>
      </c>
      <c r="G147" s="5">
        <v>4.63</v>
      </c>
      <c r="I147" s="5">
        <v>0.31</v>
      </c>
    </row>
    <row r="148">
      <c r="A148" s="4" t="s">
        <v>1918</v>
      </c>
      <c r="B148" s="5">
        <v>3037.0</v>
      </c>
      <c r="C148" s="5">
        <v>17.1</v>
      </c>
      <c r="D148" s="5">
        <v>15.9</v>
      </c>
      <c r="G148" s="5">
        <v>7.07</v>
      </c>
      <c r="I148" s="5">
        <v>0.44</v>
      </c>
    </row>
    <row r="149">
      <c r="A149" s="4" t="s">
        <v>1919</v>
      </c>
      <c r="B149" s="5">
        <v>3042.0</v>
      </c>
      <c r="C149" s="5">
        <v>26.7</v>
      </c>
      <c r="D149" s="5">
        <v>15.7</v>
      </c>
      <c r="G149" s="5">
        <v>6.91</v>
      </c>
      <c r="I149" s="5">
        <v>0.53</v>
      </c>
    </row>
    <row r="150">
      <c r="A150" s="4" t="s">
        <v>1289</v>
      </c>
      <c r="J150" s="5" t="s">
        <v>1840</v>
      </c>
    </row>
    <row r="151">
      <c r="A151" s="4" t="s">
        <v>379</v>
      </c>
      <c r="B151" s="5">
        <v>3021.0</v>
      </c>
      <c r="C151" s="5">
        <v>20.9</v>
      </c>
      <c r="D151" s="5">
        <v>12.6</v>
      </c>
      <c r="G151" s="5">
        <v>5.37</v>
      </c>
      <c r="I151" s="5">
        <v>0.27</v>
      </c>
      <c r="J151" s="5" t="s">
        <v>1913</v>
      </c>
    </row>
    <row r="152">
      <c r="A152" s="4" t="s">
        <v>1920</v>
      </c>
      <c r="B152" s="5">
        <v>3017.0</v>
      </c>
      <c r="C152" s="5">
        <v>10.4</v>
      </c>
      <c r="D152" s="5">
        <v>11.5</v>
      </c>
      <c r="G152" s="5">
        <v>3.28</v>
      </c>
      <c r="I152" s="5">
        <v>0.2</v>
      </c>
      <c r="J152" s="5" t="s">
        <v>1913</v>
      </c>
    </row>
    <row r="153">
      <c r="A153" s="4" t="s">
        <v>1504</v>
      </c>
      <c r="J153" s="5" t="s">
        <v>1840</v>
      </c>
    </row>
    <row r="154">
      <c r="A154" s="4" t="s">
        <v>1498</v>
      </c>
      <c r="B154" s="5">
        <v>3035.0</v>
      </c>
      <c r="C154" s="5">
        <v>17.4</v>
      </c>
      <c r="D154" s="5">
        <v>11.6</v>
      </c>
      <c r="G154" s="5">
        <v>3.35</v>
      </c>
      <c r="I154" s="5">
        <v>0.51</v>
      </c>
    </row>
    <row r="155">
      <c r="A155" s="4" t="s">
        <v>1499</v>
      </c>
      <c r="B155" s="5">
        <v>3019.0</v>
      </c>
      <c r="C155" s="5">
        <v>17.1</v>
      </c>
      <c r="D155" s="5">
        <v>11.7</v>
      </c>
      <c r="G155" s="5">
        <v>4.02</v>
      </c>
      <c r="I155" s="5">
        <v>0.17</v>
      </c>
      <c r="J155" s="5" t="s">
        <v>1913</v>
      </c>
    </row>
    <row r="156">
      <c r="A156" s="4" t="s">
        <v>367</v>
      </c>
      <c r="B156" s="5">
        <v>3044.0</v>
      </c>
      <c r="C156" s="5">
        <v>15.4</v>
      </c>
      <c r="D156" s="5">
        <v>12.7</v>
      </c>
      <c r="G156" s="5">
        <v>5.97</v>
      </c>
      <c r="I156" s="5">
        <v>0.3</v>
      </c>
    </row>
    <row r="157">
      <c r="A157" s="4" t="s">
        <v>1921</v>
      </c>
      <c r="B157" s="5">
        <v>3043.0</v>
      </c>
      <c r="C157" s="5">
        <v>19.5</v>
      </c>
      <c r="D157" s="5">
        <v>11.2</v>
      </c>
      <c r="G157" s="5">
        <v>4.8</v>
      </c>
      <c r="I157" s="5">
        <v>0.65</v>
      </c>
    </row>
    <row r="158">
      <c r="A158" s="4" t="s">
        <v>1922</v>
      </c>
      <c r="B158" s="5">
        <v>3022.0</v>
      </c>
      <c r="C158" s="5">
        <v>13.9</v>
      </c>
      <c r="D158" s="5">
        <v>10.2</v>
      </c>
      <c r="G158" s="5">
        <v>3.79</v>
      </c>
      <c r="I158" s="5">
        <v>0.42</v>
      </c>
    </row>
    <row r="159">
      <c r="A159" s="4" t="s">
        <v>1923</v>
      </c>
      <c r="B159" s="5">
        <v>3032.0</v>
      </c>
      <c r="C159" s="5">
        <v>19.6</v>
      </c>
      <c r="D159" s="5">
        <v>12.8</v>
      </c>
      <c r="G159" s="5">
        <v>6.49</v>
      </c>
      <c r="I159" s="5">
        <v>0.65</v>
      </c>
    </row>
    <row r="160">
      <c r="A160" s="4" t="s">
        <v>1924</v>
      </c>
      <c r="B160" s="5">
        <v>3023.0</v>
      </c>
      <c r="C160" s="5">
        <v>16.4</v>
      </c>
      <c r="D160" s="5">
        <v>11.9</v>
      </c>
      <c r="G160" s="5">
        <v>5.21</v>
      </c>
      <c r="I160" s="5">
        <v>0.39</v>
      </c>
    </row>
    <row r="161">
      <c r="A161" s="4" t="s">
        <v>1925</v>
      </c>
      <c r="B161" s="5">
        <v>3033.0</v>
      </c>
      <c r="C161" s="5">
        <v>13.1</v>
      </c>
      <c r="D161" s="5">
        <v>13.6</v>
      </c>
      <c r="G161" s="5">
        <v>5.89</v>
      </c>
      <c r="I161" s="5">
        <v>0.38</v>
      </c>
    </row>
    <row r="162">
      <c r="A162" s="9" t="s">
        <v>358</v>
      </c>
      <c r="B162" s="5">
        <v>3052.0</v>
      </c>
      <c r="C162" s="5">
        <v>10.0</v>
      </c>
      <c r="D162" s="5">
        <v>10.0</v>
      </c>
      <c r="G162" s="5">
        <v>5.83</v>
      </c>
      <c r="I162" s="5">
        <v>0.65</v>
      </c>
    </row>
    <row r="163">
      <c r="A163" s="4" t="s">
        <v>1926</v>
      </c>
      <c r="B163" s="5">
        <v>3034.0</v>
      </c>
      <c r="C163" s="5">
        <v>17.0</v>
      </c>
      <c r="D163" s="5">
        <v>13.6</v>
      </c>
      <c r="G163" s="5">
        <v>6.9</v>
      </c>
      <c r="I163" s="5">
        <v>0.38</v>
      </c>
    </row>
    <row r="164">
      <c r="A164" s="4" t="s">
        <v>1927</v>
      </c>
      <c r="B164" s="5">
        <v>3028.0</v>
      </c>
      <c r="C164" s="5">
        <v>12.3</v>
      </c>
      <c r="D164" s="5">
        <v>10.1</v>
      </c>
      <c r="G164" s="5">
        <v>3.97</v>
      </c>
      <c r="I164" s="5">
        <v>0.22</v>
      </c>
    </row>
    <row r="165">
      <c r="A165" s="4" t="s">
        <v>1501</v>
      </c>
      <c r="B165" s="5">
        <v>3026.0</v>
      </c>
      <c r="C165" s="5">
        <v>10.9</v>
      </c>
      <c r="D165" s="5">
        <v>8.2</v>
      </c>
      <c r="G165" s="5">
        <v>2.55</v>
      </c>
      <c r="I165" s="5">
        <v>0.04</v>
      </c>
      <c r="J165" s="5" t="s">
        <v>1913</v>
      </c>
    </row>
    <row r="166">
      <c r="A166" s="4" t="s">
        <v>1928</v>
      </c>
      <c r="B166" s="5">
        <v>3018.0</v>
      </c>
      <c r="C166" s="5">
        <v>14.2</v>
      </c>
      <c r="D166" s="5">
        <v>9.6</v>
      </c>
      <c r="G166" s="5">
        <v>2.27</v>
      </c>
      <c r="I166" s="5">
        <v>0.04</v>
      </c>
      <c r="J166" s="5" t="s">
        <v>1913</v>
      </c>
    </row>
    <row r="167">
      <c r="A167" s="4" t="s">
        <v>1929</v>
      </c>
      <c r="B167" s="5">
        <v>3020.0</v>
      </c>
      <c r="C167" s="5">
        <v>14.9</v>
      </c>
      <c r="D167" s="5">
        <v>10.7</v>
      </c>
      <c r="G167" s="5">
        <v>3.47</v>
      </c>
      <c r="I167" s="5">
        <v>0.21</v>
      </c>
    </row>
    <row r="168">
      <c r="A168" s="4" t="s">
        <v>383</v>
      </c>
      <c r="B168" s="5">
        <v>3016.0</v>
      </c>
      <c r="C168" s="5">
        <v>11.7</v>
      </c>
      <c r="D168" s="5">
        <v>9.1</v>
      </c>
      <c r="G168" s="5">
        <v>2.95</v>
      </c>
      <c r="I168" s="5">
        <v>0.12</v>
      </c>
      <c r="J168" s="5" t="s">
        <v>1913</v>
      </c>
    </row>
    <row r="169">
      <c r="A169" s="4" t="s">
        <v>1930</v>
      </c>
      <c r="B169" s="5">
        <v>3024.0</v>
      </c>
      <c r="C169" s="5">
        <v>13.2</v>
      </c>
      <c r="D169" s="5">
        <v>10.6</v>
      </c>
      <c r="G169" s="5">
        <v>5.56</v>
      </c>
      <c r="I169" s="5">
        <v>0.21</v>
      </c>
    </row>
    <row r="170">
      <c r="A170" s="4" t="s">
        <v>1502</v>
      </c>
      <c r="B170" s="5">
        <v>3030.0</v>
      </c>
      <c r="C170" s="5">
        <v>15.4</v>
      </c>
      <c r="D170" s="5">
        <v>9.9</v>
      </c>
      <c r="G170" s="5">
        <v>2.7</v>
      </c>
      <c r="I170" s="5">
        <v>0.23</v>
      </c>
      <c r="J170" s="5" t="s">
        <v>1913</v>
      </c>
    </row>
    <row r="171">
      <c r="A171" s="4" t="s">
        <v>1931</v>
      </c>
      <c r="B171" s="5">
        <v>3141.0</v>
      </c>
      <c r="C171" s="5" t="s">
        <v>351</v>
      </c>
      <c r="D171" s="5">
        <v>8.2</v>
      </c>
      <c r="G171" s="5">
        <v>1.45</v>
      </c>
      <c r="I171" s="5">
        <v>0.04</v>
      </c>
      <c r="J171" s="5" t="s">
        <v>1913</v>
      </c>
    </row>
    <row r="172">
      <c r="A172" s="4" t="s">
        <v>1503</v>
      </c>
      <c r="B172" s="5">
        <v>3087.0</v>
      </c>
      <c r="C172" s="5">
        <v>11.3</v>
      </c>
      <c r="D172" s="5">
        <v>8.8</v>
      </c>
      <c r="G172" s="5">
        <v>3.05</v>
      </c>
      <c r="I172" s="5">
        <v>0.09</v>
      </c>
      <c r="J172" s="5" t="s">
        <v>1913</v>
      </c>
    </row>
    <row r="173">
      <c r="A173" s="4" t="s">
        <v>1932</v>
      </c>
      <c r="B173" s="5">
        <v>3025.0</v>
      </c>
      <c r="C173" s="5">
        <v>16.1</v>
      </c>
      <c r="D173" s="5">
        <v>9.5</v>
      </c>
      <c r="G173" s="5">
        <v>2.32</v>
      </c>
      <c r="I173" s="5">
        <v>0.08</v>
      </c>
      <c r="J173" s="5" t="s">
        <v>1913</v>
      </c>
    </row>
    <row r="174">
      <c r="A174" s="4"/>
    </row>
    <row r="175">
      <c r="A175" s="8" t="s">
        <v>386</v>
      </c>
    </row>
    <row r="176">
      <c r="A176" s="8" t="s">
        <v>387</v>
      </c>
    </row>
    <row r="177">
      <c r="A177" s="8" t="s">
        <v>389</v>
      </c>
    </row>
    <row r="178">
      <c r="A178" s="8" t="s">
        <v>1505</v>
      </c>
    </row>
    <row r="179">
      <c r="A179" s="8" t="s">
        <v>388</v>
      </c>
    </row>
    <row r="180">
      <c r="A180" s="8" t="s">
        <v>1295</v>
      </c>
    </row>
    <row r="181">
      <c r="A181" s="8" t="s">
        <v>1506</v>
      </c>
    </row>
    <row r="182">
      <c r="A182" s="8" t="s">
        <v>1843</v>
      </c>
    </row>
    <row r="183">
      <c r="A183" s="8" t="s">
        <v>393</v>
      </c>
    </row>
    <row r="184">
      <c r="A184" s="8" t="s">
        <v>390</v>
      </c>
    </row>
    <row r="185">
      <c r="A185" s="8" t="s">
        <v>1296</v>
      </c>
    </row>
    <row r="186">
      <c r="A186" s="8" t="s">
        <v>1297</v>
      </c>
    </row>
    <row r="187">
      <c r="A187" s="8" t="s">
        <v>1933</v>
      </c>
    </row>
    <row r="188">
      <c r="A188" s="8" t="s">
        <v>1507</v>
      </c>
    </row>
    <row r="189">
      <c r="A189" s="8" t="s">
        <v>1731</v>
      </c>
    </row>
    <row r="190">
      <c r="A190" s="8" t="s">
        <v>1895</v>
      </c>
    </row>
    <row r="191">
      <c r="A191" s="8" t="s">
        <v>1844</v>
      </c>
    </row>
    <row r="192">
      <c r="A192" s="8" t="s">
        <v>396</v>
      </c>
    </row>
    <row r="193">
      <c r="A193" s="8" t="s">
        <v>395</v>
      </c>
    </row>
    <row r="194">
      <c r="A194" s="4"/>
    </row>
    <row r="195">
      <c r="A195" s="4" t="s">
        <v>406</v>
      </c>
      <c r="B195" s="5">
        <v>3082.0</v>
      </c>
      <c r="C195" s="5">
        <v>29.5</v>
      </c>
      <c r="D195" s="5">
        <v>11.2</v>
      </c>
      <c r="G195" s="5">
        <v>19.23</v>
      </c>
      <c r="I195" s="5">
        <v>7.82</v>
      </c>
    </row>
    <row r="196">
      <c r="A196" s="4" t="s">
        <v>407</v>
      </c>
      <c r="B196" s="5">
        <v>3080.0</v>
      </c>
      <c r="C196" s="5">
        <v>24.8</v>
      </c>
      <c r="D196" s="5">
        <v>21.7</v>
      </c>
      <c r="G196" s="5">
        <v>13.75</v>
      </c>
      <c r="I196" s="5">
        <v>3.24</v>
      </c>
    </row>
    <row r="197">
      <c r="A197" s="4" t="s">
        <v>1303</v>
      </c>
      <c r="B197" s="5">
        <v>3081.0</v>
      </c>
      <c r="C197" s="5">
        <v>23.2</v>
      </c>
      <c r="D197" s="5">
        <v>19.6</v>
      </c>
      <c r="G197" s="5">
        <v>12.07</v>
      </c>
      <c r="I197" s="5">
        <v>2.39</v>
      </c>
    </row>
    <row r="198">
      <c r="A198" s="4" t="s">
        <v>408</v>
      </c>
      <c r="B198" s="5">
        <v>3071.0</v>
      </c>
      <c r="C198" s="5">
        <v>26.8</v>
      </c>
      <c r="D198" s="5">
        <v>19.5</v>
      </c>
      <c r="G198" s="5">
        <v>7.77</v>
      </c>
      <c r="I198" s="5">
        <v>2.28</v>
      </c>
      <c r="J198" s="5" t="s">
        <v>1913</v>
      </c>
    </row>
    <row r="199">
      <c r="A199" s="4" t="s">
        <v>411</v>
      </c>
      <c r="B199" s="5">
        <v>3083.0</v>
      </c>
      <c r="C199" s="5">
        <v>9.2</v>
      </c>
      <c r="D199" s="5">
        <v>17.3</v>
      </c>
      <c r="G199" s="5">
        <v>7.86</v>
      </c>
      <c r="I199" s="5">
        <v>0.8</v>
      </c>
    </row>
    <row r="200">
      <c r="A200" s="4" t="s">
        <v>1306</v>
      </c>
      <c r="B200" s="5">
        <v>3074.0</v>
      </c>
      <c r="C200" s="5">
        <v>31.2</v>
      </c>
      <c r="D200" s="5">
        <v>24.8</v>
      </c>
      <c r="G200" s="5">
        <v>8.74</v>
      </c>
      <c r="I200" s="5">
        <v>0.64</v>
      </c>
    </row>
    <row r="201">
      <c r="A201" s="4" t="s">
        <v>1304</v>
      </c>
      <c r="B201" s="5">
        <v>3073.0</v>
      </c>
      <c r="C201" s="5">
        <v>29.2</v>
      </c>
      <c r="D201" s="5">
        <v>20.1</v>
      </c>
      <c r="G201" s="5">
        <v>10.03</v>
      </c>
      <c r="I201" s="5">
        <v>0.82</v>
      </c>
    </row>
    <row r="202">
      <c r="A202" s="4" t="s">
        <v>409</v>
      </c>
      <c r="B202" s="5">
        <v>3079.0</v>
      </c>
      <c r="C202" s="5">
        <v>35.6</v>
      </c>
      <c r="D202" s="5">
        <v>22.6</v>
      </c>
      <c r="G202" s="5">
        <v>10.85</v>
      </c>
      <c r="I202" s="5">
        <v>2.18</v>
      </c>
    </row>
    <row r="203">
      <c r="A203" s="4" t="s">
        <v>410</v>
      </c>
      <c r="B203" s="5">
        <v>3070.0</v>
      </c>
      <c r="C203" s="5">
        <v>26.0</v>
      </c>
      <c r="D203" s="5">
        <v>20.2</v>
      </c>
      <c r="G203" s="5">
        <v>10.67</v>
      </c>
      <c r="I203" s="5">
        <v>1.53</v>
      </c>
    </row>
    <row r="204">
      <c r="A204" s="4" t="s">
        <v>1934</v>
      </c>
      <c r="B204" s="5">
        <v>3076.0</v>
      </c>
      <c r="C204" s="5">
        <v>22.6</v>
      </c>
      <c r="D204" s="5">
        <v>14.3</v>
      </c>
      <c r="G204" s="5">
        <v>7.07</v>
      </c>
      <c r="I204" s="5">
        <v>0.36</v>
      </c>
    </row>
    <row r="205">
      <c r="A205" s="4" t="s">
        <v>1305</v>
      </c>
      <c r="B205" s="5">
        <v>3078.0</v>
      </c>
      <c r="C205" s="5">
        <v>20.2</v>
      </c>
      <c r="D205" s="5">
        <v>18.3</v>
      </c>
      <c r="G205" s="5">
        <v>8.46</v>
      </c>
      <c r="I205" s="5">
        <v>1.34</v>
      </c>
      <c r="J205" s="5" t="s">
        <v>1913</v>
      </c>
    </row>
    <row r="206">
      <c r="A206" s="4" t="s">
        <v>1935</v>
      </c>
      <c r="B206" s="5">
        <v>3077.0</v>
      </c>
      <c r="C206" s="5">
        <v>29.6</v>
      </c>
      <c r="D206" s="5">
        <v>21.3</v>
      </c>
      <c r="G206" s="5">
        <v>7.36</v>
      </c>
      <c r="I206" s="5">
        <v>0.65</v>
      </c>
    </row>
    <row r="207">
      <c r="A207" s="4" t="s">
        <v>1516</v>
      </c>
      <c r="B207" s="5">
        <v>3072.0</v>
      </c>
      <c r="C207" s="5">
        <v>25.0</v>
      </c>
      <c r="D207" s="5">
        <v>19.3</v>
      </c>
      <c r="G207" s="5">
        <v>9.04</v>
      </c>
      <c r="I207" s="5">
        <v>0.68</v>
      </c>
    </row>
    <row r="208">
      <c r="A208" s="4" t="s">
        <v>1309</v>
      </c>
      <c r="B208" s="5">
        <v>3067.0</v>
      </c>
      <c r="C208" s="5">
        <v>21.6</v>
      </c>
      <c r="D208" s="5">
        <v>14.0</v>
      </c>
      <c r="G208" s="5">
        <v>6.96</v>
      </c>
      <c r="I208" s="5">
        <v>0.73</v>
      </c>
    </row>
    <row r="209">
      <c r="A209" s="4" t="s">
        <v>415</v>
      </c>
      <c r="J209" s="5" t="s">
        <v>1936</v>
      </c>
    </row>
    <row r="210">
      <c r="A210" s="4" t="s">
        <v>413</v>
      </c>
      <c r="B210" s="5">
        <v>3056.0</v>
      </c>
      <c r="C210" s="5">
        <v>15.1</v>
      </c>
      <c r="D210" s="5">
        <v>16.6</v>
      </c>
      <c r="G210" s="5">
        <v>5.09</v>
      </c>
      <c r="I210" s="5">
        <v>0.49</v>
      </c>
      <c r="J210" s="5" t="s">
        <v>1913</v>
      </c>
    </row>
    <row r="211">
      <c r="A211" s="4" t="s">
        <v>1307</v>
      </c>
      <c r="B211" s="5">
        <v>3058.0</v>
      </c>
      <c r="C211" s="5">
        <v>23.7</v>
      </c>
      <c r="D211" s="5">
        <v>16.6</v>
      </c>
      <c r="G211" s="5">
        <v>5.74</v>
      </c>
      <c r="I211" s="5">
        <v>0.71</v>
      </c>
    </row>
    <row r="212">
      <c r="A212" s="4" t="s">
        <v>1310</v>
      </c>
      <c r="B212" s="5">
        <v>3057.0</v>
      </c>
      <c r="C212" s="5">
        <v>15.7</v>
      </c>
      <c r="D212" s="5">
        <v>12.9</v>
      </c>
      <c r="G212" s="5">
        <v>6.06</v>
      </c>
      <c r="I212" s="5">
        <v>0.59</v>
      </c>
    </row>
    <row r="213">
      <c r="A213" s="4" t="s">
        <v>412</v>
      </c>
      <c r="J213" s="5" t="s">
        <v>1936</v>
      </c>
    </row>
    <row r="214">
      <c r="A214" s="4" t="s">
        <v>1308</v>
      </c>
      <c r="B214" s="5">
        <v>3069.0</v>
      </c>
      <c r="C214" s="5">
        <v>21.8</v>
      </c>
      <c r="D214" s="5">
        <v>18.6</v>
      </c>
      <c r="G214" s="5">
        <v>7.11</v>
      </c>
      <c r="I214" s="5">
        <v>0.76</v>
      </c>
      <c r="J214" s="5" t="s">
        <v>1913</v>
      </c>
    </row>
    <row r="215">
      <c r="A215" s="4" t="s">
        <v>1311</v>
      </c>
      <c r="B215" s="5">
        <v>3084.0</v>
      </c>
      <c r="C215" s="5" t="s">
        <v>351</v>
      </c>
      <c r="D215" s="5">
        <v>14.6</v>
      </c>
      <c r="G215" s="5">
        <v>5.86</v>
      </c>
      <c r="I215" s="5">
        <v>0.41</v>
      </c>
      <c r="J215" s="5" t="s">
        <v>1913</v>
      </c>
    </row>
    <row r="216">
      <c r="A216" s="4" t="s">
        <v>1315</v>
      </c>
      <c r="B216" s="5">
        <v>3068.0</v>
      </c>
      <c r="C216" s="5">
        <v>25.8</v>
      </c>
      <c r="D216" s="5">
        <v>17.5</v>
      </c>
      <c r="G216" s="5">
        <v>4.56</v>
      </c>
      <c r="I216" s="5">
        <v>0.37</v>
      </c>
      <c r="J216" s="5" t="s">
        <v>1913</v>
      </c>
    </row>
    <row r="217">
      <c r="A217" s="4" t="s">
        <v>1937</v>
      </c>
      <c r="B217" s="5">
        <v>3064.0</v>
      </c>
      <c r="C217" s="5">
        <v>14.9</v>
      </c>
      <c r="D217" s="5">
        <v>12.4</v>
      </c>
      <c r="G217" s="5">
        <v>6.1</v>
      </c>
      <c r="I217" s="5">
        <v>0.57</v>
      </c>
    </row>
    <row r="218">
      <c r="A218" s="4" t="s">
        <v>1938</v>
      </c>
      <c r="B218" s="5">
        <v>3075.0</v>
      </c>
      <c r="C218" s="5">
        <v>15.0</v>
      </c>
      <c r="D218" s="5">
        <v>12.8</v>
      </c>
      <c r="G218" s="5">
        <v>6.37</v>
      </c>
      <c r="I218" s="5">
        <v>0.28</v>
      </c>
    </row>
    <row r="219">
      <c r="A219" s="4" t="s">
        <v>1939</v>
      </c>
      <c r="B219" s="5">
        <v>3063.0</v>
      </c>
      <c r="C219" s="5">
        <v>13.3</v>
      </c>
      <c r="D219" s="5">
        <v>12.0</v>
      </c>
      <c r="G219" s="5">
        <v>6.6</v>
      </c>
      <c r="I219" s="5">
        <v>0.38</v>
      </c>
    </row>
    <row r="220">
      <c r="A220" s="4" t="s">
        <v>1519</v>
      </c>
      <c r="B220" s="5">
        <v>3065.0</v>
      </c>
      <c r="C220" s="5">
        <v>11.6</v>
      </c>
      <c r="D220" s="5">
        <v>10.5</v>
      </c>
      <c r="G220" s="5">
        <v>4.43</v>
      </c>
      <c r="I220" s="5">
        <v>0.16</v>
      </c>
      <c r="J220" s="5" t="s">
        <v>1913</v>
      </c>
    </row>
    <row r="221">
      <c r="A221" s="4" t="s">
        <v>1940</v>
      </c>
      <c r="B221" s="5">
        <v>3060.0</v>
      </c>
      <c r="C221" s="5">
        <v>13.1</v>
      </c>
      <c r="D221" s="5">
        <v>10.8</v>
      </c>
      <c r="G221" s="5">
        <v>4.7</v>
      </c>
      <c r="I221" s="5">
        <v>0.22</v>
      </c>
    </row>
    <row r="222">
      <c r="A222" s="4" t="s">
        <v>1314</v>
      </c>
      <c r="J222" s="5" t="s">
        <v>1936</v>
      </c>
    </row>
    <row r="223">
      <c r="A223" s="4" t="s">
        <v>414</v>
      </c>
      <c r="J223" s="5" t="s">
        <v>1936</v>
      </c>
    </row>
    <row r="224">
      <c r="A224" s="4" t="s">
        <v>1313</v>
      </c>
      <c r="B224" s="5">
        <v>3086.0</v>
      </c>
      <c r="C224" s="5" t="s">
        <v>351</v>
      </c>
      <c r="D224" s="5" t="s">
        <v>351</v>
      </c>
      <c r="G224" s="5">
        <v>4.77</v>
      </c>
      <c r="I224" s="5">
        <v>0.33</v>
      </c>
      <c r="J224" s="5" t="s">
        <v>1913</v>
      </c>
    </row>
    <row r="225">
      <c r="A225" s="4" t="s">
        <v>1312</v>
      </c>
      <c r="J225" s="5" t="s">
        <v>1936</v>
      </c>
    </row>
    <row r="226">
      <c r="A226" s="4" t="s">
        <v>418</v>
      </c>
      <c r="B226" s="5">
        <v>3055.0</v>
      </c>
      <c r="C226" s="5">
        <v>13.3</v>
      </c>
      <c r="D226" s="5">
        <v>12.1</v>
      </c>
      <c r="G226" s="5">
        <v>3.9</v>
      </c>
      <c r="I226" s="5">
        <v>0.21</v>
      </c>
      <c r="J226" s="5" t="s">
        <v>1913</v>
      </c>
    </row>
    <row r="227">
      <c r="A227" s="4" t="s">
        <v>416</v>
      </c>
      <c r="J227" s="5" t="s">
        <v>1936</v>
      </c>
    </row>
    <row r="228">
      <c r="A228" s="4" t="s">
        <v>1521</v>
      </c>
      <c r="B228" s="5">
        <v>3066.0</v>
      </c>
      <c r="C228" s="5">
        <v>13.7</v>
      </c>
      <c r="D228" s="5">
        <v>14.2</v>
      </c>
      <c r="G228" s="5">
        <v>7.13</v>
      </c>
      <c r="I228" s="5">
        <v>0.48</v>
      </c>
    </row>
    <row r="229">
      <c r="A229" s="9" t="s">
        <v>420</v>
      </c>
      <c r="B229" s="5">
        <v>3091.0</v>
      </c>
      <c r="C229" s="5" t="s">
        <v>351</v>
      </c>
      <c r="D229" s="5">
        <v>7.2</v>
      </c>
      <c r="G229" s="5">
        <v>2.51</v>
      </c>
      <c r="I229" s="5">
        <v>0.05</v>
      </c>
      <c r="J229" s="5" t="s">
        <v>1913</v>
      </c>
    </row>
    <row r="230">
      <c r="A230" s="4" t="s">
        <v>421</v>
      </c>
      <c r="B230" s="5">
        <v>3054.0</v>
      </c>
      <c r="C230" s="5">
        <v>13.2</v>
      </c>
      <c r="D230" s="5">
        <v>9.3</v>
      </c>
      <c r="G230" s="5">
        <v>2.97</v>
      </c>
      <c r="I230" s="5">
        <v>0.14</v>
      </c>
      <c r="J230" s="5" t="s">
        <v>1913</v>
      </c>
    </row>
    <row r="231">
      <c r="A231" s="4" t="s">
        <v>1941</v>
      </c>
      <c r="J231" s="5" t="s">
        <v>1936</v>
      </c>
    </row>
    <row r="232">
      <c r="A232" s="4" t="s">
        <v>1942</v>
      </c>
      <c r="B232" s="5">
        <v>3061.0</v>
      </c>
      <c r="C232" s="5">
        <v>16.8</v>
      </c>
      <c r="D232" s="5">
        <v>8.4</v>
      </c>
      <c r="G232" s="5">
        <v>3.19</v>
      </c>
      <c r="I232" s="5">
        <v>0.09</v>
      </c>
    </row>
    <row r="233">
      <c r="A233" s="4" t="s">
        <v>1943</v>
      </c>
      <c r="B233" s="5">
        <v>3085.0</v>
      </c>
      <c r="C233" s="5">
        <v>10.6</v>
      </c>
      <c r="D233" s="5">
        <v>8.6</v>
      </c>
      <c r="G233" s="5">
        <v>2.8</v>
      </c>
      <c r="I233" s="5">
        <v>0.09</v>
      </c>
      <c r="J233" s="5" t="s">
        <v>1913</v>
      </c>
    </row>
    <row r="234">
      <c r="A234" s="4" t="s">
        <v>422</v>
      </c>
      <c r="J234" s="5" t="s">
        <v>1936</v>
      </c>
    </row>
    <row r="235">
      <c r="A235" s="4" t="s">
        <v>1944</v>
      </c>
      <c r="J235" s="5" t="s">
        <v>1936</v>
      </c>
    </row>
    <row r="236">
      <c r="A236" s="4" t="s">
        <v>1945</v>
      </c>
      <c r="B236" s="5">
        <v>3062.0</v>
      </c>
      <c r="C236" s="5">
        <v>15.7</v>
      </c>
      <c r="D236" s="5">
        <v>10.0</v>
      </c>
      <c r="G236" s="5">
        <v>6.12</v>
      </c>
    </row>
    <row r="237">
      <c r="A237" s="4" t="s">
        <v>1946</v>
      </c>
      <c r="B237" s="5">
        <v>3059.0</v>
      </c>
      <c r="C237" s="5">
        <v>10.6</v>
      </c>
      <c r="D237" s="5">
        <v>6.6</v>
      </c>
      <c r="G237" s="5">
        <v>4.75</v>
      </c>
      <c r="I237" s="5">
        <v>0.14</v>
      </c>
    </row>
    <row r="238">
      <c r="A238" s="4" t="s">
        <v>1740</v>
      </c>
      <c r="J238" s="5" t="s">
        <v>1936</v>
      </c>
    </row>
    <row r="239">
      <c r="A239" s="4" t="s">
        <v>1947</v>
      </c>
      <c r="B239" s="5">
        <v>3062.0</v>
      </c>
      <c r="C239" s="5">
        <v>12.0</v>
      </c>
      <c r="D239" s="5">
        <v>8.9</v>
      </c>
      <c r="G239" s="5">
        <v>5.0</v>
      </c>
    </row>
    <row r="240">
      <c r="A240" s="4"/>
    </row>
    <row r="241">
      <c r="A241" s="4" t="s">
        <v>425</v>
      </c>
      <c r="B241" s="5">
        <v>3122.0</v>
      </c>
      <c r="C241" s="5">
        <v>35.6</v>
      </c>
      <c r="D241" s="5">
        <v>16.1</v>
      </c>
      <c r="G241" s="5">
        <v>16.13</v>
      </c>
      <c r="I241" s="5">
        <v>5.28</v>
      </c>
    </row>
    <row r="242">
      <c r="A242" s="4" t="s">
        <v>1318</v>
      </c>
      <c r="B242" s="5">
        <v>3121.0</v>
      </c>
      <c r="C242" s="5">
        <v>28.3</v>
      </c>
      <c r="D242" s="5">
        <v>17.2</v>
      </c>
      <c r="G242" s="5">
        <v>12.4</v>
      </c>
      <c r="I242" s="5">
        <v>2.38</v>
      </c>
    </row>
    <row r="243">
      <c r="A243" s="4" t="s">
        <v>426</v>
      </c>
      <c r="B243" s="5">
        <v>3120.0</v>
      </c>
      <c r="C243" s="5">
        <v>27.8</v>
      </c>
      <c r="D243" s="5">
        <v>19.2</v>
      </c>
      <c r="G243" s="5">
        <v>11.22</v>
      </c>
      <c r="I243" s="5">
        <v>2.79</v>
      </c>
    </row>
    <row r="244">
      <c r="A244" s="4" t="s">
        <v>427</v>
      </c>
      <c r="B244" s="5">
        <v>3118.0</v>
      </c>
      <c r="C244" s="5">
        <v>27.2</v>
      </c>
      <c r="D244" s="5">
        <v>19.3</v>
      </c>
      <c r="G244" s="5">
        <v>9.7</v>
      </c>
      <c r="I244" s="5">
        <v>1.57</v>
      </c>
    </row>
    <row r="245">
      <c r="A245" s="4" t="s">
        <v>1317</v>
      </c>
      <c r="B245" s="5">
        <v>3113.0</v>
      </c>
      <c r="C245" s="5">
        <v>24.7</v>
      </c>
      <c r="D245" s="5">
        <v>18.0</v>
      </c>
      <c r="G245" s="5">
        <v>9.38</v>
      </c>
      <c r="I245" s="5">
        <v>0.96</v>
      </c>
    </row>
    <row r="246">
      <c r="A246" s="4" t="s">
        <v>1316</v>
      </c>
      <c r="B246" s="5">
        <v>3119.0</v>
      </c>
      <c r="C246" s="5">
        <v>39.2</v>
      </c>
      <c r="D246" s="5">
        <v>25.2</v>
      </c>
      <c r="G246" s="5">
        <v>8.99</v>
      </c>
      <c r="I246" s="5">
        <v>1.01</v>
      </c>
    </row>
    <row r="247">
      <c r="A247" s="4" t="s">
        <v>1320</v>
      </c>
      <c r="B247" s="5">
        <v>3108.0</v>
      </c>
      <c r="C247" s="5">
        <v>23.5</v>
      </c>
      <c r="D247" s="5">
        <v>19.3</v>
      </c>
      <c r="G247" s="5">
        <v>8.78</v>
      </c>
      <c r="I247" s="5">
        <v>1.2</v>
      </c>
      <c r="J247" s="5" t="s">
        <v>1913</v>
      </c>
    </row>
    <row r="248">
      <c r="A248" s="4" t="s">
        <v>428</v>
      </c>
      <c r="B248" s="5">
        <v>3098.0</v>
      </c>
      <c r="C248" s="5">
        <v>21.3</v>
      </c>
      <c r="D248" s="5">
        <v>15.3</v>
      </c>
      <c r="G248" s="5">
        <v>6.44</v>
      </c>
      <c r="I248" s="5">
        <v>0.79</v>
      </c>
      <c r="J248" s="5" t="s">
        <v>1913</v>
      </c>
    </row>
    <row r="249">
      <c r="A249" s="4" t="s">
        <v>429</v>
      </c>
      <c r="B249" s="5">
        <v>3117.0</v>
      </c>
      <c r="C249" s="5">
        <v>29.4</v>
      </c>
      <c r="D249" s="5">
        <v>16.2</v>
      </c>
      <c r="G249" s="5">
        <v>7.48</v>
      </c>
      <c r="I249" s="5">
        <v>0.64</v>
      </c>
    </row>
    <row r="250">
      <c r="A250" s="4" t="s">
        <v>1321</v>
      </c>
      <c r="B250" s="5">
        <v>3112.0</v>
      </c>
      <c r="C250" s="5">
        <v>18.7</v>
      </c>
      <c r="D250" s="5">
        <v>16.3</v>
      </c>
      <c r="G250" s="5">
        <v>7.27</v>
      </c>
      <c r="I250" s="5">
        <v>0.61</v>
      </c>
    </row>
    <row r="251">
      <c r="A251" s="4" t="s">
        <v>1322</v>
      </c>
      <c r="B251" s="5">
        <v>3116.0</v>
      </c>
      <c r="C251" s="5">
        <v>22.6</v>
      </c>
      <c r="D251" s="5">
        <v>14.6</v>
      </c>
      <c r="G251" s="5">
        <v>7.47</v>
      </c>
      <c r="I251" s="5">
        <v>0.72</v>
      </c>
    </row>
    <row r="252">
      <c r="A252" s="4" t="s">
        <v>1323</v>
      </c>
      <c r="B252" s="5">
        <v>3100.0</v>
      </c>
      <c r="C252" s="5">
        <v>21.6</v>
      </c>
      <c r="D252" s="5">
        <v>15.6</v>
      </c>
      <c r="G252" s="5">
        <v>4.93</v>
      </c>
      <c r="I252" s="5">
        <v>0.68</v>
      </c>
      <c r="J252" s="5" t="s">
        <v>1913</v>
      </c>
    </row>
    <row r="253">
      <c r="A253" s="4" t="s">
        <v>1868</v>
      </c>
      <c r="B253" s="5">
        <v>3114.0</v>
      </c>
      <c r="C253" s="5">
        <v>30.4</v>
      </c>
      <c r="D253" s="5">
        <v>23.1</v>
      </c>
      <c r="G253" s="5">
        <v>7.68</v>
      </c>
      <c r="I253" s="5">
        <v>0.69</v>
      </c>
    </row>
    <row r="254">
      <c r="A254" s="4" t="s">
        <v>1869</v>
      </c>
      <c r="B254" s="5">
        <v>3096.0</v>
      </c>
      <c r="C254" s="5">
        <v>15.7</v>
      </c>
      <c r="D254" s="5">
        <v>13.7</v>
      </c>
      <c r="G254" s="5">
        <v>7.66</v>
      </c>
      <c r="I254" s="5">
        <v>0.61</v>
      </c>
    </row>
    <row r="255">
      <c r="A255" s="4" t="s">
        <v>1325</v>
      </c>
      <c r="B255" s="5">
        <v>3111.0</v>
      </c>
      <c r="C255" s="5">
        <v>11.0</v>
      </c>
      <c r="D255" s="5">
        <v>12.8</v>
      </c>
      <c r="G255" s="5">
        <v>7.59</v>
      </c>
      <c r="I255" s="5">
        <v>0.5</v>
      </c>
    </row>
    <row r="256">
      <c r="A256" s="4" t="s">
        <v>1324</v>
      </c>
      <c r="B256" s="5">
        <v>3102.0</v>
      </c>
      <c r="C256" s="5">
        <v>14.1</v>
      </c>
      <c r="D256" s="5">
        <v>14.2</v>
      </c>
      <c r="G256" s="5">
        <v>6.82</v>
      </c>
      <c r="I256" s="5">
        <v>0.43</v>
      </c>
    </row>
    <row r="257">
      <c r="A257" s="4" t="s">
        <v>1326</v>
      </c>
      <c r="B257" s="5">
        <v>3099.0</v>
      </c>
      <c r="C257" s="5">
        <v>16.0</v>
      </c>
      <c r="D257" s="5">
        <v>14.1</v>
      </c>
      <c r="G257" s="5">
        <v>3.9</v>
      </c>
      <c r="I257" s="5">
        <v>0.41</v>
      </c>
      <c r="J257" s="5" t="s">
        <v>1913</v>
      </c>
    </row>
    <row r="258">
      <c r="A258" s="4" t="s">
        <v>430</v>
      </c>
      <c r="B258" s="5">
        <v>3106.0</v>
      </c>
      <c r="C258" s="5">
        <v>18.6</v>
      </c>
      <c r="D258" s="5">
        <v>15.3</v>
      </c>
      <c r="G258" s="5">
        <v>6.47</v>
      </c>
      <c r="I258" s="5">
        <v>0.55</v>
      </c>
    </row>
    <row r="259">
      <c r="A259" s="4" t="s">
        <v>431</v>
      </c>
      <c r="B259" s="5">
        <v>3110.0</v>
      </c>
      <c r="C259" s="5">
        <v>16.9</v>
      </c>
      <c r="D259" s="5">
        <v>16.7</v>
      </c>
      <c r="G259" s="5">
        <v>6.67</v>
      </c>
      <c r="I259" s="5">
        <v>0.35</v>
      </c>
    </row>
    <row r="260">
      <c r="A260" s="4" t="s">
        <v>433</v>
      </c>
      <c r="B260" s="5">
        <v>3094.0</v>
      </c>
      <c r="C260" s="5">
        <v>17.0</v>
      </c>
      <c r="D260" s="5">
        <v>12.2</v>
      </c>
      <c r="G260" s="5">
        <v>6.04</v>
      </c>
      <c r="I260" s="5">
        <v>0.46</v>
      </c>
      <c r="J260" s="5" t="s">
        <v>1913</v>
      </c>
    </row>
    <row r="261">
      <c r="A261" s="4" t="s">
        <v>432</v>
      </c>
      <c r="B261" s="5">
        <v>3105.0</v>
      </c>
      <c r="C261" s="5">
        <v>11.5</v>
      </c>
      <c r="D261" s="5">
        <v>11.7</v>
      </c>
      <c r="G261" s="5">
        <v>3.91</v>
      </c>
      <c r="I261" s="5">
        <v>0.1</v>
      </c>
      <c r="J261" s="5" t="s">
        <v>1913</v>
      </c>
    </row>
    <row r="262">
      <c r="A262" s="4" t="s">
        <v>1948</v>
      </c>
      <c r="B262" s="5">
        <v>3095.0</v>
      </c>
      <c r="C262" s="5">
        <v>13.3</v>
      </c>
      <c r="D262" s="5">
        <v>10.7</v>
      </c>
      <c r="G262" s="5">
        <v>4.41</v>
      </c>
      <c r="I262" s="5">
        <v>0.13</v>
      </c>
    </row>
    <row r="263">
      <c r="A263" s="4" t="s">
        <v>1949</v>
      </c>
      <c r="B263" s="5">
        <v>3089.0</v>
      </c>
      <c r="C263" s="5">
        <v>12.7</v>
      </c>
      <c r="D263" s="5">
        <v>8.3</v>
      </c>
      <c r="G263" s="5">
        <v>3.01</v>
      </c>
      <c r="I263" s="5">
        <v>0.07</v>
      </c>
    </row>
    <row r="264">
      <c r="A264" s="4" t="s">
        <v>435</v>
      </c>
      <c r="B264" s="5">
        <v>3103.0</v>
      </c>
      <c r="C264" s="5">
        <v>17.2</v>
      </c>
      <c r="D264" s="5">
        <v>11.7</v>
      </c>
      <c r="G264" s="5">
        <v>5.57</v>
      </c>
      <c r="I264" s="5">
        <v>0.32</v>
      </c>
    </row>
    <row r="265">
      <c r="A265" s="4" t="s">
        <v>1950</v>
      </c>
      <c r="B265" s="5">
        <v>3097.0</v>
      </c>
      <c r="C265" s="5">
        <v>24.9</v>
      </c>
      <c r="D265" s="5">
        <v>13.2</v>
      </c>
      <c r="G265" s="5">
        <v>5.31</v>
      </c>
      <c r="I265" s="5">
        <v>0.16</v>
      </c>
    </row>
    <row r="266">
      <c r="A266" s="4" t="s">
        <v>1530</v>
      </c>
      <c r="B266" s="5">
        <v>3107.0</v>
      </c>
      <c r="C266" s="5">
        <v>14.6</v>
      </c>
      <c r="D266" s="5">
        <v>11.5</v>
      </c>
      <c r="G266" s="5">
        <v>2.88</v>
      </c>
      <c r="I266" s="5">
        <v>0.04</v>
      </c>
    </row>
    <row r="267">
      <c r="A267" s="4" t="s">
        <v>1536</v>
      </c>
      <c r="B267" s="5">
        <v>3090.0</v>
      </c>
      <c r="C267" s="5">
        <v>17.1</v>
      </c>
      <c r="D267" s="5">
        <v>9.6</v>
      </c>
      <c r="G267" s="5">
        <v>3.71</v>
      </c>
      <c r="I267" s="5">
        <v>0.18</v>
      </c>
      <c r="J267" s="5" t="s">
        <v>1913</v>
      </c>
    </row>
    <row r="268">
      <c r="A268" s="4" t="s">
        <v>1951</v>
      </c>
      <c r="B268" s="5">
        <v>3109.0</v>
      </c>
      <c r="C268" s="5">
        <v>18.1</v>
      </c>
      <c r="D268" s="5">
        <v>12.3</v>
      </c>
      <c r="G268" s="5">
        <v>7.03</v>
      </c>
      <c r="I268" s="5">
        <v>0.25</v>
      </c>
    </row>
    <row r="269">
      <c r="A269" s="4" t="s">
        <v>1535</v>
      </c>
      <c r="B269" s="5">
        <v>3093.0</v>
      </c>
      <c r="C269" s="5">
        <v>16.5</v>
      </c>
      <c r="D269" s="5">
        <v>13.2</v>
      </c>
      <c r="G269" s="5">
        <v>5.62</v>
      </c>
      <c r="I269" s="5">
        <v>0.28</v>
      </c>
    </row>
    <row r="270">
      <c r="A270" s="4" t="s">
        <v>1952</v>
      </c>
      <c r="B270" s="5">
        <v>3092.0</v>
      </c>
      <c r="C270" s="5">
        <v>12.9</v>
      </c>
      <c r="D270" s="5">
        <v>7.6</v>
      </c>
      <c r="G270" s="5">
        <v>3.86</v>
      </c>
      <c r="I270" s="5">
        <v>0.08</v>
      </c>
    </row>
    <row r="271">
      <c r="A271" s="4" t="s">
        <v>1953</v>
      </c>
      <c r="B271" s="5">
        <v>3104.0</v>
      </c>
      <c r="C271" s="5">
        <v>15.4</v>
      </c>
      <c r="D271" s="5">
        <v>12.6</v>
      </c>
      <c r="G271" s="5">
        <v>4.62</v>
      </c>
      <c r="I271" s="5">
        <v>0.14</v>
      </c>
    </row>
    <row r="272">
      <c r="A272" s="4" t="s">
        <v>1954</v>
      </c>
      <c r="B272" s="5">
        <v>3115.0</v>
      </c>
      <c r="C272" s="5">
        <v>15.7</v>
      </c>
      <c r="D272" s="5">
        <v>13.3</v>
      </c>
      <c r="G272" s="5">
        <v>4.34</v>
      </c>
      <c r="I272" s="5">
        <v>0.18</v>
      </c>
    </row>
    <row r="273">
      <c r="A273" s="4" t="s">
        <v>1533</v>
      </c>
      <c r="B273" s="5">
        <v>3101.0</v>
      </c>
      <c r="C273" s="5">
        <v>16.3</v>
      </c>
      <c r="D273" s="5">
        <v>11.0</v>
      </c>
      <c r="G273" s="5">
        <v>6.03</v>
      </c>
      <c r="I273" s="5">
        <v>0.23</v>
      </c>
    </row>
    <row r="274">
      <c r="A274" s="4" t="s">
        <v>434</v>
      </c>
      <c r="J274" s="5" t="s">
        <v>1840</v>
      </c>
    </row>
    <row r="275">
      <c r="A275" s="4"/>
    </row>
    <row r="276">
      <c r="A276" s="4" t="s">
        <v>438</v>
      </c>
      <c r="B276" s="5">
        <v>3130.0</v>
      </c>
      <c r="C276" s="5">
        <v>36.7</v>
      </c>
      <c r="D276" s="5">
        <v>19.8</v>
      </c>
      <c r="G276" s="5">
        <v>13.47</v>
      </c>
      <c r="I276" s="5">
        <v>1.96</v>
      </c>
    </row>
    <row r="277">
      <c r="A277" s="4" t="s">
        <v>439</v>
      </c>
      <c r="B277" s="5">
        <v>3129.0</v>
      </c>
      <c r="C277" s="5">
        <v>26.9</v>
      </c>
      <c r="D277" s="5">
        <v>21.7</v>
      </c>
      <c r="G277" s="5">
        <v>12.94</v>
      </c>
      <c r="I277" s="5">
        <v>1.68</v>
      </c>
    </row>
    <row r="278">
      <c r="A278" s="4" t="s">
        <v>441</v>
      </c>
      <c r="B278" s="5">
        <v>3128.0</v>
      </c>
      <c r="C278" s="5">
        <v>20.7</v>
      </c>
      <c r="D278" s="5">
        <v>15.2</v>
      </c>
      <c r="G278" s="5">
        <v>9.64</v>
      </c>
      <c r="I278" s="5">
        <v>0.93</v>
      </c>
    </row>
    <row r="279">
      <c r="A279" s="4" t="s">
        <v>442</v>
      </c>
      <c r="B279" s="5">
        <v>3127.0</v>
      </c>
      <c r="C279" s="5">
        <v>17.8</v>
      </c>
      <c r="D279" s="5">
        <v>14.6</v>
      </c>
      <c r="G279" s="5">
        <v>8.68</v>
      </c>
      <c r="I279" s="5">
        <v>0.56</v>
      </c>
    </row>
    <row r="280">
      <c r="A280" s="4" t="s">
        <v>1328</v>
      </c>
      <c r="B280" s="5">
        <v>3126.0</v>
      </c>
      <c r="C280" s="5">
        <v>28.8</v>
      </c>
      <c r="D280" s="5">
        <v>14.7</v>
      </c>
      <c r="G280" s="5">
        <v>8.89</v>
      </c>
      <c r="I280" s="5">
        <v>0.66</v>
      </c>
    </row>
    <row r="281">
      <c r="A281" s="4" t="s">
        <v>1330</v>
      </c>
      <c r="B281" s="5">
        <v>3125.0</v>
      </c>
      <c r="C281" s="5">
        <v>21.1</v>
      </c>
      <c r="D281" s="5">
        <v>16.3</v>
      </c>
      <c r="G281" s="5">
        <v>9.31</v>
      </c>
      <c r="I281" s="5">
        <v>0.52</v>
      </c>
    </row>
    <row r="282">
      <c r="A282" s="4" t="s">
        <v>447</v>
      </c>
      <c r="B282" s="5">
        <v>3123.0</v>
      </c>
      <c r="C282" s="5">
        <v>14.9</v>
      </c>
      <c r="D282" s="5">
        <v>12.4</v>
      </c>
      <c r="G282" s="5">
        <v>7.42</v>
      </c>
      <c r="I282" s="5">
        <v>0.33</v>
      </c>
    </row>
    <row r="283">
      <c r="A283" s="4" t="s">
        <v>1331</v>
      </c>
      <c r="B283" s="5">
        <v>3124.0</v>
      </c>
      <c r="C283" s="5">
        <v>16.2</v>
      </c>
      <c r="D283" s="5">
        <v>13.2</v>
      </c>
      <c r="G283" s="5">
        <v>7.38</v>
      </c>
      <c r="I283" s="5">
        <v>0.42</v>
      </c>
    </row>
    <row r="284">
      <c r="A284" s="4"/>
    </row>
    <row r="285">
      <c r="A285" s="4" t="s">
        <v>463</v>
      </c>
      <c r="B285" s="5">
        <v>3140.0</v>
      </c>
      <c r="C285" s="5">
        <v>37.3</v>
      </c>
      <c r="D285" s="5">
        <v>19.3</v>
      </c>
      <c r="G285" s="5">
        <v>13.39</v>
      </c>
      <c r="I285" s="5">
        <v>1.51</v>
      </c>
    </row>
    <row r="286">
      <c r="A286" s="4" t="s">
        <v>464</v>
      </c>
      <c r="B286" s="5">
        <v>3139.0</v>
      </c>
      <c r="C286" s="5">
        <v>27.5</v>
      </c>
      <c r="D286" s="5">
        <v>16.3</v>
      </c>
      <c r="G286" s="5">
        <v>11.14</v>
      </c>
      <c r="I286" s="5">
        <v>1.43</v>
      </c>
    </row>
    <row r="287">
      <c r="A287" s="4" t="s">
        <v>1545</v>
      </c>
      <c r="B287" s="5">
        <v>3138.0</v>
      </c>
      <c r="C287" s="5">
        <v>24.9</v>
      </c>
      <c r="D287" s="5">
        <v>12.8</v>
      </c>
      <c r="G287" s="5">
        <v>9.67</v>
      </c>
      <c r="I287" s="5">
        <v>0.6</v>
      </c>
    </row>
    <row r="288">
      <c r="A288" s="4" t="s">
        <v>465</v>
      </c>
      <c r="B288" s="5">
        <v>3134.0</v>
      </c>
      <c r="C288" s="5">
        <v>20.3</v>
      </c>
      <c r="D288" s="5">
        <v>18.3</v>
      </c>
      <c r="G288" s="5">
        <v>10.53</v>
      </c>
      <c r="I288" s="5">
        <v>0.85</v>
      </c>
    </row>
    <row r="289">
      <c r="A289" s="4" t="s">
        <v>1548</v>
      </c>
      <c r="B289" s="5">
        <v>3137.0</v>
      </c>
      <c r="C289" s="5">
        <v>15.2</v>
      </c>
      <c r="D289" s="5">
        <v>17.5</v>
      </c>
      <c r="G289" s="5">
        <v>7.94</v>
      </c>
      <c r="I289" s="5">
        <v>0.41</v>
      </c>
    </row>
    <row r="290">
      <c r="A290" s="4" t="s">
        <v>466</v>
      </c>
      <c r="B290" s="5">
        <v>3136.0</v>
      </c>
      <c r="C290" s="5">
        <v>20.6</v>
      </c>
      <c r="D290" s="5">
        <v>20.8</v>
      </c>
      <c r="G290" s="5">
        <v>7.18</v>
      </c>
      <c r="I290" s="5">
        <v>0.28</v>
      </c>
    </row>
    <row r="291">
      <c r="A291" s="4" t="s">
        <v>468</v>
      </c>
      <c r="B291" s="5">
        <v>3133.0</v>
      </c>
      <c r="C291" s="5">
        <v>19.2</v>
      </c>
      <c r="D291" s="5">
        <v>13.1</v>
      </c>
      <c r="G291" s="5">
        <v>7.65</v>
      </c>
      <c r="I291" s="5">
        <v>0.31</v>
      </c>
    </row>
    <row r="292">
      <c r="A292" s="4" t="s">
        <v>1550</v>
      </c>
      <c r="B292" s="5">
        <v>3135.0</v>
      </c>
      <c r="C292" s="5">
        <v>19.6</v>
      </c>
      <c r="D292" s="5">
        <v>17.0</v>
      </c>
      <c r="G292" s="5">
        <v>7.92</v>
      </c>
      <c r="I292" s="5">
        <v>0.28</v>
      </c>
    </row>
    <row r="293">
      <c r="A293" s="4" t="s">
        <v>467</v>
      </c>
      <c r="B293" s="5">
        <v>3132.0</v>
      </c>
      <c r="C293" s="5">
        <v>21.7</v>
      </c>
      <c r="D293" s="5">
        <v>14.2</v>
      </c>
      <c r="G293" s="5">
        <v>9.5</v>
      </c>
      <c r="I293" s="5">
        <v>0.5</v>
      </c>
    </row>
    <row r="294">
      <c r="A294" s="4" t="s">
        <v>469</v>
      </c>
      <c r="B294" s="5">
        <v>3131.0</v>
      </c>
      <c r="C294" s="5">
        <v>16.9</v>
      </c>
      <c r="D294" s="5">
        <v>10.6</v>
      </c>
      <c r="G294" s="5">
        <v>7.46</v>
      </c>
      <c r="I294" s="5">
        <v>0.31</v>
      </c>
    </row>
    <row r="295">
      <c r="A295" s="4"/>
    </row>
    <row r="296">
      <c r="A296" s="4" t="s">
        <v>475</v>
      </c>
      <c r="B296" s="5">
        <v>3145.0</v>
      </c>
      <c r="C296" s="5">
        <v>36.2</v>
      </c>
      <c r="D296" s="5">
        <v>20.0</v>
      </c>
      <c r="G296" s="5">
        <v>10.67</v>
      </c>
      <c r="I296" s="5">
        <v>0.96</v>
      </c>
    </row>
    <row r="297">
      <c r="A297" s="4" t="s">
        <v>476</v>
      </c>
      <c r="B297" s="5">
        <v>3144.0</v>
      </c>
      <c r="C297" s="5">
        <v>29.3</v>
      </c>
      <c r="D297" s="5">
        <v>18.2</v>
      </c>
      <c r="G297" s="5">
        <v>8.99</v>
      </c>
      <c r="I297" s="5">
        <v>0.58</v>
      </c>
    </row>
    <row r="298">
      <c r="A298" s="4" t="s">
        <v>1955</v>
      </c>
      <c r="B298" s="5">
        <v>3143.0</v>
      </c>
      <c r="C298" s="5">
        <v>17.2</v>
      </c>
      <c r="D298" s="5">
        <v>11.6</v>
      </c>
      <c r="G298" s="5">
        <v>7.04</v>
      </c>
      <c r="I298" s="5">
        <v>0.18</v>
      </c>
    </row>
    <row r="299">
      <c r="A299" s="4" t="s">
        <v>478</v>
      </c>
      <c r="B299" s="5">
        <v>3142.0</v>
      </c>
      <c r="C299" s="5">
        <v>20.1</v>
      </c>
      <c r="D299" s="5">
        <v>13.6</v>
      </c>
      <c r="G299" s="5">
        <v>8.44</v>
      </c>
      <c r="I299" s="5">
        <v>0.49</v>
      </c>
    </row>
    <row r="300">
      <c r="A300" s="4"/>
    </row>
    <row r="301">
      <c r="A301" s="4" t="s">
        <v>496</v>
      </c>
    </row>
    <row r="302">
      <c r="A302" s="4" t="s">
        <v>497</v>
      </c>
    </row>
    <row r="303">
      <c r="A303" s="4" t="s">
        <v>504</v>
      </c>
    </row>
    <row r="304">
      <c r="A304" s="4"/>
    </row>
    <row r="305">
      <c r="A305" s="4" t="s">
        <v>517</v>
      </c>
    </row>
    <row r="306">
      <c r="A306" s="4" t="s">
        <v>518</v>
      </c>
    </row>
    <row r="307">
      <c r="A307" s="4" t="s">
        <v>519</v>
      </c>
    </row>
    <row r="308">
      <c r="A308" s="4"/>
    </row>
    <row r="309">
      <c r="A309" s="4" t="s">
        <v>537</v>
      </c>
    </row>
    <row r="310">
      <c r="A310" s="4" t="s">
        <v>538</v>
      </c>
    </row>
    <row r="311">
      <c r="A311" s="4" t="s">
        <v>541</v>
      </c>
    </row>
    <row r="312">
      <c r="A312" s="4"/>
    </row>
    <row r="313">
      <c r="A313" s="4" t="s">
        <v>557</v>
      </c>
    </row>
    <row r="314">
      <c r="A314" s="4" t="s">
        <v>558</v>
      </c>
    </row>
    <row r="315">
      <c r="A315" s="4" t="s">
        <v>560</v>
      </c>
    </row>
    <row r="316">
      <c r="A316" s="4"/>
    </row>
    <row r="317">
      <c r="A317" s="4" t="s">
        <v>572</v>
      </c>
    </row>
    <row r="318">
      <c r="A318" s="4"/>
    </row>
    <row r="319">
      <c r="A319" s="4"/>
    </row>
    <row r="320">
      <c r="A320" s="4" t="s">
        <v>754</v>
      </c>
      <c r="B320" s="5">
        <v>2676.0</v>
      </c>
      <c r="C320" s="5">
        <v>19.1</v>
      </c>
      <c r="D320" s="5">
        <v>13.5</v>
      </c>
      <c r="G320" s="5">
        <v>25.14</v>
      </c>
      <c r="H320" s="5">
        <v>4.0</v>
      </c>
      <c r="I320" s="5">
        <v>8.17</v>
      </c>
      <c r="K320" s="2" t="s">
        <v>14</v>
      </c>
    </row>
    <row r="321">
      <c r="A321" s="4" t="s">
        <v>755</v>
      </c>
      <c r="B321" s="5">
        <v>2675.0</v>
      </c>
      <c r="C321" s="5">
        <v>21.6</v>
      </c>
      <c r="D321" s="5">
        <v>16.5</v>
      </c>
      <c r="G321" s="5">
        <v>19.91</v>
      </c>
      <c r="I321" s="5">
        <v>4.86</v>
      </c>
      <c r="K321" s="6">
        <f>counta(I320:I496)</f>
        <v>143</v>
      </c>
    </row>
    <row r="322">
      <c r="A322" s="4" t="s">
        <v>756</v>
      </c>
      <c r="B322" s="5">
        <v>2663.0</v>
      </c>
      <c r="C322" s="5">
        <v>20.9</v>
      </c>
      <c r="D322" s="5">
        <v>19.9</v>
      </c>
      <c r="G322" s="5">
        <v>16.16</v>
      </c>
      <c r="I322" s="5">
        <v>2.53</v>
      </c>
      <c r="K322" s="6">
        <f>sum(I320:I496)/K321</f>
        <v>0.9611888112</v>
      </c>
    </row>
    <row r="323">
      <c r="A323" s="4" t="s">
        <v>758</v>
      </c>
      <c r="B323" s="5">
        <v>2651.0</v>
      </c>
      <c r="C323" s="5">
        <v>21.5</v>
      </c>
      <c r="D323" s="5">
        <v>15.3</v>
      </c>
      <c r="G323" s="5">
        <v>10.1</v>
      </c>
      <c r="I323" s="5">
        <v>1.61</v>
      </c>
    </row>
    <row r="324">
      <c r="A324" s="4" t="s">
        <v>759</v>
      </c>
      <c r="B324" s="5">
        <v>2669.0</v>
      </c>
      <c r="C324" s="5">
        <v>30.3</v>
      </c>
      <c r="D324" s="5">
        <v>19.4</v>
      </c>
      <c r="G324" s="5">
        <v>10.45</v>
      </c>
      <c r="I324" s="5">
        <v>1.11</v>
      </c>
    </row>
    <row r="325">
      <c r="A325" s="4" t="s">
        <v>1337</v>
      </c>
      <c r="B325" s="5">
        <v>2674.0</v>
      </c>
      <c r="C325" s="5">
        <v>29.0</v>
      </c>
      <c r="D325" s="5">
        <v>17.1</v>
      </c>
      <c r="E325" s="5">
        <v>16.1</v>
      </c>
      <c r="I325" s="5">
        <v>0.74</v>
      </c>
    </row>
    <row r="326">
      <c r="A326" s="4" t="s">
        <v>757</v>
      </c>
      <c r="B326" s="5">
        <v>2671.0</v>
      </c>
      <c r="C326" s="5">
        <v>31.0</v>
      </c>
      <c r="D326" s="5">
        <v>20.3</v>
      </c>
      <c r="G326" s="5">
        <v>11.95</v>
      </c>
      <c r="I326" s="5">
        <v>2.08</v>
      </c>
    </row>
    <row r="327">
      <c r="A327" s="4" t="s">
        <v>760</v>
      </c>
      <c r="B327" s="5">
        <v>2666.0</v>
      </c>
      <c r="C327" s="5">
        <v>21.2</v>
      </c>
      <c r="D327" s="5">
        <v>15.9</v>
      </c>
      <c r="G327" s="5">
        <v>12.01</v>
      </c>
      <c r="I327" s="5">
        <v>1.21</v>
      </c>
    </row>
    <row r="328">
      <c r="A328" s="4" t="s">
        <v>761</v>
      </c>
      <c r="B328" s="5">
        <v>2672.0</v>
      </c>
      <c r="C328" s="5">
        <v>29.2</v>
      </c>
      <c r="D328" s="5">
        <v>23.0</v>
      </c>
      <c r="I328" s="5">
        <v>0.73</v>
      </c>
    </row>
    <row r="329">
      <c r="A329" s="4" t="s">
        <v>1338</v>
      </c>
    </row>
    <row r="330">
      <c r="A330" s="4" t="s">
        <v>770</v>
      </c>
      <c r="B330" s="5">
        <v>2649.0</v>
      </c>
      <c r="C330" s="5">
        <v>28.4</v>
      </c>
      <c r="D330" s="5">
        <v>17.4</v>
      </c>
      <c r="G330" s="5">
        <v>11.01</v>
      </c>
      <c r="I330" s="5">
        <v>0.74</v>
      </c>
    </row>
    <row r="331">
      <c r="A331" s="4" t="s">
        <v>764</v>
      </c>
      <c r="B331" s="5">
        <v>2655.0</v>
      </c>
      <c r="C331" s="5">
        <v>18.6</v>
      </c>
      <c r="D331" s="5">
        <v>13.0</v>
      </c>
      <c r="G331" s="5">
        <v>11.52</v>
      </c>
      <c r="I331" s="5">
        <v>0.74</v>
      </c>
    </row>
    <row r="332">
      <c r="A332" s="4" t="s">
        <v>1563</v>
      </c>
      <c r="B332" s="5">
        <v>2670.0</v>
      </c>
      <c r="C332" s="5">
        <v>28.35</v>
      </c>
      <c r="D332" s="5">
        <v>18.4</v>
      </c>
      <c r="G332" s="5">
        <v>9.68</v>
      </c>
      <c r="I332" s="5">
        <v>0.31</v>
      </c>
    </row>
    <row r="333">
      <c r="A333" s="4" t="s">
        <v>1339</v>
      </c>
      <c r="B333" s="5">
        <v>2662.0</v>
      </c>
      <c r="C333" s="5">
        <v>14.4</v>
      </c>
      <c r="D333" s="5">
        <v>12.7</v>
      </c>
      <c r="G333" s="5">
        <v>11.8</v>
      </c>
      <c r="I333" s="5">
        <v>0.92</v>
      </c>
    </row>
    <row r="334">
      <c r="A334" s="4" t="s">
        <v>1340</v>
      </c>
    </row>
    <row r="335">
      <c r="A335" s="4" t="s">
        <v>762</v>
      </c>
      <c r="B335" s="5">
        <v>2659.0</v>
      </c>
      <c r="C335" s="5">
        <v>19.8</v>
      </c>
      <c r="D335" s="5">
        <v>15.1</v>
      </c>
      <c r="G335" s="5">
        <v>10.55</v>
      </c>
      <c r="I335" s="5">
        <v>0.77</v>
      </c>
    </row>
    <row r="336">
      <c r="A336" s="4" t="s">
        <v>765</v>
      </c>
      <c r="B336" s="5">
        <v>2665.0</v>
      </c>
      <c r="C336" s="5">
        <v>30.1</v>
      </c>
      <c r="D336" s="5">
        <v>20.0</v>
      </c>
      <c r="G336" s="5">
        <v>9.32</v>
      </c>
      <c r="I336" s="5">
        <v>0.65</v>
      </c>
    </row>
    <row r="337">
      <c r="A337" s="4" t="s">
        <v>763</v>
      </c>
      <c r="B337" s="5">
        <v>2668.0</v>
      </c>
      <c r="C337" s="5">
        <v>22.3</v>
      </c>
      <c r="D337" s="5">
        <v>16.5</v>
      </c>
      <c r="G337" s="5">
        <v>10.37</v>
      </c>
      <c r="I337" s="5">
        <v>0.69</v>
      </c>
    </row>
    <row r="338">
      <c r="A338" s="4" t="s">
        <v>1569</v>
      </c>
      <c r="B338" s="5">
        <v>2673.0</v>
      </c>
      <c r="C338" s="5">
        <v>30.4</v>
      </c>
      <c r="D338" s="5">
        <v>20.9</v>
      </c>
      <c r="G338" s="5">
        <v>8.77</v>
      </c>
      <c r="I338" s="5">
        <v>0.45</v>
      </c>
    </row>
    <row r="339">
      <c r="A339" s="4" t="s">
        <v>1561</v>
      </c>
      <c r="B339" s="5">
        <v>2661.0</v>
      </c>
      <c r="C339" s="5">
        <v>12.8</v>
      </c>
      <c r="D339" s="5">
        <v>10.2</v>
      </c>
      <c r="E339" s="5">
        <v>10.8</v>
      </c>
      <c r="G339" s="5">
        <v>12.29</v>
      </c>
      <c r="I339" s="5">
        <v>1.2</v>
      </c>
    </row>
    <row r="340">
      <c r="A340" s="4" t="s">
        <v>1898</v>
      </c>
      <c r="B340" s="5">
        <v>2640.0</v>
      </c>
      <c r="C340" s="5">
        <v>22.6</v>
      </c>
      <c r="D340" s="5">
        <v>15.7</v>
      </c>
      <c r="G340" s="5">
        <v>7.33</v>
      </c>
      <c r="I340" s="5">
        <v>0.43</v>
      </c>
    </row>
    <row r="341">
      <c r="A341" s="4" t="s">
        <v>1761</v>
      </c>
      <c r="B341" s="5">
        <v>2664.0</v>
      </c>
      <c r="C341" s="5">
        <v>14.9</v>
      </c>
      <c r="D341" s="5">
        <v>17.0</v>
      </c>
      <c r="G341" s="5">
        <v>7.7</v>
      </c>
      <c r="I341" s="5">
        <v>0.26</v>
      </c>
    </row>
    <row r="342">
      <c r="A342" s="4" t="s">
        <v>766</v>
      </c>
      <c r="B342" s="5">
        <v>2647.0</v>
      </c>
      <c r="C342" s="5">
        <v>16.8</v>
      </c>
      <c r="D342" s="5">
        <v>12.6</v>
      </c>
      <c r="G342" s="5">
        <v>8.54</v>
      </c>
      <c r="I342" s="5">
        <v>0.57</v>
      </c>
    </row>
    <row r="343">
      <c r="A343" s="4" t="s">
        <v>1343</v>
      </c>
      <c r="B343" s="5">
        <v>2643.0</v>
      </c>
      <c r="C343" s="5">
        <v>16.8</v>
      </c>
      <c r="D343" s="5">
        <v>13.6</v>
      </c>
      <c r="G343" s="5">
        <v>7.07</v>
      </c>
      <c r="I343" s="5">
        <v>0.54</v>
      </c>
    </row>
    <row r="344">
      <c r="A344" s="4" t="s">
        <v>768</v>
      </c>
      <c r="B344" s="5">
        <v>2653.0</v>
      </c>
      <c r="C344" s="5">
        <v>15.8</v>
      </c>
      <c r="D344" s="5">
        <v>14.5</v>
      </c>
      <c r="G344" s="5">
        <v>9.29</v>
      </c>
      <c r="I344" s="5">
        <v>0.54</v>
      </c>
    </row>
    <row r="345">
      <c r="A345" s="4" t="s">
        <v>1567</v>
      </c>
      <c r="B345" s="5">
        <v>2652.0</v>
      </c>
      <c r="C345" s="5">
        <v>19.1</v>
      </c>
      <c r="D345" s="5">
        <v>15.6</v>
      </c>
      <c r="G345" s="5">
        <v>8.96</v>
      </c>
      <c r="I345" s="5">
        <v>0.42</v>
      </c>
    </row>
    <row r="346">
      <c r="A346" s="4" t="s">
        <v>1347</v>
      </c>
      <c r="B346" s="5">
        <v>2646.0</v>
      </c>
      <c r="C346" s="5">
        <v>18.4</v>
      </c>
      <c r="D346" s="5">
        <v>12.7</v>
      </c>
      <c r="G346" s="5">
        <v>8.52</v>
      </c>
      <c r="I346" s="5">
        <v>0.61</v>
      </c>
    </row>
    <row r="347">
      <c r="A347" s="4" t="s">
        <v>1570</v>
      </c>
      <c r="B347" s="5">
        <v>2667.0</v>
      </c>
      <c r="C347" s="5">
        <v>21.1</v>
      </c>
      <c r="D347" s="5">
        <v>13.4</v>
      </c>
      <c r="G347" s="5">
        <v>9.32</v>
      </c>
      <c r="I347" s="5">
        <v>0.5</v>
      </c>
    </row>
    <row r="348">
      <c r="A348" s="4" t="s">
        <v>767</v>
      </c>
      <c r="B348" s="5">
        <v>2658.0</v>
      </c>
      <c r="C348" s="5">
        <v>19.8</v>
      </c>
      <c r="D348" s="5">
        <v>15.3</v>
      </c>
      <c r="G348" s="5">
        <v>7.28</v>
      </c>
      <c r="I348" s="5">
        <v>0.3</v>
      </c>
    </row>
    <row r="349">
      <c r="A349" s="4" t="s">
        <v>1342</v>
      </c>
    </row>
    <row r="350">
      <c r="A350" s="4" t="s">
        <v>769</v>
      </c>
      <c r="B350" s="5">
        <v>2656.0</v>
      </c>
      <c r="C350" s="5">
        <v>17.0</v>
      </c>
      <c r="D350" s="5">
        <v>16.1</v>
      </c>
      <c r="G350" s="5">
        <v>9.11</v>
      </c>
      <c r="I350" s="5">
        <v>0.58</v>
      </c>
    </row>
    <row r="351">
      <c r="A351" s="4" t="s">
        <v>1956</v>
      </c>
    </row>
    <row r="352">
      <c r="A352" s="4" t="s">
        <v>1350</v>
      </c>
    </row>
    <row r="353">
      <c r="A353" s="4" t="s">
        <v>1568</v>
      </c>
      <c r="B353" s="5">
        <v>2638.0</v>
      </c>
      <c r="C353" s="5">
        <v>12.8</v>
      </c>
      <c r="D353" s="5">
        <v>10.5</v>
      </c>
      <c r="G353" s="5">
        <v>7.43</v>
      </c>
      <c r="I353" s="5">
        <v>0.37</v>
      </c>
    </row>
    <row r="354">
      <c r="A354" s="4" t="s">
        <v>1572</v>
      </c>
      <c r="B354" s="5">
        <v>2645.0</v>
      </c>
      <c r="C354" s="5">
        <v>12.0</v>
      </c>
      <c r="D354" s="5">
        <v>13.3</v>
      </c>
      <c r="G354" s="5">
        <v>5.85</v>
      </c>
      <c r="I354" s="5">
        <v>0.29</v>
      </c>
    </row>
    <row r="355">
      <c r="A355" s="4" t="s">
        <v>1340</v>
      </c>
      <c r="B355" s="5">
        <v>2554.0</v>
      </c>
      <c r="C355" s="5">
        <v>10.4</v>
      </c>
      <c r="D355" s="5">
        <v>13.6</v>
      </c>
      <c r="G355" s="5">
        <v>5.69</v>
      </c>
      <c r="I355" s="5">
        <v>2.45</v>
      </c>
    </row>
    <row r="356">
      <c r="A356" s="4" t="s">
        <v>1772</v>
      </c>
      <c r="B356" s="5">
        <v>2657.0</v>
      </c>
      <c r="C356" s="5">
        <v>7.0</v>
      </c>
      <c r="D356" s="5">
        <v>10.2</v>
      </c>
      <c r="G356" s="5">
        <v>6.01</v>
      </c>
      <c r="I356" s="5">
        <v>0.16</v>
      </c>
    </row>
    <row r="357">
      <c r="A357" s="4" t="s">
        <v>1348</v>
      </c>
      <c r="B357" s="5">
        <v>2639.0</v>
      </c>
      <c r="C357" s="5">
        <v>12.6</v>
      </c>
      <c r="D357" s="5">
        <v>9.7</v>
      </c>
      <c r="G357" s="5">
        <v>7.37</v>
      </c>
      <c r="I357" s="5">
        <v>0.43</v>
      </c>
    </row>
    <row r="358">
      <c r="A358" s="4" t="s">
        <v>1845</v>
      </c>
      <c r="B358" s="5">
        <v>2660.0</v>
      </c>
      <c r="C358" s="5">
        <v>14.4</v>
      </c>
      <c r="D358" s="5">
        <v>14.1</v>
      </c>
      <c r="G358" s="5">
        <v>7.16</v>
      </c>
      <c r="I358" s="5">
        <v>0.37</v>
      </c>
    </row>
    <row r="359">
      <c r="A359" s="4" t="s">
        <v>1351</v>
      </c>
      <c r="B359" s="5">
        <v>2644.0</v>
      </c>
      <c r="C359" s="5">
        <v>12.6</v>
      </c>
      <c r="D359" s="5">
        <v>13.0</v>
      </c>
      <c r="G359" s="5">
        <v>8.42</v>
      </c>
      <c r="I359" s="5">
        <v>0.47</v>
      </c>
    </row>
    <row r="360">
      <c r="A360" s="4" t="s">
        <v>1957</v>
      </c>
      <c r="B360" s="5">
        <v>2642.0</v>
      </c>
      <c r="C360" s="5">
        <v>9.9</v>
      </c>
      <c r="D360" s="5">
        <v>10.5</v>
      </c>
      <c r="G360" s="5">
        <v>6.91</v>
      </c>
      <c r="I360" s="5">
        <v>0.28</v>
      </c>
    </row>
    <row r="361">
      <c r="A361" s="4" t="s">
        <v>1899</v>
      </c>
      <c r="B361" s="5">
        <v>2641.0</v>
      </c>
      <c r="C361" s="5">
        <v>13.7</v>
      </c>
      <c r="D361" s="5">
        <v>11.8</v>
      </c>
      <c r="G361" s="5">
        <v>7.64</v>
      </c>
      <c r="I361" s="5">
        <v>0.37</v>
      </c>
    </row>
    <row r="362">
      <c r="A362" s="4" t="s">
        <v>1759</v>
      </c>
    </row>
    <row r="363">
      <c r="A363" s="4" t="s">
        <v>1958</v>
      </c>
    </row>
    <row r="364">
      <c r="A364" s="4" t="s">
        <v>1959</v>
      </c>
    </row>
    <row r="365">
      <c r="A365" s="4" t="s">
        <v>1785</v>
      </c>
      <c r="B365" s="5">
        <v>2635.0</v>
      </c>
      <c r="C365" s="5">
        <v>11.1</v>
      </c>
      <c r="D365" s="5">
        <v>7.5</v>
      </c>
      <c r="G365" s="5">
        <v>4.43</v>
      </c>
      <c r="I365" s="5">
        <v>0.12</v>
      </c>
    </row>
    <row r="366">
      <c r="A366" s="4" t="s">
        <v>1960</v>
      </c>
      <c r="B366" s="5">
        <v>2634.0</v>
      </c>
      <c r="C366" s="5">
        <v>13.0</v>
      </c>
      <c r="D366" s="5">
        <v>7.8</v>
      </c>
      <c r="G366" s="5">
        <v>5.1</v>
      </c>
      <c r="I366" s="5">
        <v>0.11</v>
      </c>
    </row>
    <row r="367">
      <c r="A367" s="4" t="s">
        <v>1961</v>
      </c>
      <c r="B367" s="5">
        <v>2637.0</v>
      </c>
      <c r="C367" s="5">
        <v>12.9</v>
      </c>
      <c r="D367" s="5">
        <v>8.7</v>
      </c>
      <c r="G367" s="5">
        <v>5.39</v>
      </c>
      <c r="I367" s="5">
        <v>0.22</v>
      </c>
    </row>
    <row r="368">
      <c r="A368" s="4" t="s">
        <v>1962</v>
      </c>
      <c r="B368" s="5">
        <v>2636.0</v>
      </c>
      <c r="C368" s="5">
        <v>15.2</v>
      </c>
      <c r="D368" s="5">
        <v>9.5</v>
      </c>
      <c r="G368" s="5">
        <v>6.08</v>
      </c>
      <c r="I368" s="5">
        <v>0.33</v>
      </c>
    </row>
    <row r="369">
      <c r="A369" s="4" t="s">
        <v>1963</v>
      </c>
      <c r="B369" s="5">
        <v>2648.0</v>
      </c>
      <c r="C369" s="5">
        <v>15.4</v>
      </c>
      <c r="D369" s="5">
        <v>11.0</v>
      </c>
      <c r="G369" s="5">
        <v>6.18</v>
      </c>
      <c r="I369" s="5">
        <v>0.31</v>
      </c>
    </row>
    <row r="370">
      <c r="A370" s="4" t="s">
        <v>1562</v>
      </c>
      <c r="B370" s="5">
        <v>2650.0</v>
      </c>
      <c r="C370" s="5">
        <v>21.9</v>
      </c>
      <c r="D370" s="5">
        <v>11.4</v>
      </c>
      <c r="G370" s="5">
        <v>5.44</v>
      </c>
      <c r="I370" s="5">
        <v>0.23</v>
      </c>
    </row>
    <row r="371">
      <c r="A371" s="4"/>
    </row>
    <row r="372">
      <c r="A372" s="4" t="s">
        <v>771</v>
      </c>
      <c r="B372" s="5">
        <v>2831.0</v>
      </c>
      <c r="C372" s="5">
        <v>21.1</v>
      </c>
      <c r="D372" s="5">
        <v>10.8</v>
      </c>
      <c r="G372" s="5">
        <v>21.87</v>
      </c>
      <c r="I372" s="5">
        <v>8.42</v>
      </c>
    </row>
    <row r="373">
      <c r="A373" s="4" t="s">
        <v>772</v>
      </c>
      <c r="B373" s="5">
        <v>2827.0</v>
      </c>
      <c r="C373" s="5">
        <v>17.9</v>
      </c>
      <c r="D373" s="5">
        <v>14.6</v>
      </c>
      <c r="G373" s="5">
        <v>17.8</v>
      </c>
      <c r="I373" s="5">
        <v>4.17</v>
      </c>
    </row>
    <row r="374">
      <c r="A374" s="4" t="s">
        <v>773</v>
      </c>
      <c r="B374" s="5">
        <v>2830.0</v>
      </c>
      <c r="C374" s="5">
        <v>21.1</v>
      </c>
      <c r="D374" s="5">
        <v>15.1</v>
      </c>
      <c r="E374" s="5">
        <v>15.5</v>
      </c>
      <c r="G374" s="5">
        <v>12.32</v>
      </c>
      <c r="I374" s="5">
        <v>1.72</v>
      </c>
    </row>
    <row r="375">
      <c r="A375" s="4" t="s">
        <v>774</v>
      </c>
      <c r="B375" s="5">
        <v>2822.0</v>
      </c>
      <c r="C375" s="5">
        <v>26.8</v>
      </c>
      <c r="D375" s="5">
        <v>21.7</v>
      </c>
      <c r="G375" s="5">
        <v>18.16</v>
      </c>
      <c r="I375" s="5">
        <v>2.97</v>
      </c>
    </row>
    <row r="376">
      <c r="A376" s="4" t="s">
        <v>1354</v>
      </c>
      <c r="B376" s="5">
        <v>2828.0</v>
      </c>
      <c r="C376" s="5">
        <v>17.9</v>
      </c>
      <c r="D376" s="5">
        <v>23.9</v>
      </c>
      <c r="E376" s="5">
        <v>25.6</v>
      </c>
      <c r="G376" s="5">
        <v>12.94</v>
      </c>
      <c r="I376" s="5">
        <v>1.31</v>
      </c>
    </row>
    <row r="377">
      <c r="A377" s="4" t="s">
        <v>1353</v>
      </c>
      <c r="B377" s="5">
        <v>2823.0</v>
      </c>
      <c r="C377" s="5">
        <v>32.9</v>
      </c>
      <c r="D377" s="5">
        <v>24.9</v>
      </c>
      <c r="G377" s="5">
        <v>17.33</v>
      </c>
      <c r="I377" s="5">
        <v>3.21</v>
      </c>
    </row>
    <row r="378">
      <c r="A378" s="4" t="s">
        <v>778</v>
      </c>
      <c r="B378" s="5">
        <v>2825.0</v>
      </c>
      <c r="C378" s="5">
        <v>24.0</v>
      </c>
      <c r="D378" s="5">
        <v>22.9</v>
      </c>
      <c r="G378" s="5">
        <v>12.27</v>
      </c>
      <c r="I378" s="5">
        <v>1.19</v>
      </c>
    </row>
    <row r="379">
      <c r="A379" s="4" t="s">
        <v>781</v>
      </c>
      <c r="B379" s="5">
        <v>2805.0</v>
      </c>
      <c r="C379" s="5">
        <v>33.1</v>
      </c>
      <c r="D379" s="5">
        <v>20.5</v>
      </c>
      <c r="G379" s="5">
        <v>9.98</v>
      </c>
      <c r="I379" s="5">
        <v>0.75</v>
      </c>
    </row>
    <row r="380">
      <c r="A380" s="4" t="s">
        <v>1794</v>
      </c>
      <c r="B380" s="5">
        <v>2818.0</v>
      </c>
      <c r="C380" s="5">
        <v>32.7</v>
      </c>
      <c r="D380" s="5">
        <v>28.1</v>
      </c>
      <c r="G380" s="5">
        <v>13.41</v>
      </c>
      <c r="I380" s="5">
        <v>1.21</v>
      </c>
    </row>
    <row r="381">
      <c r="A381" s="4" t="s">
        <v>1355</v>
      </c>
      <c r="B381" s="5">
        <v>2816.0</v>
      </c>
      <c r="C381" s="5">
        <v>18.7</v>
      </c>
      <c r="D381" s="5">
        <v>17.5</v>
      </c>
      <c r="G381" s="5">
        <v>11.46</v>
      </c>
      <c r="I381" s="5">
        <v>0.55</v>
      </c>
    </row>
    <row r="382">
      <c r="A382" s="4" t="s">
        <v>1356</v>
      </c>
      <c r="B382" s="5">
        <v>2813.0</v>
      </c>
      <c r="C382" s="5">
        <v>27.4</v>
      </c>
      <c r="D382" s="5">
        <v>19.6</v>
      </c>
      <c r="G382" s="5">
        <v>15.64</v>
      </c>
      <c r="I382" s="5">
        <v>1.6</v>
      </c>
    </row>
    <row r="383">
      <c r="A383" s="4" t="s">
        <v>1795</v>
      </c>
      <c r="B383" s="5">
        <v>2824.0</v>
      </c>
      <c r="C383" s="5">
        <v>32.9</v>
      </c>
      <c r="D383" s="5">
        <v>30.4</v>
      </c>
      <c r="E383" s="5">
        <v>17.5</v>
      </c>
      <c r="G383" s="5">
        <v>13.64</v>
      </c>
      <c r="I383" s="5">
        <v>0.78</v>
      </c>
    </row>
    <row r="384">
      <c r="A384" s="4" t="s">
        <v>779</v>
      </c>
      <c r="B384" s="5">
        <v>2808.0</v>
      </c>
      <c r="C384" s="5">
        <v>25.1</v>
      </c>
      <c r="D384" s="5">
        <v>18.0</v>
      </c>
      <c r="G384" s="5">
        <v>12.2</v>
      </c>
      <c r="I384" s="5">
        <v>1.21</v>
      </c>
    </row>
    <row r="385">
      <c r="A385" s="4" t="s">
        <v>1573</v>
      </c>
      <c r="B385" s="5">
        <v>2829.0</v>
      </c>
      <c r="C385" s="5">
        <v>36.8</v>
      </c>
      <c r="D385" s="5">
        <v>22.6</v>
      </c>
      <c r="G385" s="5">
        <v>10.19</v>
      </c>
      <c r="I385" s="5">
        <v>0.51</v>
      </c>
    </row>
    <row r="386">
      <c r="A386" s="4" t="s">
        <v>1884</v>
      </c>
      <c r="B386" s="5">
        <v>2826.0</v>
      </c>
      <c r="C386" s="5">
        <v>27.75</v>
      </c>
      <c r="D386" s="5">
        <v>22.1</v>
      </c>
      <c r="G386" s="5">
        <v>8.42</v>
      </c>
      <c r="I386" s="5">
        <v>0.41</v>
      </c>
    </row>
    <row r="387">
      <c r="A387" s="4" t="s">
        <v>785</v>
      </c>
      <c r="B387" s="5">
        <v>2817.0</v>
      </c>
      <c r="C387" s="5">
        <v>21.7</v>
      </c>
      <c r="D387" s="5">
        <v>18.9</v>
      </c>
      <c r="G387" s="5">
        <v>10.67</v>
      </c>
      <c r="I387" s="5">
        <v>0.86</v>
      </c>
    </row>
    <row r="388">
      <c r="A388" s="4" t="s">
        <v>780</v>
      </c>
      <c r="B388" s="5">
        <v>2695.0</v>
      </c>
      <c r="C388" s="5">
        <v>21.25</v>
      </c>
      <c r="D388" s="5">
        <v>13.5</v>
      </c>
      <c r="G388" s="5">
        <v>9.71</v>
      </c>
      <c r="I388" s="5">
        <v>0.81</v>
      </c>
    </row>
    <row r="389">
      <c r="A389" s="4" t="s">
        <v>1360</v>
      </c>
      <c r="B389" s="5">
        <v>2684.0</v>
      </c>
      <c r="C389" s="5">
        <v>16.0</v>
      </c>
      <c r="D389" s="5">
        <v>11.9</v>
      </c>
      <c r="G389" s="5">
        <v>8.31</v>
      </c>
      <c r="I389" s="5">
        <v>0.4</v>
      </c>
    </row>
    <row r="390">
      <c r="A390" s="4" t="s">
        <v>794</v>
      </c>
      <c r="B390" s="5">
        <v>2698.0</v>
      </c>
      <c r="C390" s="5">
        <v>18.6</v>
      </c>
      <c r="D390" s="5">
        <v>10.9</v>
      </c>
      <c r="G390" s="5">
        <v>8.09</v>
      </c>
      <c r="I390" s="5">
        <v>0.57</v>
      </c>
    </row>
    <row r="391">
      <c r="A391" s="4" t="s">
        <v>1798</v>
      </c>
      <c r="B391" s="5">
        <v>2700.0</v>
      </c>
      <c r="C391" s="5">
        <v>21.9</v>
      </c>
      <c r="D391" s="5">
        <v>15.0</v>
      </c>
      <c r="G391" s="5">
        <v>13.08</v>
      </c>
      <c r="I391" s="5">
        <v>0.74</v>
      </c>
    </row>
    <row r="392">
      <c r="A392" s="4" t="s">
        <v>1803</v>
      </c>
      <c r="B392" s="5">
        <v>2692.0</v>
      </c>
      <c r="C392" s="5">
        <v>18.8</v>
      </c>
      <c r="D392" s="5">
        <v>13.0</v>
      </c>
      <c r="G392" s="5">
        <v>9.27</v>
      </c>
      <c r="I392" s="5">
        <v>0.66</v>
      </c>
    </row>
    <row r="393">
      <c r="A393" s="4" t="s">
        <v>1357</v>
      </c>
      <c r="B393" s="5">
        <v>2686.0</v>
      </c>
      <c r="C393" s="5">
        <v>16.2</v>
      </c>
      <c r="D393" s="5">
        <v>14.9</v>
      </c>
      <c r="G393" s="5">
        <v>9.26</v>
      </c>
      <c r="I393" s="5">
        <v>0.41</v>
      </c>
    </row>
    <row r="394">
      <c r="A394" s="4" t="s">
        <v>1574</v>
      </c>
      <c r="B394" s="5">
        <v>2820.0</v>
      </c>
      <c r="C394" s="5">
        <v>23.2</v>
      </c>
      <c r="D394" s="5">
        <v>26.6</v>
      </c>
      <c r="G394" s="5">
        <v>10.99</v>
      </c>
      <c r="I394" s="5">
        <v>0.53</v>
      </c>
    </row>
    <row r="395">
      <c r="A395" s="4" t="s">
        <v>1359</v>
      </c>
      <c r="B395" s="5">
        <v>2801.0</v>
      </c>
      <c r="C395" s="5">
        <v>22.4</v>
      </c>
      <c r="D395" s="5">
        <v>16.85</v>
      </c>
      <c r="G395" s="5">
        <v>13.17</v>
      </c>
      <c r="I395" s="5">
        <v>1.16</v>
      </c>
    </row>
    <row r="396">
      <c r="A396" s="4" t="s">
        <v>1363</v>
      </c>
      <c r="B396" s="5">
        <v>2687.0</v>
      </c>
      <c r="C396" s="5">
        <v>18.4</v>
      </c>
      <c r="D396" s="5">
        <v>12.3</v>
      </c>
      <c r="G396" s="5">
        <v>9.9</v>
      </c>
      <c r="I396" s="5">
        <v>0.86</v>
      </c>
    </row>
    <row r="397">
      <c r="A397" s="4" t="s">
        <v>777</v>
      </c>
      <c r="B397" s="5">
        <v>2814.0</v>
      </c>
      <c r="C397" s="5">
        <v>31.8</v>
      </c>
      <c r="D397" s="5">
        <v>19.9</v>
      </c>
      <c r="G397" s="5">
        <v>11.32</v>
      </c>
      <c r="I397" s="5">
        <v>0.59</v>
      </c>
    </row>
    <row r="398">
      <c r="A398" s="4" t="s">
        <v>782</v>
      </c>
      <c r="B398" s="5">
        <v>2691.0</v>
      </c>
      <c r="C398" s="5">
        <v>19.8</v>
      </c>
      <c r="D398" s="5">
        <v>13.3</v>
      </c>
      <c r="G398" s="5">
        <v>10.68</v>
      </c>
      <c r="I398" s="5">
        <v>0.55</v>
      </c>
    </row>
    <row r="399">
      <c r="A399" s="4" t="s">
        <v>1885</v>
      </c>
      <c r="B399" s="5">
        <v>2819.0</v>
      </c>
      <c r="C399" s="5">
        <v>20.0</v>
      </c>
      <c r="D399" s="5">
        <v>13.6</v>
      </c>
      <c r="G399" s="5">
        <v>7.39</v>
      </c>
      <c r="I399" s="5">
        <v>0.37</v>
      </c>
    </row>
    <row r="400">
      <c r="A400" s="4" t="s">
        <v>786</v>
      </c>
      <c r="B400" s="5">
        <v>2807.0</v>
      </c>
      <c r="C400" s="5">
        <v>19.4</v>
      </c>
      <c r="D400" s="5">
        <v>15.3</v>
      </c>
      <c r="G400" s="5">
        <v>9.87</v>
      </c>
      <c r="I400" s="5">
        <v>1.0</v>
      </c>
    </row>
    <row r="401">
      <c r="A401" s="4" t="s">
        <v>1801</v>
      </c>
      <c r="B401" s="5">
        <v>2815.0</v>
      </c>
      <c r="C401" s="5">
        <v>21.1</v>
      </c>
      <c r="D401" s="5">
        <v>22.05</v>
      </c>
      <c r="G401" s="5">
        <v>8.48</v>
      </c>
      <c r="I401" s="5">
        <v>0.34</v>
      </c>
    </row>
    <row r="402">
      <c r="A402" s="4" t="s">
        <v>1799</v>
      </c>
      <c r="B402" s="5">
        <v>2812.0</v>
      </c>
      <c r="C402" s="5">
        <v>20.2</v>
      </c>
      <c r="D402" s="5">
        <v>14.9</v>
      </c>
      <c r="G402" s="5">
        <v>10.69</v>
      </c>
      <c r="I402" s="5">
        <v>0.58</v>
      </c>
    </row>
    <row r="403">
      <c r="A403" s="4" t="s">
        <v>1964</v>
      </c>
    </row>
    <row r="404">
      <c r="A404" s="4" t="s">
        <v>1813</v>
      </c>
      <c r="B404" s="5">
        <v>2680.0</v>
      </c>
      <c r="C404" s="5">
        <v>17.0</v>
      </c>
      <c r="D404" s="5">
        <v>12.8</v>
      </c>
      <c r="G404" s="5">
        <v>6.77</v>
      </c>
      <c r="I404" s="5">
        <v>0.6</v>
      </c>
    </row>
    <row r="405">
      <c r="A405" s="4" t="s">
        <v>1802</v>
      </c>
      <c r="B405" s="5">
        <v>2804.0</v>
      </c>
      <c r="C405" s="5">
        <v>17.5</v>
      </c>
      <c r="D405" s="5">
        <v>13.0</v>
      </c>
      <c r="G405" s="5">
        <v>6.89</v>
      </c>
      <c r="I405" s="5">
        <v>0.29</v>
      </c>
    </row>
    <row r="406">
      <c r="A406" s="4" t="s">
        <v>1364</v>
      </c>
      <c r="B406" s="5">
        <v>2697.0</v>
      </c>
      <c r="C406" s="5">
        <v>14.6</v>
      </c>
      <c r="D406" s="5">
        <v>14.55</v>
      </c>
      <c r="G406" s="5">
        <v>7.62</v>
      </c>
      <c r="I406" s="5">
        <v>0.29</v>
      </c>
    </row>
    <row r="407">
      <c r="A407" s="4" t="s">
        <v>1361</v>
      </c>
      <c r="B407" s="5">
        <v>2685.0</v>
      </c>
      <c r="C407" s="5">
        <v>12.6</v>
      </c>
      <c r="D407" s="5">
        <v>10.2</v>
      </c>
      <c r="G407" s="5">
        <v>6.69</v>
      </c>
      <c r="I407" s="5">
        <v>0.34</v>
      </c>
    </row>
    <row r="408">
      <c r="A408" s="4" t="s">
        <v>1579</v>
      </c>
      <c r="B408" s="5">
        <v>2682.0</v>
      </c>
      <c r="C408" s="5">
        <v>12.6</v>
      </c>
      <c r="D408" s="5">
        <v>13.2</v>
      </c>
      <c r="G408" s="5">
        <v>8.16</v>
      </c>
      <c r="I408" s="5">
        <v>0.45</v>
      </c>
    </row>
    <row r="409">
      <c r="A409" s="4" t="s">
        <v>788</v>
      </c>
      <c r="B409" s="5">
        <v>2690.0</v>
      </c>
      <c r="C409" s="5">
        <v>16.65</v>
      </c>
      <c r="D409" s="5">
        <v>12.8</v>
      </c>
      <c r="G409" s="5">
        <v>8.37</v>
      </c>
      <c r="I409" s="5">
        <v>0.4</v>
      </c>
    </row>
    <row r="410">
      <c r="A410" s="4" t="s">
        <v>1806</v>
      </c>
      <c r="B410" s="5">
        <v>2803.0</v>
      </c>
      <c r="C410" s="5">
        <v>16.4</v>
      </c>
      <c r="D410" s="5">
        <v>11.1</v>
      </c>
      <c r="G410" s="5">
        <v>7.29</v>
      </c>
      <c r="I410" s="5">
        <v>0.48</v>
      </c>
    </row>
    <row r="411">
      <c r="A411" s="4" t="s">
        <v>1965</v>
      </c>
      <c r="B411" s="5">
        <v>2821.0</v>
      </c>
      <c r="C411" s="5">
        <v>18.7</v>
      </c>
      <c r="D411" s="5">
        <v>13.9</v>
      </c>
      <c r="G411" s="5">
        <v>7.37</v>
      </c>
      <c r="I411" s="5">
        <v>0.22</v>
      </c>
    </row>
    <row r="412">
      <c r="A412" s="4" t="s">
        <v>1577</v>
      </c>
      <c r="B412" s="5">
        <v>2810.0</v>
      </c>
      <c r="C412" s="5">
        <v>15.5</v>
      </c>
      <c r="D412" s="5">
        <v>16.6</v>
      </c>
      <c r="G412" s="5">
        <v>8.47</v>
      </c>
      <c r="I412" s="5">
        <v>0.37</v>
      </c>
    </row>
    <row r="413">
      <c r="A413" s="4" t="s">
        <v>1805</v>
      </c>
      <c r="B413" s="5">
        <v>2811.0</v>
      </c>
      <c r="C413" s="5">
        <v>11.1</v>
      </c>
      <c r="D413" s="5">
        <v>12.35</v>
      </c>
      <c r="G413" s="5">
        <v>7.44</v>
      </c>
      <c r="I413" s="5">
        <v>0.22</v>
      </c>
    </row>
    <row r="414">
      <c r="A414" s="4" t="s">
        <v>1888</v>
      </c>
      <c r="B414" s="5">
        <v>2809.0</v>
      </c>
      <c r="C414" s="5">
        <v>13.7</v>
      </c>
      <c r="D414" s="5">
        <v>16.3</v>
      </c>
      <c r="G414" s="5">
        <v>7.91</v>
      </c>
      <c r="I414" s="5">
        <v>0.36</v>
      </c>
    </row>
    <row r="415">
      <c r="A415" s="4" t="s">
        <v>1814</v>
      </c>
      <c r="B415" s="5">
        <v>2693.0</v>
      </c>
      <c r="C415" s="5">
        <v>14.7</v>
      </c>
      <c r="D415" s="5">
        <v>10.4</v>
      </c>
      <c r="G415" s="5">
        <v>5.24</v>
      </c>
      <c r="I415" s="5">
        <v>0.15</v>
      </c>
    </row>
    <row r="416">
      <c r="A416" s="4" t="s">
        <v>1966</v>
      </c>
      <c r="B416" s="5">
        <v>2696.0</v>
      </c>
      <c r="C416" s="5">
        <v>12.7</v>
      </c>
      <c r="D416" s="5">
        <v>9.8</v>
      </c>
      <c r="G416" s="5">
        <v>3.29</v>
      </c>
      <c r="I416" s="5">
        <v>0.09</v>
      </c>
    </row>
    <row r="417">
      <c r="A417" s="4" t="s">
        <v>1967</v>
      </c>
      <c r="B417" s="5">
        <v>2679.0</v>
      </c>
      <c r="C417" s="5">
        <v>13.5</v>
      </c>
      <c r="D417" s="5">
        <v>10.2</v>
      </c>
      <c r="G417" s="5">
        <v>7.08</v>
      </c>
      <c r="I417" s="5">
        <v>0.3</v>
      </c>
    </row>
    <row r="418">
      <c r="A418" s="4" t="s">
        <v>1968</v>
      </c>
      <c r="B418" s="5">
        <v>2681.0</v>
      </c>
      <c r="C418" s="5">
        <v>11.9</v>
      </c>
      <c r="D418" s="5">
        <v>7.9</v>
      </c>
      <c r="G418" s="5">
        <v>5.2</v>
      </c>
      <c r="I418" s="5">
        <v>0.17</v>
      </c>
    </row>
    <row r="419">
      <c r="A419" s="4" t="s">
        <v>1811</v>
      </c>
      <c r="B419" s="5">
        <v>2678.0</v>
      </c>
      <c r="C419" s="5">
        <v>13.5</v>
      </c>
      <c r="D419" s="5">
        <v>12.7</v>
      </c>
      <c r="G419" s="5">
        <v>7.1</v>
      </c>
      <c r="I419" s="5">
        <v>0.37</v>
      </c>
    </row>
    <row r="420">
      <c r="A420" s="4" t="s">
        <v>1812</v>
      </c>
      <c r="B420" s="5">
        <v>2683.0</v>
      </c>
      <c r="C420" s="5">
        <v>12.7</v>
      </c>
      <c r="D420" s="5">
        <v>8.8</v>
      </c>
      <c r="G420" s="5">
        <v>6.78</v>
      </c>
      <c r="I420" s="5">
        <v>0.21</v>
      </c>
    </row>
    <row r="421">
      <c r="A421" s="4" t="s">
        <v>1969</v>
      </c>
      <c r="B421" s="5">
        <v>2688.0</v>
      </c>
      <c r="C421" s="5">
        <v>17.45</v>
      </c>
      <c r="D421" s="5">
        <v>11.9</v>
      </c>
      <c r="G421" s="5">
        <v>7.15</v>
      </c>
      <c r="I421" s="5">
        <v>0.52</v>
      </c>
    </row>
    <row r="422">
      <c r="A422" s="4" t="s">
        <v>1970</v>
      </c>
      <c r="B422" s="5">
        <v>2806.0</v>
      </c>
      <c r="C422" s="5">
        <v>13.45</v>
      </c>
      <c r="D422" s="5">
        <v>12.1</v>
      </c>
      <c r="G422" s="5">
        <v>5.97</v>
      </c>
      <c r="I422" s="5">
        <v>0.36</v>
      </c>
    </row>
    <row r="423">
      <c r="A423" s="4" t="s">
        <v>1889</v>
      </c>
      <c r="B423" s="5">
        <v>2802.0</v>
      </c>
      <c r="C423" s="5">
        <v>15.8</v>
      </c>
      <c r="D423" s="5">
        <v>15.8</v>
      </c>
      <c r="G423" s="5">
        <v>5.3</v>
      </c>
      <c r="I423" s="5">
        <v>0.15</v>
      </c>
    </row>
    <row r="424">
      <c r="A424" s="4" t="s">
        <v>1971</v>
      </c>
      <c r="B424" s="5">
        <v>2689.0</v>
      </c>
      <c r="C424" s="5">
        <v>17.3</v>
      </c>
      <c r="D424" s="5">
        <v>10.9</v>
      </c>
      <c r="G424" s="5">
        <v>5.27</v>
      </c>
      <c r="I424" s="5">
        <v>0.21</v>
      </c>
    </row>
    <row r="425">
      <c r="A425" s="4" t="s">
        <v>1808</v>
      </c>
      <c r="B425" s="5">
        <v>2694.0</v>
      </c>
      <c r="C425" s="5">
        <v>13.6</v>
      </c>
      <c r="D425" s="5">
        <v>9.9</v>
      </c>
      <c r="G425" s="5">
        <v>6.27</v>
      </c>
      <c r="I425" s="5">
        <v>0.29</v>
      </c>
    </row>
    <row r="426">
      <c r="A426" s="4" t="s">
        <v>1890</v>
      </c>
      <c r="B426" s="5">
        <v>2699.0</v>
      </c>
      <c r="C426" s="5">
        <v>12.4</v>
      </c>
      <c r="D426" s="5">
        <v>10.3</v>
      </c>
      <c r="G426" s="5">
        <v>6.52</v>
      </c>
      <c r="I426" s="5">
        <v>0.28</v>
      </c>
    </row>
    <row r="427">
      <c r="A427" s="4"/>
    </row>
    <row r="428">
      <c r="A428" s="24" t="s">
        <v>796</v>
      </c>
      <c r="B428" s="5">
        <v>2877.0</v>
      </c>
      <c r="C428" s="5">
        <v>28.1</v>
      </c>
      <c r="D428" s="5">
        <v>19.75</v>
      </c>
      <c r="I428" s="5">
        <v>4.59</v>
      </c>
    </row>
    <row r="429">
      <c r="A429" s="4" t="s">
        <v>797</v>
      </c>
      <c r="B429" s="5">
        <v>2874.0</v>
      </c>
      <c r="C429" s="5">
        <v>28.6</v>
      </c>
      <c r="D429" s="5">
        <v>16.8</v>
      </c>
      <c r="G429" s="5">
        <v>33.76</v>
      </c>
      <c r="I429" s="5">
        <v>3.72</v>
      </c>
    </row>
    <row r="430">
      <c r="A430" s="4" t="s">
        <v>798</v>
      </c>
    </row>
    <row r="431">
      <c r="A431" s="4" t="s">
        <v>799</v>
      </c>
      <c r="B431" s="5">
        <v>2873.0</v>
      </c>
      <c r="C431" s="5">
        <v>38.4</v>
      </c>
      <c r="D431" s="5">
        <v>21.3</v>
      </c>
      <c r="G431" s="5">
        <v>14.75</v>
      </c>
      <c r="I431" s="5">
        <v>1.79</v>
      </c>
    </row>
    <row r="432">
      <c r="A432" s="4" t="s">
        <v>1366</v>
      </c>
      <c r="B432" s="5">
        <v>2876.0</v>
      </c>
      <c r="C432" s="5">
        <v>28.1</v>
      </c>
      <c r="D432" s="5">
        <v>24.75</v>
      </c>
      <c r="E432" s="5">
        <v>18.8</v>
      </c>
      <c r="G432" s="5">
        <v>20.16</v>
      </c>
      <c r="I432" s="5">
        <v>1.99</v>
      </c>
    </row>
    <row r="433">
      <c r="A433" s="4" t="s">
        <v>1369</v>
      </c>
      <c r="B433" s="5">
        <v>2875.0</v>
      </c>
      <c r="C433" s="5">
        <v>23.7</v>
      </c>
      <c r="D433" s="5">
        <v>22.9</v>
      </c>
      <c r="G433" s="5">
        <v>10.74</v>
      </c>
      <c r="I433" s="5">
        <v>1.02</v>
      </c>
    </row>
    <row r="434">
      <c r="A434" s="4" t="s">
        <v>800</v>
      </c>
    </row>
    <row r="435">
      <c r="A435" s="4" t="s">
        <v>1368</v>
      </c>
      <c r="B435" s="5">
        <v>2872.0</v>
      </c>
      <c r="C435" s="5">
        <v>31.3</v>
      </c>
      <c r="D435" s="5">
        <v>18.5</v>
      </c>
      <c r="G435" s="5">
        <v>12.38</v>
      </c>
      <c r="I435" s="5">
        <v>1.0</v>
      </c>
    </row>
    <row r="436">
      <c r="A436" s="4" t="s">
        <v>801</v>
      </c>
      <c r="B436" s="5">
        <v>2871.0</v>
      </c>
      <c r="C436" s="5">
        <v>24.1</v>
      </c>
      <c r="D436" s="5">
        <v>18.05</v>
      </c>
      <c r="G436" s="5">
        <v>12.29</v>
      </c>
      <c r="I436" s="5">
        <v>1.13</v>
      </c>
    </row>
    <row r="437">
      <c r="A437" s="4" t="s">
        <v>1373</v>
      </c>
      <c r="B437" s="5">
        <v>2869.0</v>
      </c>
      <c r="C437" s="5">
        <v>21.6</v>
      </c>
      <c r="D437" s="5">
        <v>16.3</v>
      </c>
      <c r="G437" s="5">
        <v>9.6</v>
      </c>
      <c r="I437" s="5">
        <v>0.7</v>
      </c>
    </row>
    <row r="438">
      <c r="A438" s="4" t="s">
        <v>1585</v>
      </c>
      <c r="B438" s="5">
        <v>2865.0</v>
      </c>
      <c r="C438" s="5">
        <v>17.2</v>
      </c>
      <c r="D438" s="5">
        <v>17.5</v>
      </c>
      <c r="G438" s="5">
        <v>8.07</v>
      </c>
      <c r="I438" s="5">
        <v>0.3</v>
      </c>
    </row>
    <row r="439">
      <c r="A439" s="4" t="s">
        <v>1378</v>
      </c>
      <c r="B439" s="5">
        <v>2868.0</v>
      </c>
      <c r="C439" s="5">
        <v>13.9</v>
      </c>
      <c r="D439" s="5">
        <v>17.4</v>
      </c>
      <c r="G439" s="5">
        <v>9.21</v>
      </c>
      <c r="I439" s="5">
        <v>0.4</v>
      </c>
    </row>
    <row r="440">
      <c r="A440" s="4" t="s">
        <v>1372</v>
      </c>
      <c r="B440" s="5">
        <v>2862.0</v>
      </c>
      <c r="C440" s="5">
        <v>12.3</v>
      </c>
      <c r="D440" s="5">
        <v>11.9</v>
      </c>
      <c r="G440" s="5">
        <v>11.7</v>
      </c>
      <c r="I440" s="5">
        <v>1.11</v>
      </c>
    </row>
    <row r="441">
      <c r="A441" s="4" t="s">
        <v>1580</v>
      </c>
      <c r="B441" s="5">
        <v>2870.0</v>
      </c>
      <c r="C441" s="5">
        <v>26.4</v>
      </c>
      <c r="D441" s="5">
        <v>12.7</v>
      </c>
      <c r="G441" s="5">
        <v>9.76</v>
      </c>
      <c r="I441" s="5">
        <v>0.52</v>
      </c>
    </row>
    <row r="442">
      <c r="A442" s="4" t="s">
        <v>803</v>
      </c>
      <c r="B442" s="5">
        <v>2867.0</v>
      </c>
      <c r="C442" s="5">
        <v>17.4</v>
      </c>
      <c r="D442" s="5">
        <v>12.9</v>
      </c>
      <c r="G442" s="5">
        <v>10.0</v>
      </c>
      <c r="I442" s="5">
        <v>0.79</v>
      </c>
    </row>
    <row r="443">
      <c r="A443" s="4" t="s">
        <v>1588</v>
      </c>
      <c r="B443" s="5">
        <v>2863.0</v>
      </c>
      <c r="C443" s="5">
        <v>14.3</v>
      </c>
      <c r="D443" s="5">
        <v>11.8</v>
      </c>
      <c r="G443" s="5">
        <v>7.39</v>
      </c>
      <c r="I443" s="5">
        <v>0.24</v>
      </c>
    </row>
    <row r="444">
      <c r="A444" s="4" t="s">
        <v>805</v>
      </c>
      <c r="B444" s="5">
        <v>2864.0</v>
      </c>
      <c r="C444" s="5">
        <v>18.4</v>
      </c>
      <c r="D444" s="5">
        <v>16.5</v>
      </c>
      <c r="G444" s="5">
        <v>8.09</v>
      </c>
      <c r="I444" s="5">
        <v>0.28</v>
      </c>
    </row>
    <row r="445">
      <c r="A445" s="4" t="s">
        <v>1376</v>
      </c>
      <c r="B445" s="5">
        <v>2861.0</v>
      </c>
      <c r="C445" s="5">
        <v>20.8</v>
      </c>
      <c r="D445" s="5">
        <v>15.7</v>
      </c>
      <c r="G445" s="5">
        <v>7.85</v>
      </c>
      <c r="I445" s="5">
        <v>0.9</v>
      </c>
    </row>
    <row r="446">
      <c r="A446" s="4" t="s">
        <v>1381</v>
      </c>
      <c r="B446" s="5">
        <v>2866.0</v>
      </c>
      <c r="C446" s="5">
        <v>15.9</v>
      </c>
      <c r="D446" s="5">
        <v>10.7</v>
      </c>
      <c r="G446" s="5">
        <v>7.54</v>
      </c>
      <c r="I446" s="5">
        <v>0.58</v>
      </c>
    </row>
    <row r="447">
      <c r="A447" s="4"/>
    </row>
    <row r="448">
      <c r="A448" s="4" t="s">
        <v>808</v>
      </c>
      <c r="B448" s="5">
        <v>2841.0</v>
      </c>
      <c r="C448" s="5">
        <v>35.5</v>
      </c>
      <c r="D448" s="5">
        <v>21.0</v>
      </c>
      <c r="G448" s="5">
        <v>21.26</v>
      </c>
      <c r="I448" s="5">
        <v>3.6</v>
      </c>
    </row>
    <row r="449">
      <c r="A449" s="4" t="s">
        <v>809</v>
      </c>
      <c r="B449" s="5">
        <v>2840.0</v>
      </c>
      <c r="C449" s="5">
        <v>28.4</v>
      </c>
      <c r="D449" s="5">
        <v>20.3</v>
      </c>
      <c r="G449" s="5">
        <v>14.47</v>
      </c>
      <c r="I449" s="5">
        <v>2.04</v>
      </c>
    </row>
    <row r="450">
      <c r="A450" s="4" t="s">
        <v>810</v>
      </c>
      <c r="B450" s="5">
        <v>2837.0</v>
      </c>
      <c r="C450" s="5">
        <v>23.8</v>
      </c>
      <c r="D450" s="5">
        <v>20.2</v>
      </c>
      <c r="G450" s="5">
        <v>9.83</v>
      </c>
      <c r="I450" s="5">
        <v>1.16</v>
      </c>
    </row>
    <row r="451">
      <c r="A451" s="4" t="s">
        <v>1594</v>
      </c>
      <c r="B451" s="5">
        <v>2839.0</v>
      </c>
      <c r="C451" s="5">
        <v>35.4</v>
      </c>
      <c r="D451" s="5">
        <v>20.4</v>
      </c>
      <c r="G451" s="5">
        <v>11.09</v>
      </c>
      <c r="I451" s="5">
        <v>0.74</v>
      </c>
    </row>
    <row r="452">
      <c r="A452" s="4" t="s">
        <v>818</v>
      </c>
      <c r="B452" s="5">
        <v>2834.0</v>
      </c>
      <c r="C452" s="5">
        <v>17.4</v>
      </c>
      <c r="D452" s="5">
        <v>9.9</v>
      </c>
      <c r="G452" s="5">
        <v>8.16</v>
      </c>
      <c r="I452" s="5">
        <v>0.69</v>
      </c>
    </row>
    <row r="453">
      <c r="A453" s="4" t="s">
        <v>1386</v>
      </c>
      <c r="B453" s="5">
        <v>2832.0</v>
      </c>
      <c r="C453" s="5">
        <v>15.3</v>
      </c>
      <c r="D453" s="5">
        <v>13.7</v>
      </c>
      <c r="G453" s="5">
        <v>7.9</v>
      </c>
      <c r="I453" s="5">
        <v>0.79</v>
      </c>
      <c r="J453" s="5" t="s">
        <v>1972</v>
      </c>
    </row>
    <row r="454">
      <c r="A454" s="4" t="s">
        <v>1596</v>
      </c>
      <c r="B454" s="5">
        <v>2836.0</v>
      </c>
      <c r="C454" s="5">
        <v>15.2</v>
      </c>
      <c r="D454" s="5">
        <v>14.2</v>
      </c>
      <c r="G454" s="5">
        <v>8.37</v>
      </c>
      <c r="I454" s="5">
        <v>0.38</v>
      </c>
    </row>
    <row r="455">
      <c r="A455" s="4" t="s">
        <v>817</v>
      </c>
      <c r="B455" s="5">
        <v>2838.0</v>
      </c>
      <c r="C455" s="5">
        <v>17.8</v>
      </c>
      <c r="D455" s="5">
        <v>11.5</v>
      </c>
      <c r="G455" s="5">
        <v>6.85</v>
      </c>
      <c r="I455" s="5">
        <v>0.4</v>
      </c>
    </row>
    <row r="456">
      <c r="A456" s="4" t="s">
        <v>1599</v>
      </c>
      <c r="B456" s="5">
        <v>2833.0</v>
      </c>
      <c r="C456" s="5">
        <v>17.8</v>
      </c>
      <c r="D456" s="5">
        <v>12.5</v>
      </c>
      <c r="G456" s="5">
        <v>7.02</v>
      </c>
      <c r="I456" s="5">
        <v>0.48</v>
      </c>
    </row>
    <row r="457">
      <c r="A457" s="4" t="s">
        <v>824</v>
      </c>
      <c r="B457" s="5">
        <v>2835.0</v>
      </c>
      <c r="C457" s="5">
        <v>26.0</v>
      </c>
      <c r="D457" s="5">
        <v>13.4</v>
      </c>
      <c r="G457" s="5">
        <v>7.17</v>
      </c>
      <c r="I457" s="5">
        <v>0.44</v>
      </c>
    </row>
    <row r="458">
      <c r="A458" s="4"/>
    </row>
    <row r="459">
      <c r="A459" s="4" t="s">
        <v>837</v>
      </c>
      <c r="B459" s="5">
        <v>2856.0</v>
      </c>
      <c r="C459" s="5">
        <v>28.9</v>
      </c>
      <c r="D459" s="5">
        <v>19.1</v>
      </c>
      <c r="G459" s="5">
        <v>18.12</v>
      </c>
      <c r="I459" s="5">
        <v>2.81</v>
      </c>
    </row>
    <row r="460">
      <c r="A460" s="4" t="s">
        <v>1392</v>
      </c>
      <c r="B460" s="5">
        <v>2855.0</v>
      </c>
      <c r="C460" s="5">
        <v>28.9</v>
      </c>
      <c r="D460" s="5">
        <v>33.5</v>
      </c>
      <c r="E460" s="5">
        <v>19.6</v>
      </c>
      <c r="G460" s="5">
        <v>12.49</v>
      </c>
      <c r="I460" s="5">
        <v>1.67</v>
      </c>
    </row>
    <row r="461">
      <c r="A461" s="4" t="s">
        <v>1396</v>
      </c>
      <c r="B461" s="5">
        <v>2852.0</v>
      </c>
      <c r="C461" s="5">
        <v>19.6</v>
      </c>
      <c r="D461" s="5">
        <v>17.85</v>
      </c>
      <c r="G461" s="5">
        <v>8.85</v>
      </c>
      <c r="I461" s="5">
        <v>0.77</v>
      </c>
    </row>
    <row r="462">
      <c r="A462" s="4" t="s">
        <v>840</v>
      </c>
      <c r="B462" s="5">
        <v>2854.0</v>
      </c>
      <c r="C462" s="5">
        <v>33.4</v>
      </c>
      <c r="D462" s="5">
        <v>18.1</v>
      </c>
      <c r="G462" s="5">
        <v>10.37</v>
      </c>
      <c r="I462" s="5">
        <v>1.3</v>
      </c>
    </row>
    <row r="463">
      <c r="A463" s="4" t="s">
        <v>838</v>
      </c>
      <c r="B463" s="5">
        <v>2853.0</v>
      </c>
      <c r="C463" s="5">
        <v>28.0</v>
      </c>
      <c r="D463" s="5">
        <v>17.9</v>
      </c>
      <c r="G463" s="5">
        <v>13.57</v>
      </c>
      <c r="I463" s="5">
        <v>1.82</v>
      </c>
    </row>
    <row r="464">
      <c r="A464" s="4" t="s">
        <v>839</v>
      </c>
      <c r="B464" s="5">
        <v>2851.0</v>
      </c>
      <c r="C464" s="5">
        <v>22.5</v>
      </c>
      <c r="D464" s="5">
        <v>15.1</v>
      </c>
      <c r="G464" s="5">
        <v>10.5</v>
      </c>
      <c r="I464" s="5">
        <v>1.15</v>
      </c>
    </row>
    <row r="465">
      <c r="A465" s="4" t="s">
        <v>1400</v>
      </c>
      <c r="B465" s="5">
        <v>2846.0</v>
      </c>
      <c r="C465" s="5">
        <v>13.9</v>
      </c>
      <c r="D465" s="5">
        <v>16.85</v>
      </c>
      <c r="G465" s="5">
        <v>9.39</v>
      </c>
      <c r="I465" s="5">
        <v>0.66</v>
      </c>
    </row>
    <row r="466">
      <c r="A466" s="4" t="s">
        <v>843</v>
      </c>
      <c r="B466" s="5">
        <v>2844.0</v>
      </c>
      <c r="C466" s="5">
        <v>19.6</v>
      </c>
      <c r="D466" s="5">
        <v>16.0</v>
      </c>
      <c r="G466" s="5">
        <v>9.15</v>
      </c>
      <c r="I466" s="5">
        <v>0.44</v>
      </c>
    </row>
    <row r="467">
      <c r="A467" s="4" t="s">
        <v>841</v>
      </c>
      <c r="B467" s="5">
        <v>2848.0</v>
      </c>
      <c r="C467" s="5">
        <v>19.7</v>
      </c>
      <c r="D467" s="5">
        <v>15.6</v>
      </c>
      <c r="G467" s="5">
        <v>8.76</v>
      </c>
      <c r="I467" s="5">
        <v>0.48</v>
      </c>
    </row>
    <row r="468">
      <c r="A468" s="4" t="s">
        <v>842</v>
      </c>
      <c r="B468" s="5">
        <v>2850.0</v>
      </c>
      <c r="C468" s="5">
        <v>16.0</v>
      </c>
      <c r="D468" s="5">
        <v>16.5</v>
      </c>
      <c r="G468" s="5">
        <v>9.76</v>
      </c>
      <c r="I468" s="5">
        <v>0.87</v>
      </c>
    </row>
    <row r="469">
      <c r="A469" s="4" t="s">
        <v>846</v>
      </c>
      <c r="B469" s="5">
        <v>2845.0</v>
      </c>
      <c r="C469" s="5">
        <v>17.5</v>
      </c>
      <c r="D469" s="5">
        <v>12.5</v>
      </c>
      <c r="G469" s="5">
        <v>7.43</v>
      </c>
      <c r="I469" s="5">
        <v>0.59</v>
      </c>
    </row>
    <row r="470">
      <c r="A470" s="4" t="s">
        <v>845</v>
      </c>
      <c r="B470" s="5">
        <v>2847.0</v>
      </c>
      <c r="C470" s="5">
        <v>22.9</v>
      </c>
      <c r="D470" s="5">
        <v>15.5</v>
      </c>
      <c r="G470" s="5">
        <v>7.99</v>
      </c>
      <c r="I470" s="5">
        <v>0.63</v>
      </c>
    </row>
    <row r="471">
      <c r="A471" s="4" t="s">
        <v>850</v>
      </c>
      <c r="B471" s="5">
        <v>2842.0</v>
      </c>
      <c r="C471" s="5">
        <v>18.2</v>
      </c>
      <c r="D471" s="5">
        <v>13.8</v>
      </c>
      <c r="G471" s="5">
        <v>7.16</v>
      </c>
      <c r="I471" s="5">
        <v>0.28</v>
      </c>
    </row>
    <row r="472">
      <c r="A472" s="4" t="s">
        <v>1830</v>
      </c>
      <c r="B472" s="5">
        <v>2849.0</v>
      </c>
      <c r="C472" s="5">
        <v>26.8</v>
      </c>
      <c r="D472" s="5">
        <v>17.5</v>
      </c>
      <c r="G472" s="5">
        <v>7.91</v>
      </c>
      <c r="I472" s="5">
        <v>0.3</v>
      </c>
    </row>
    <row r="473">
      <c r="A473" s="4" t="s">
        <v>1401</v>
      </c>
      <c r="B473" s="5">
        <v>2843.0</v>
      </c>
      <c r="C473" s="5">
        <v>16.6</v>
      </c>
      <c r="D473" s="5">
        <v>12.5</v>
      </c>
      <c r="G473" s="5">
        <v>6.56</v>
      </c>
      <c r="I473" s="5">
        <v>0.47</v>
      </c>
    </row>
    <row r="474">
      <c r="A474" s="4"/>
    </row>
    <row r="475">
      <c r="A475" s="4" t="s">
        <v>857</v>
      </c>
      <c r="B475" s="5">
        <v>2860.0</v>
      </c>
      <c r="C475" s="5">
        <v>24.1</v>
      </c>
      <c r="D475" s="5">
        <v>18.2</v>
      </c>
      <c r="G475" s="5">
        <v>7.61</v>
      </c>
      <c r="I475" s="5">
        <v>0.68</v>
      </c>
    </row>
    <row r="476">
      <c r="A476" s="4" t="s">
        <v>858</v>
      </c>
      <c r="B476" s="5">
        <v>2859.0</v>
      </c>
      <c r="C476" s="5">
        <v>25.0</v>
      </c>
      <c r="D476" s="5">
        <v>16.1</v>
      </c>
      <c r="G476" s="5">
        <v>11.54</v>
      </c>
      <c r="I476" s="5">
        <v>1.24</v>
      </c>
    </row>
    <row r="477">
      <c r="A477" s="24" t="s">
        <v>859</v>
      </c>
      <c r="B477" s="5">
        <v>2858.0</v>
      </c>
      <c r="C477" s="5">
        <v>26.0</v>
      </c>
      <c r="D477" s="5">
        <v>16.6</v>
      </c>
      <c r="G477" s="5">
        <v>10.54</v>
      </c>
      <c r="I477" s="5">
        <v>0.67</v>
      </c>
    </row>
    <row r="478">
      <c r="A478" s="24" t="s">
        <v>863</v>
      </c>
      <c r="B478" s="5">
        <v>2857.0</v>
      </c>
      <c r="C478" s="5">
        <v>18.2</v>
      </c>
      <c r="D478" s="5">
        <v>11.7</v>
      </c>
      <c r="G478" s="5">
        <v>7.39</v>
      </c>
      <c r="I478" s="5">
        <v>0.51</v>
      </c>
    </row>
    <row r="479">
      <c r="A479" s="4"/>
    </row>
    <row r="480">
      <c r="A480" s="4" t="s">
        <v>882</v>
      </c>
    </row>
    <row r="481">
      <c r="A481" s="4" t="s">
        <v>883</v>
      </c>
    </row>
    <row r="482">
      <c r="A482" s="4" t="s">
        <v>885</v>
      </c>
    </row>
    <row r="483">
      <c r="A483" s="4" t="s">
        <v>884</v>
      </c>
    </row>
    <row r="484">
      <c r="A484" s="24" t="s">
        <v>888</v>
      </c>
    </row>
    <row r="485">
      <c r="A485" s="4"/>
    </row>
    <row r="486">
      <c r="A486" s="4" t="s">
        <v>895</v>
      </c>
    </row>
    <row r="487">
      <c r="A487" s="24" t="s">
        <v>896</v>
      </c>
    </row>
    <row r="488">
      <c r="A488" s="24" t="s">
        <v>1624</v>
      </c>
    </row>
    <row r="489">
      <c r="A489" s="4"/>
    </row>
    <row r="490">
      <c r="A490" s="4" t="s">
        <v>915</v>
      </c>
    </row>
    <row r="491">
      <c r="A491" s="24" t="s">
        <v>916</v>
      </c>
    </row>
    <row r="492">
      <c r="A492" s="4" t="s">
        <v>917</v>
      </c>
    </row>
    <row r="493">
      <c r="A493" s="4"/>
    </row>
    <row r="494">
      <c r="A494" s="4" t="s">
        <v>930</v>
      </c>
    </row>
    <row r="495">
      <c r="A495" s="24" t="s">
        <v>931</v>
      </c>
    </row>
    <row r="496">
      <c r="A496" s="24" t="s">
        <v>933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1416</v>
      </c>
      <c r="G1" s="2" t="s">
        <v>5</v>
      </c>
      <c r="H1" s="2" t="s">
        <v>6</v>
      </c>
      <c r="I1" s="2" t="s">
        <v>7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A2" s="4" t="s">
        <v>1973</v>
      </c>
      <c r="B2" s="5">
        <v>2890.0</v>
      </c>
      <c r="C2" s="5">
        <v>29.0</v>
      </c>
      <c r="D2" s="5">
        <v>19.5</v>
      </c>
      <c r="G2" s="5">
        <v>12.72</v>
      </c>
      <c r="H2" s="5">
        <v>0.0</v>
      </c>
      <c r="I2" s="5">
        <v>3.69</v>
      </c>
    </row>
    <row r="3">
      <c r="A3" s="4" t="s">
        <v>1974</v>
      </c>
      <c r="B3" s="5">
        <v>2889.0</v>
      </c>
      <c r="C3" s="5">
        <v>21.6</v>
      </c>
      <c r="D3" s="5">
        <v>17.3</v>
      </c>
      <c r="G3" s="5">
        <v>10.66</v>
      </c>
      <c r="I3" s="5">
        <v>2.3</v>
      </c>
      <c r="K3" s="2" t="s">
        <v>10</v>
      </c>
    </row>
    <row r="4">
      <c r="A4" s="4" t="s">
        <v>1975</v>
      </c>
      <c r="B4" s="5">
        <v>2884.0</v>
      </c>
      <c r="C4" s="5">
        <v>14.3</v>
      </c>
      <c r="D4" s="5">
        <v>11.1</v>
      </c>
      <c r="G4" s="5">
        <v>11.57</v>
      </c>
      <c r="I4" s="5">
        <v>2.27</v>
      </c>
      <c r="K4" s="6">
        <f>counta(I2:I1000)</f>
        <v>374</v>
      </c>
    </row>
    <row r="5">
      <c r="A5" s="4" t="s">
        <v>16</v>
      </c>
      <c r="B5" s="5">
        <v>2881.0</v>
      </c>
      <c r="C5" s="5">
        <v>15.5</v>
      </c>
      <c r="D5" s="5">
        <v>12.2</v>
      </c>
      <c r="G5" s="5">
        <v>7.23</v>
      </c>
      <c r="I5" s="5">
        <v>0.46</v>
      </c>
    </row>
    <row r="6">
      <c r="A6" s="4" t="s">
        <v>1631</v>
      </c>
      <c r="B6" s="5">
        <v>2888.0</v>
      </c>
      <c r="C6" s="5">
        <v>21.2</v>
      </c>
      <c r="D6" s="5">
        <v>20.6</v>
      </c>
      <c r="G6" s="5">
        <v>10.33</v>
      </c>
      <c r="I6" s="5">
        <v>1.31</v>
      </c>
      <c r="K6" s="2" t="s">
        <v>14</v>
      </c>
    </row>
    <row r="7">
      <c r="A7" s="4" t="s">
        <v>1976</v>
      </c>
      <c r="B7" s="5">
        <v>2880.0</v>
      </c>
      <c r="C7" s="5">
        <v>16.7</v>
      </c>
      <c r="D7" s="5">
        <v>11.9</v>
      </c>
      <c r="G7" s="5">
        <v>10.39</v>
      </c>
      <c r="I7" s="5">
        <v>1.59</v>
      </c>
      <c r="K7" s="6">
        <f>counta(I2:I185)</f>
        <v>143</v>
      </c>
    </row>
    <row r="8">
      <c r="A8" s="4" t="s">
        <v>20</v>
      </c>
      <c r="B8" s="5">
        <v>2798.0</v>
      </c>
      <c r="C8" s="5">
        <v>14.5</v>
      </c>
      <c r="D8" s="5">
        <v>11.4</v>
      </c>
      <c r="G8" s="5">
        <v>6.53</v>
      </c>
      <c r="I8" s="5">
        <v>0.41</v>
      </c>
      <c r="K8" s="6">
        <f>sum(I2:I185)/K7</f>
        <v>1.061328671</v>
      </c>
    </row>
    <row r="9">
      <c r="A9" s="4" t="s">
        <v>1632</v>
      </c>
      <c r="B9" s="5">
        <v>2886.0</v>
      </c>
      <c r="C9" s="5">
        <v>16.4</v>
      </c>
      <c r="D9" s="5">
        <v>13.0</v>
      </c>
      <c r="G9" s="5">
        <v>10.02</v>
      </c>
      <c r="I9" s="5">
        <v>1.19</v>
      </c>
    </row>
    <row r="10">
      <c r="A10" s="4" t="s">
        <v>1977</v>
      </c>
      <c r="J10" s="6">
        <f>counta(D2:D4,D7,D11,D22:D23,D29)</f>
        <v>8</v>
      </c>
    </row>
    <row r="11">
      <c r="A11" s="4" t="s">
        <v>1978</v>
      </c>
      <c r="B11" s="5">
        <v>2879.0</v>
      </c>
      <c r="C11" s="5">
        <v>14.0</v>
      </c>
      <c r="D11" s="5">
        <v>10.7</v>
      </c>
      <c r="G11" s="5">
        <v>9.02</v>
      </c>
      <c r="I11" s="5">
        <v>1.61</v>
      </c>
      <c r="J11" s="6">
        <f>sum(D2:D4,D7,D11,D22:D23,D29)/8</f>
        <v>11.8125</v>
      </c>
    </row>
    <row r="12">
      <c r="A12" s="4" t="s">
        <v>1209</v>
      </c>
      <c r="B12" s="5">
        <v>2793.0</v>
      </c>
      <c r="C12" s="5">
        <v>14.3</v>
      </c>
      <c r="D12" s="5">
        <v>12.0</v>
      </c>
      <c r="G12" s="5">
        <v>9.22</v>
      </c>
      <c r="I12" s="5">
        <v>1.06</v>
      </c>
    </row>
    <row r="13">
      <c r="A13" s="4" t="s">
        <v>21</v>
      </c>
      <c r="B13" s="5">
        <v>2797.0</v>
      </c>
      <c r="C13" s="5">
        <v>15.9</v>
      </c>
      <c r="D13" s="5">
        <v>18.1</v>
      </c>
      <c r="G13" s="5">
        <v>6.25</v>
      </c>
      <c r="I13" s="5">
        <v>0.32</v>
      </c>
    </row>
    <row r="14">
      <c r="A14" s="4" t="s">
        <v>1636</v>
      </c>
      <c r="B14" s="5">
        <v>2885.0</v>
      </c>
      <c r="C14" s="5">
        <v>16.6</v>
      </c>
      <c r="D14" s="5">
        <v>11.8</v>
      </c>
      <c r="G14" s="5">
        <v>10.4</v>
      </c>
      <c r="I14" s="5">
        <v>1.69</v>
      </c>
    </row>
    <row r="15">
      <c r="A15" s="4" t="s">
        <v>1979</v>
      </c>
      <c r="B15" s="5">
        <v>2790.0</v>
      </c>
      <c r="C15" s="5">
        <v>12.7</v>
      </c>
      <c r="D15" s="5">
        <v>23.0</v>
      </c>
      <c r="G15" s="5">
        <v>6.42</v>
      </c>
      <c r="I15" s="5">
        <v>0.44</v>
      </c>
    </row>
    <row r="16">
      <c r="A16" s="4" t="s">
        <v>1980</v>
      </c>
      <c r="B16" s="5">
        <v>2887.0</v>
      </c>
      <c r="C16" s="5">
        <v>17.8</v>
      </c>
      <c r="D16" s="5">
        <v>18.7</v>
      </c>
      <c r="G16" s="5">
        <v>7.91</v>
      </c>
      <c r="I16" s="5">
        <v>0.55</v>
      </c>
    </row>
    <row r="17">
      <c r="A17" s="4" t="s">
        <v>1981</v>
      </c>
    </row>
    <row r="18">
      <c r="A18" s="4" t="s">
        <v>1637</v>
      </c>
      <c r="B18" s="5">
        <v>2883.0</v>
      </c>
      <c r="C18" s="5">
        <v>16.2</v>
      </c>
      <c r="D18" s="5">
        <v>11.2</v>
      </c>
      <c r="G18" s="5">
        <v>9.26</v>
      </c>
      <c r="I18" s="5">
        <v>1.11</v>
      </c>
    </row>
    <row r="19">
      <c r="A19" s="4" t="s">
        <v>1982</v>
      </c>
      <c r="B19" s="5">
        <v>2794.0</v>
      </c>
      <c r="C19" s="5">
        <v>16.2</v>
      </c>
      <c r="D19" s="5">
        <v>12.3</v>
      </c>
      <c r="G19" s="5">
        <v>7.17</v>
      </c>
      <c r="I19" s="5">
        <v>0.91</v>
      </c>
    </row>
    <row r="20">
      <c r="A20" s="4" t="s">
        <v>32</v>
      </c>
      <c r="B20" s="5">
        <v>2796.0</v>
      </c>
      <c r="C20" s="5">
        <v>13.2</v>
      </c>
      <c r="D20" s="5">
        <v>10.7</v>
      </c>
      <c r="G20" s="5">
        <v>7.28</v>
      </c>
      <c r="I20" s="5">
        <v>0.57</v>
      </c>
    </row>
    <row r="21">
      <c r="A21" s="4" t="s">
        <v>1217</v>
      </c>
    </row>
    <row r="22">
      <c r="A22" s="4" t="s">
        <v>1983</v>
      </c>
      <c r="B22" s="5">
        <v>2878.0</v>
      </c>
      <c r="C22" s="5">
        <v>14.6</v>
      </c>
      <c r="D22" s="5">
        <v>10.5</v>
      </c>
      <c r="G22" s="5">
        <v>8.48</v>
      </c>
      <c r="I22" s="5">
        <v>1.09</v>
      </c>
    </row>
    <row r="23">
      <c r="A23" s="4" t="s">
        <v>1984</v>
      </c>
      <c r="B23" s="5">
        <v>2800.0</v>
      </c>
      <c r="C23" s="5">
        <v>9.5</v>
      </c>
      <c r="D23" s="5">
        <v>8.4</v>
      </c>
      <c r="G23" s="5">
        <v>6.89</v>
      </c>
      <c r="I23" s="5">
        <v>0.62</v>
      </c>
    </row>
    <row r="24">
      <c r="A24" s="4" t="s">
        <v>1985</v>
      </c>
      <c r="B24" s="5">
        <v>2792.0</v>
      </c>
      <c r="C24" s="5">
        <v>16.2</v>
      </c>
      <c r="D24" s="5">
        <v>11.6</v>
      </c>
      <c r="G24" s="5">
        <v>7.02</v>
      </c>
      <c r="I24" s="5">
        <v>0.7</v>
      </c>
    </row>
    <row r="25">
      <c r="A25" s="4" t="s">
        <v>49</v>
      </c>
      <c r="B25" s="5">
        <v>2795.0</v>
      </c>
      <c r="C25" s="5">
        <v>9.9</v>
      </c>
      <c r="D25" s="5">
        <v>9.2</v>
      </c>
      <c r="G25" s="5">
        <v>5.4</v>
      </c>
      <c r="I25" s="5">
        <v>0.3</v>
      </c>
    </row>
    <row r="26">
      <c r="A26" s="4" t="s">
        <v>1641</v>
      </c>
      <c r="B26" s="5">
        <v>2882.0</v>
      </c>
      <c r="C26" s="5">
        <v>9.2</v>
      </c>
      <c r="D26" s="5">
        <v>8.3</v>
      </c>
      <c r="G26" s="5">
        <v>6.99</v>
      </c>
      <c r="I26" s="5">
        <v>0.67</v>
      </c>
    </row>
    <row r="27">
      <c r="A27" s="4" t="s">
        <v>1655</v>
      </c>
      <c r="B27" s="5">
        <v>2904.0</v>
      </c>
      <c r="C27" s="5">
        <v>10.0</v>
      </c>
      <c r="D27" s="5">
        <v>8.1</v>
      </c>
      <c r="G27" s="5">
        <v>5.47</v>
      </c>
      <c r="I27" s="5">
        <v>0.52</v>
      </c>
    </row>
    <row r="28">
      <c r="A28" s="4" t="s">
        <v>1986</v>
      </c>
      <c r="B28" s="5">
        <v>2791.0</v>
      </c>
      <c r="C28" s="5">
        <v>11.0</v>
      </c>
      <c r="D28" s="5">
        <v>7.6</v>
      </c>
      <c r="G28" s="5">
        <v>4.9</v>
      </c>
      <c r="I28" s="5">
        <v>0.28</v>
      </c>
    </row>
    <row r="29">
      <c r="A29" s="4" t="s">
        <v>1987</v>
      </c>
      <c r="B29" s="5">
        <v>2799.0</v>
      </c>
      <c r="C29" s="5">
        <v>6.7</v>
      </c>
      <c r="D29" s="5">
        <v>5.1</v>
      </c>
      <c r="G29" s="5">
        <v>4.16</v>
      </c>
      <c r="I29" s="5">
        <v>0.14</v>
      </c>
    </row>
    <row r="30">
      <c r="A30" s="4" t="s">
        <v>1988</v>
      </c>
      <c r="B30" s="5">
        <v>2903.0</v>
      </c>
      <c r="C30" s="5">
        <v>7.0</v>
      </c>
      <c r="D30" s="5">
        <v>5.4</v>
      </c>
      <c r="G30" s="5">
        <v>4.54</v>
      </c>
      <c r="I30" s="5">
        <v>0.18</v>
      </c>
    </row>
    <row r="31">
      <c r="A31" s="4"/>
    </row>
    <row r="32">
      <c r="A32" s="4" t="s">
        <v>50</v>
      </c>
      <c r="B32" s="5">
        <v>2925.0</v>
      </c>
      <c r="C32" s="5">
        <v>31.5</v>
      </c>
      <c r="D32" s="5">
        <v>16.0</v>
      </c>
      <c r="G32" s="5">
        <v>12.31</v>
      </c>
      <c r="I32" s="5">
        <v>2.94</v>
      </c>
    </row>
    <row r="33">
      <c r="A33" s="4" t="s">
        <v>51</v>
      </c>
      <c r="B33" s="5">
        <v>2924.0</v>
      </c>
      <c r="C33" s="5">
        <v>15.7</v>
      </c>
      <c r="D33" s="5">
        <v>15.1</v>
      </c>
      <c r="G33" s="5">
        <v>10.7</v>
      </c>
      <c r="I33" s="5">
        <v>2.68</v>
      </c>
    </row>
    <row r="34">
      <c r="A34" s="4" t="s">
        <v>53</v>
      </c>
      <c r="B34" s="5">
        <v>2923.0</v>
      </c>
      <c r="C34" s="5">
        <v>14.5</v>
      </c>
      <c r="D34" s="5">
        <v>12.1</v>
      </c>
      <c r="G34" s="5">
        <v>11.2</v>
      </c>
      <c r="I34" s="5">
        <v>2.13</v>
      </c>
    </row>
    <row r="35">
      <c r="A35" s="4" t="s">
        <v>52</v>
      </c>
    </row>
    <row r="36">
      <c r="A36" s="4" t="s">
        <v>1419</v>
      </c>
      <c r="B36" s="5">
        <v>2908.0</v>
      </c>
      <c r="C36" s="5">
        <v>17.7</v>
      </c>
      <c r="D36" s="5">
        <v>12.6</v>
      </c>
      <c r="G36" s="5">
        <v>10.26</v>
      </c>
      <c r="I36" s="5">
        <v>2.02</v>
      </c>
    </row>
    <row r="37">
      <c r="A37" s="4" t="s">
        <v>1221</v>
      </c>
      <c r="B37" s="5">
        <v>2922.0</v>
      </c>
      <c r="C37" s="5">
        <v>23.6</v>
      </c>
      <c r="D37" s="5">
        <v>24.0</v>
      </c>
      <c r="G37" s="5">
        <v>8.41</v>
      </c>
      <c r="I37" s="5">
        <v>1.61</v>
      </c>
    </row>
    <row r="38">
      <c r="A38" s="4" t="s">
        <v>1224</v>
      </c>
      <c r="B38" s="5">
        <v>2915.0</v>
      </c>
      <c r="C38" s="5">
        <v>18.4</v>
      </c>
      <c r="D38" s="5">
        <v>13.3</v>
      </c>
      <c r="G38" s="5">
        <v>9.48</v>
      </c>
      <c r="I38" s="5">
        <v>1.22</v>
      </c>
    </row>
    <row r="39">
      <c r="A39" s="4" t="s">
        <v>1837</v>
      </c>
    </row>
    <row r="40">
      <c r="A40" s="4" t="s">
        <v>55</v>
      </c>
    </row>
    <row r="41">
      <c r="A41" s="4" t="s">
        <v>1420</v>
      </c>
      <c r="B41" s="5">
        <v>2905.0</v>
      </c>
      <c r="C41" s="5">
        <v>16.1</v>
      </c>
      <c r="D41" s="5">
        <v>12.5</v>
      </c>
      <c r="G41" s="5">
        <v>11.78</v>
      </c>
      <c r="I41" s="5">
        <v>2.64</v>
      </c>
    </row>
    <row r="42">
      <c r="A42" s="4" t="s">
        <v>1421</v>
      </c>
      <c r="B42" s="5">
        <v>2912.0</v>
      </c>
      <c r="C42" s="5">
        <v>20.8</v>
      </c>
      <c r="D42" s="5">
        <v>19.1</v>
      </c>
      <c r="G42" s="5">
        <v>7.75</v>
      </c>
      <c r="I42" s="5">
        <v>0.59</v>
      </c>
    </row>
    <row r="43">
      <c r="A43" s="4" t="s">
        <v>1989</v>
      </c>
    </row>
    <row r="44">
      <c r="A44" s="4" t="s">
        <v>1990</v>
      </c>
      <c r="B44" s="5">
        <v>2902.0</v>
      </c>
      <c r="C44" s="5">
        <v>20.6</v>
      </c>
      <c r="D44" s="5">
        <v>13.2</v>
      </c>
      <c r="G44" s="5">
        <v>7.11</v>
      </c>
      <c r="I44" s="5">
        <v>0.58</v>
      </c>
    </row>
    <row r="45">
      <c r="A45" s="4" t="s">
        <v>1226</v>
      </c>
      <c r="B45" s="5">
        <v>2914.0</v>
      </c>
      <c r="C45" s="5">
        <v>17.0</v>
      </c>
      <c r="D45" s="5">
        <v>12.0</v>
      </c>
      <c r="G45" s="5">
        <v>10.68</v>
      </c>
      <c r="I45" s="5">
        <v>1.53</v>
      </c>
    </row>
    <row r="46">
      <c r="A46" s="4" t="s">
        <v>59</v>
      </c>
      <c r="B46" s="5">
        <v>2917.0</v>
      </c>
      <c r="C46" s="5">
        <v>19.5</v>
      </c>
      <c r="D46" s="5">
        <v>19.2</v>
      </c>
      <c r="G46" s="5">
        <v>7.26</v>
      </c>
      <c r="I46" s="5">
        <v>0.24</v>
      </c>
    </row>
    <row r="47">
      <c r="A47" s="4" t="s">
        <v>60</v>
      </c>
      <c r="B47" s="5">
        <v>2921.0</v>
      </c>
      <c r="C47" s="5">
        <v>14.1</v>
      </c>
      <c r="D47" s="5">
        <v>11.0</v>
      </c>
      <c r="G47" s="5">
        <v>7.96</v>
      </c>
      <c r="I47" s="5">
        <v>0.59</v>
      </c>
    </row>
    <row r="48">
      <c r="A48" s="4" t="s">
        <v>1991</v>
      </c>
      <c r="B48" s="5">
        <v>2920.0</v>
      </c>
      <c r="C48" s="5">
        <v>17.2</v>
      </c>
      <c r="D48" s="5">
        <v>10.1</v>
      </c>
      <c r="G48" s="5">
        <v>8.46</v>
      </c>
      <c r="I48" s="5">
        <v>0.56</v>
      </c>
    </row>
    <row r="49">
      <c r="A49" s="4" t="s">
        <v>61</v>
      </c>
      <c r="B49" s="5">
        <v>2911.0</v>
      </c>
      <c r="C49" s="5">
        <v>16.8</v>
      </c>
      <c r="D49" s="5">
        <v>13.7</v>
      </c>
      <c r="G49" s="5">
        <v>8.93</v>
      </c>
      <c r="I49" s="5">
        <v>1.05</v>
      </c>
    </row>
    <row r="50">
      <c r="A50" s="4" t="s">
        <v>63</v>
      </c>
    </row>
    <row r="51">
      <c r="A51" s="4" t="s">
        <v>64</v>
      </c>
      <c r="B51" s="5">
        <v>2919.0</v>
      </c>
      <c r="C51" s="5">
        <v>18.0</v>
      </c>
      <c r="D51" s="5">
        <v>15.7</v>
      </c>
      <c r="G51" s="5">
        <v>7.07</v>
      </c>
      <c r="I51" s="5">
        <v>0.55</v>
      </c>
    </row>
    <row r="52">
      <c r="A52" s="4" t="s">
        <v>84</v>
      </c>
      <c r="B52" s="5">
        <v>2895.0</v>
      </c>
      <c r="C52" s="5">
        <v>15.6</v>
      </c>
      <c r="D52" s="5">
        <v>11.6</v>
      </c>
      <c r="G52" s="5">
        <v>7.95</v>
      </c>
      <c r="I52" s="5">
        <v>0.94</v>
      </c>
    </row>
    <row r="53">
      <c r="A53" s="4" t="s">
        <v>1992</v>
      </c>
      <c r="B53" s="5">
        <v>2916.0</v>
      </c>
      <c r="C53" s="5">
        <v>13.9</v>
      </c>
      <c r="D53" s="5">
        <v>13.8</v>
      </c>
      <c r="G53" s="5">
        <v>6.94</v>
      </c>
      <c r="I53" s="5">
        <v>0.4</v>
      </c>
    </row>
    <row r="54">
      <c r="A54" s="4" t="s">
        <v>1422</v>
      </c>
      <c r="B54" s="5">
        <v>2906.0</v>
      </c>
      <c r="C54" s="5">
        <v>17.5</v>
      </c>
      <c r="D54" s="5">
        <v>12.5</v>
      </c>
      <c r="G54" s="5">
        <v>10.11</v>
      </c>
      <c r="I54" s="5">
        <v>1.07</v>
      </c>
    </row>
    <row r="55">
      <c r="A55" s="4" t="s">
        <v>1993</v>
      </c>
      <c r="B55" s="5">
        <v>2901.0</v>
      </c>
      <c r="C55" s="5">
        <v>17.5</v>
      </c>
      <c r="D55" s="5">
        <v>14.0</v>
      </c>
      <c r="G55" s="5">
        <v>7.68</v>
      </c>
      <c r="I55" s="5">
        <v>0.66</v>
      </c>
    </row>
    <row r="56">
      <c r="A56" s="4" t="s">
        <v>1425</v>
      </c>
      <c r="B56" s="5">
        <v>2913.0</v>
      </c>
      <c r="C56" s="5">
        <v>14.0</v>
      </c>
      <c r="D56" s="5">
        <v>12.8</v>
      </c>
      <c r="G56" s="5">
        <v>10.03</v>
      </c>
      <c r="I56" s="5">
        <v>1.26</v>
      </c>
    </row>
    <row r="57">
      <c r="A57" s="4" t="s">
        <v>65</v>
      </c>
    </row>
    <row r="58">
      <c r="A58" s="4" t="s">
        <v>1994</v>
      </c>
      <c r="B58" s="5">
        <v>2894.0</v>
      </c>
      <c r="C58" s="5">
        <v>16.7</v>
      </c>
      <c r="D58" s="5">
        <v>9.9</v>
      </c>
      <c r="G58" s="5">
        <v>7.99</v>
      </c>
      <c r="I58" s="5">
        <v>1.06</v>
      </c>
    </row>
    <row r="59">
      <c r="A59" s="4" t="s">
        <v>1995</v>
      </c>
      <c r="B59" s="5">
        <v>2910.0</v>
      </c>
      <c r="C59" s="5">
        <v>17.4</v>
      </c>
      <c r="D59" s="5">
        <v>9.8</v>
      </c>
      <c r="G59" s="5">
        <v>6.63</v>
      </c>
      <c r="I59" s="5">
        <v>0.49</v>
      </c>
    </row>
    <row r="60">
      <c r="A60" s="4" t="s">
        <v>1996</v>
      </c>
      <c r="B60" s="5">
        <v>2900.0</v>
      </c>
      <c r="C60" s="5">
        <v>14.6</v>
      </c>
      <c r="D60" s="5">
        <v>10.1</v>
      </c>
      <c r="G60" s="5">
        <v>7.17</v>
      </c>
      <c r="I60" s="5">
        <v>0.74</v>
      </c>
    </row>
    <row r="61">
      <c r="A61" s="4" t="s">
        <v>1667</v>
      </c>
      <c r="B61" s="5">
        <v>2893.0</v>
      </c>
      <c r="C61" s="5">
        <v>12.7</v>
      </c>
      <c r="D61" s="5">
        <v>9.6</v>
      </c>
      <c r="G61" s="5">
        <v>7.03</v>
      </c>
      <c r="I61" s="5">
        <v>0.45</v>
      </c>
    </row>
    <row r="62">
      <c r="A62" s="4" t="s">
        <v>1427</v>
      </c>
      <c r="B62" s="5">
        <v>2897.0</v>
      </c>
      <c r="C62" s="5">
        <v>14.0</v>
      </c>
      <c r="D62" s="5">
        <v>8.5</v>
      </c>
      <c r="G62" s="5">
        <v>7.49</v>
      </c>
      <c r="I62" s="5">
        <v>0.8</v>
      </c>
    </row>
    <row r="63">
      <c r="A63" s="4" t="s">
        <v>1997</v>
      </c>
      <c r="B63" s="5">
        <v>2918.0</v>
      </c>
      <c r="C63" s="5">
        <v>17.9</v>
      </c>
      <c r="D63" s="5">
        <v>15.3</v>
      </c>
      <c r="G63" s="5">
        <v>5.79</v>
      </c>
      <c r="I63" s="5">
        <v>0.38</v>
      </c>
    </row>
    <row r="64">
      <c r="A64" s="4" t="s">
        <v>87</v>
      </c>
      <c r="B64" s="5">
        <v>2909.0</v>
      </c>
      <c r="C64" s="5">
        <v>12.7</v>
      </c>
      <c r="D64" s="5">
        <v>8.2</v>
      </c>
      <c r="G64" s="5">
        <v>5.76</v>
      </c>
      <c r="I64" s="5">
        <v>0.52</v>
      </c>
    </row>
    <row r="65">
      <c r="A65" s="4" t="s">
        <v>1998</v>
      </c>
      <c r="B65" s="5">
        <v>2907.0</v>
      </c>
      <c r="C65" s="5">
        <v>14.4</v>
      </c>
      <c r="D65" s="5">
        <v>19.2</v>
      </c>
      <c r="G65" s="5">
        <v>5.92</v>
      </c>
      <c r="I65" s="5">
        <v>0.37</v>
      </c>
    </row>
    <row r="66">
      <c r="A66" s="4" t="s">
        <v>1999</v>
      </c>
      <c r="B66" s="5">
        <v>2896.0</v>
      </c>
      <c r="C66" s="5">
        <v>13.0</v>
      </c>
      <c r="D66" s="5">
        <v>8.0</v>
      </c>
      <c r="G66" s="5">
        <v>6.43</v>
      </c>
      <c r="I66" s="5">
        <v>0.43</v>
      </c>
    </row>
    <row r="67">
      <c r="A67" s="4" t="s">
        <v>2000</v>
      </c>
      <c r="B67" s="5">
        <v>2892.0</v>
      </c>
      <c r="C67" s="5">
        <v>11.6</v>
      </c>
      <c r="D67" s="5">
        <v>9.0</v>
      </c>
      <c r="G67" s="5">
        <v>7.69</v>
      </c>
      <c r="I67" s="5">
        <v>0.76</v>
      </c>
    </row>
    <row r="68">
      <c r="A68" s="4" t="s">
        <v>2001</v>
      </c>
      <c r="B68" s="5">
        <v>2898.0</v>
      </c>
      <c r="C68" s="5">
        <v>9.5</v>
      </c>
      <c r="D68" s="5">
        <v>7.1</v>
      </c>
      <c r="G68" s="5">
        <v>4.77</v>
      </c>
      <c r="I68" s="5">
        <v>0.15</v>
      </c>
    </row>
    <row r="69">
      <c r="A69" s="4" t="s">
        <v>2002</v>
      </c>
    </row>
    <row r="70">
      <c r="A70" s="4" t="s">
        <v>2003</v>
      </c>
      <c r="B70" s="5">
        <v>2899.0</v>
      </c>
      <c r="C70" s="5">
        <v>14.1</v>
      </c>
      <c r="D70" s="5">
        <v>11.5</v>
      </c>
      <c r="G70" s="5">
        <v>5.27</v>
      </c>
      <c r="I70" s="5">
        <v>0.35</v>
      </c>
    </row>
    <row r="71">
      <c r="A71" s="4" t="s">
        <v>2004</v>
      </c>
      <c r="B71" s="5">
        <v>2891.0</v>
      </c>
      <c r="C71" s="5">
        <v>10.8</v>
      </c>
      <c r="D71" s="5">
        <v>5.6</v>
      </c>
      <c r="G71" s="5">
        <v>5.1</v>
      </c>
      <c r="I71" s="5">
        <v>0.28</v>
      </c>
    </row>
    <row r="72">
      <c r="A72" s="4"/>
    </row>
    <row r="73">
      <c r="A73" s="4" t="s">
        <v>93</v>
      </c>
      <c r="B73" s="5">
        <v>2954.0</v>
      </c>
      <c r="C73" s="5">
        <v>20.8</v>
      </c>
      <c r="D73" s="5">
        <v>18.3</v>
      </c>
      <c r="G73" s="5">
        <v>10.49</v>
      </c>
      <c r="I73" s="5">
        <v>2.85</v>
      </c>
    </row>
    <row r="74">
      <c r="A74" s="4" t="s">
        <v>1231</v>
      </c>
      <c r="B74" s="5">
        <v>2953.0</v>
      </c>
      <c r="C74" s="5">
        <v>22.7</v>
      </c>
      <c r="D74" s="5">
        <v>17.6</v>
      </c>
      <c r="G74" s="5">
        <v>11.67</v>
      </c>
      <c r="I74" s="5">
        <v>2.12</v>
      </c>
    </row>
    <row r="75">
      <c r="A75" s="4" t="s">
        <v>97</v>
      </c>
      <c r="B75" s="5">
        <v>2941.0</v>
      </c>
      <c r="C75" s="5">
        <v>28.0</v>
      </c>
      <c r="D75" s="5">
        <v>17.6</v>
      </c>
      <c r="G75" s="5">
        <v>7.13</v>
      </c>
      <c r="I75" s="5">
        <v>1.05</v>
      </c>
    </row>
    <row r="76">
      <c r="A76" s="4" t="s">
        <v>1233</v>
      </c>
      <c r="B76" s="5">
        <v>2952.0</v>
      </c>
      <c r="C76" s="5">
        <v>23.6</v>
      </c>
      <c r="D76" s="5">
        <v>18.5</v>
      </c>
      <c r="G76" s="5">
        <v>10.36</v>
      </c>
      <c r="I76" s="5">
        <v>2.96</v>
      </c>
    </row>
    <row r="77">
      <c r="A77" s="4" t="s">
        <v>104</v>
      </c>
      <c r="B77" s="5">
        <v>2940.0</v>
      </c>
      <c r="C77" s="5">
        <v>25.7</v>
      </c>
      <c r="D77" s="5">
        <v>20.1</v>
      </c>
      <c r="G77" s="5">
        <v>8.5</v>
      </c>
      <c r="I77" s="5">
        <v>1.2</v>
      </c>
    </row>
    <row r="78">
      <c r="A78" s="4" t="s">
        <v>1232</v>
      </c>
      <c r="B78" s="5">
        <v>2944.0</v>
      </c>
      <c r="C78" s="5">
        <v>27.7</v>
      </c>
      <c r="D78" s="5">
        <v>24.1</v>
      </c>
      <c r="G78" s="5">
        <v>7.24</v>
      </c>
      <c r="I78" s="5">
        <v>0.35</v>
      </c>
    </row>
    <row r="79">
      <c r="A79" s="4" t="s">
        <v>1234</v>
      </c>
      <c r="B79" s="5">
        <v>2950.0</v>
      </c>
      <c r="C79" s="5">
        <v>23.4</v>
      </c>
      <c r="D79" s="5">
        <v>16.0</v>
      </c>
      <c r="G79" s="5">
        <v>9.3</v>
      </c>
      <c r="I79" s="5">
        <v>1.38</v>
      </c>
    </row>
    <row r="80">
      <c r="A80" s="4" t="s">
        <v>1430</v>
      </c>
      <c r="B80" s="5">
        <v>2951.0</v>
      </c>
      <c r="C80" s="5">
        <v>27.6</v>
      </c>
      <c r="D80" s="5">
        <v>19.2</v>
      </c>
      <c r="G80" s="5">
        <v>9.08</v>
      </c>
      <c r="I80" s="5">
        <v>1.31</v>
      </c>
    </row>
    <row r="81">
      <c r="A81" s="4" t="s">
        <v>1235</v>
      </c>
      <c r="B81" s="5">
        <v>2949.0</v>
      </c>
      <c r="C81" s="5">
        <v>19.2</v>
      </c>
      <c r="D81" s="5">
        <v>12.4</v>
      </c>
      <c r="G81" s="5">
        <v>9.72</v>
      </c>
      <c r="I81" s="5">
        <v>1.47</v>
      </c>
    </row>
    <row r="82">
      <c r="A82" s="4" t="s">
        <v>1236</v>
      </c>
      <c r="B82" s="5">
        <v>2943.0</v>
      </c>
      <c r="C82" s="5">
        <v>20.1</v>
      </c>
      <c r="D82" s="5">
        <v>18.1</v>
      </c>
      <c r="G82" s="5">
        <v>7.24</v>
      </c>
      <c r="I82" s="5">
        <v>0.92</v>
      </c>
    </row>
    <row r="83">
      <c r="A83" s="4" t="s">
        <v>105</v>
      </c>
      <c r="B83" s="5">
        <v>2938.0</v>
      </c>
      <c r="C83" s="5">
        <v>19.4</v>
      </c>
      <c r="D83" s="5">
        <v>15.5</v>
      </c>
      <c r="G83" s="5">
        <v>8.88</v>
      </c>
      <c r="I83" s="5">
        <v>1.36</v>
      </c>
    </row>
    <row r="84">
      <c r="A84" s="4" t="s">
        <v>95</v>
      </c>
      <c r="B84" s="5">
        <v>2946.0</v>
      </c>
      <c r="C84" s="5">
        <v>19.9</v>
      </c>
      <c r="D84" s="5">
        <v>25.0</v>
      </c>
      <c r="G84" s="5">
        <v>7.29</v>
      </c>
      <c r="I84" s="5">
        <v>0.63</v>
      </c>
    </row>
    <row r="85">
      <c r="A85" s="4" t="s">
        <v>2005</v>
      </c>
      <c r="B85" s="5">
        <v>2939.0</v>
      </c>
      <c r="C85" s="5">
        <v>23.4</v>
      </c>
      <c r="D85" s="5">
        <v>15.3</v>
      </c>
      <c r="G85" s="5">
        <v>8.1</v>
      </c>
      <c r="I85" s="5">
        <v>0.74</v>
      </c>
    </row>
    <row r="86">
      <c r="A86" s="4" t="s">
        <v>2006</v>
      </c>
      <c r="B86" s="5">
        <v>2928.0</v>
      </c>
      <c r="C86" s="5">
        <v>17.7</v>
      </c>
      <c r="D86" s="5">
        <v>16.1</v>
      </c>
      <c r="G86" s="5">
        <v>6.96</v>
      </c>
      <c r="I86" s="5">
        <v>0.76</v>
      </c>
    </row>
    <row r="87">
      <c r="A87" s="4" t="s">
        <v>114</v>
      </c>
      <c r="B87" s="5">
        <v>2937.0</v>
      </c>
      <c r="C87" s="5">
        <v>19.0</v>
      </c>
      <c r="D87" s="5">
        <v>16.7</v>
      </c>
      <c r="G87" s="5">
        <v>8.89</v>
      </c>
      <c r="I87" s="5">
        <v>1.15</v>
      </c>
    </row>
    <row r="88">
      <c r="A88" s="4" t="s">
        <v>1435</v>
      </c>
      <c r="B88" s="5">
        <v>2948.0</v>
      </c>
      <c r="C88" s="5">
        <v>13.8</v>
      </c>
      <c r="D88" s="5">
        <v>10.5</v>
      </c>
      <c r="G88" s="5">
        <v>8.41</v>
      </c>
      <c r="I88" s="5">
        <v>1.22</v>
      </c>
    </row>
    <row r="89">
      <c r="A89" s="4" t="s">
        <v>101</v>
      </c>
      <c r="B89" s="5">
        <v>2945.0</v>
      </c>
      <c r="C89" s="5">
        <v>13.7</v>
      </c>
      <c r="D89" s="5">
        <v>14.2</v>
      </c>
      <c r="G89" s="5">
        <v>8.29</v>
      </c>
      <c r="I89" s="5">
        <v>0.65</v>
      </c>
    </row>
    <row r="90">
      <c r="A90" s="4" t="s">
        <v>1237</v>
      </c>
      <c r="B90" s="5">
        <v>2942.0</v>
      </c>
      <c r="C90" s="5">
        <v>18.1</v>
      </c>
      <c r="D90" s="5">
        <v>13.5</v>
      </c>
      <c r="G90" s="5">
        <v>8.46</v>
      </c>
      <c r="I90" s="5">
        <v>0.81</v>
      </c>
    </row>
    <row r="91">
      <c r="A91" s="4" t="s">
        <v>2007</v>
      </c>
      <c r="B91" s="5">
        <v>2936.0</v>
      </c>
      <c r="C91" s="5">
        <v>18.8</v>
      </c>
      <c r="D91" s="5">
        <v>19.2</v>
      </c>
      <c r="G91" s="5">
        <v>6.72</v>
      </c>
      <c r="I91" s="5">
        <v>0.47</v>
      </c>
    </row>
    <row r="92">
      <c r="A92" s="4" t="s">
        <v>1238</v>
      </c>
      <c r="B92" s="5">
        <v>2930.0</v>
      </c>
      <c r="C92" s="5">
        <v>12.0</v>
      </c>
      <c r="D92" s="5">
        <v>10.7</v>
      </c>
      <c r="G92" s="5">
        <v>6.96</v>
      </c>
      <c r="I92" s="5">
        <v>0.91</v>
      </c>
    </row>
    <row r="93">
      <c r="A93" s="4" t="s">
        <v>118</v>
      </c>
      <c r="B93" s="5">
        <v>2934.0</v>
      </c>
      <c r="C93" s="5">
        <v>14.6</v>
      </c>
      <c r="D93" s="5">
        <v>10.7</v>
      </c>
      <c r="G93" s="5">
        <v>7.23</v>
      </c>
      <c r="I93" s="5"/>
    </row>
    <row r="94">
      <c r="A94" s="4" t="s">
        <v>2008</v>
      </c>
      <c r="B94" s="5">
        <v>2947.0</v>
      </c>
      <c r="C94" s="5">
        <v>14.5</v>
      </c>
      <c r="D94" s="5">
        <v>12.5</v>
      </c>
      <c r="G94" s="5">
        <v>7.67</v>
      </c>
      <c r="I94" s="5">
        <v>0.65</v>
      </c>
    </row>
    <row r="95">
      <c r="A95" s="4" t="s">
        <v>2009</v>
      </c>
      <c r="B95" s="5">
        <v>2927.0</v>
      </c>
      <c r="C95" s="5">
        <v>10.9</v>
      </c>
      <c r="D95" s="5">
        <v>8.8</v>
      </c>
      <c r="G95" s="5">
        <v>6.09</v>
      </c>
      <c r="I95" s="5">
        <v>0.33</v>
      </c>
    </row>
    <row r="96">
      <c r="A96" s="4" t="s">
        <v>1907</v>
      </c>
      <c r="B96" s="5">
        <v>2931.0</v>
      </c>
      <c r="C96" s="5">
        <v>10.8</v>
      </c>
      <c r="D96" s="5">
        <v>7.5</v>
      </c>
      <c r="G96" s="5">
        <v>5.67</v>
      </c>
      <c r="I96" s="5">
        <v>0.31</v>
      </c>
    </row>
    <row r="97">
      <c r="A97" s="4" t="s">
        <v>2010</v>
      </c>
      <c r="B97" s="5">
        <v>2926.0</v>
      </c>
      <c r="C97" s="5">
        <v>18.1</v>
      </c>
      <c r="D97" s="5">
        <v>10.5</v>
      </c>
      <c r="G97" s="5">
        <v>5.65</v>
      </c>
      <c r="I97" s="5">
        <v>0.25</v>
      </c>
    </row>
    <row r="98">
      <c r="A98" s="4" t="s">
        <v>109</v>
      </c>
      <c r="B98" s="5">
        <v>2932.0</v>
      </c>
      <c r="C98" s="5">
        <v>14.7</v>
      </c>
      <c r="D98" s="5">
        <v>12.2</v>
      </c>
      <c r="G98" s="5">
        <v>8.49</v>
      </c>
      <c r="I98" s="5">
        <v>0.69</v>
      </c>
    </row>
    <row r="99">
      <c r="A99" s="4" t="s">
        <v>1436</v>
      </c>
      <c r="B99" s="5">
        <v>2929.0</v>
      </c>
      <c r="C99" s="5">
        <v>12.9</v>
      </c>
      <c r="D99" s="5">
        <v>8.2</v>
      </c>
      <c r="G99" s="5">
        <v>5.86</v>
      </c>
      <c r="I99" s="5">
        <v>0.45</v>
      </c>
    </row>
    <row r="100">
      <c r="A100" s="4" t="s">
        <v>2011</v>
      </c>
      <c r="B100" s="5">
        <v>2933.0</v>
      </c>
      <c r="C100" s="5">
        <v>11.6</v>
      </c>
      <c r="D100" s="5">
        <v>9.0</v>
      </c>
      <c r="G100" s="5">
        <v>5.58</v>
      </c>
      <c r="I100" s="5">
        <v>0.27</v>
      </c>
    </row>
    <row r="101">
      <c r="A101" s="4" t="s">
        <v>1439</v>
      </c>
      <c r="B101" s="5">
        <v>2935.0</v>
      </c>
      <c r="C101" s="5">
        <v>14.3</v>
      </c>
      <c r="D101" s="5">
        <v>11.7</v>
      </c>
      <c r="G101" s="5">
        <v>7.14</v>
      </c>
      <c r="I101" s="5">
        <v>0.78</v>
      </c>
    </row>
    <row r="102">
      <c r="A102" s="4"/>
    </row>
    <row r="103">
      <c r="A103" s="4" t="s">
        <v>128</v>
      </c>
      <c r="B103" s="5">
        <v>2975.0</v>
      </c>
      <c r="C103" s="5">
        <v>20.0</v>
      </c>
      <c r="D103" s="5">
        <v>20.0</v>
      </c>
      <c r="G103" s="5">
        <v>18.07</v>
      </c>
      <c r="I103" s="5">
        <v>6.74</v>
      </c>
    </row>
    <row r="104">
      <c r="A104" s="4" t="s">
        <v>130</v>
      </c>
      <c r="B104" s="5">
        <v>2974.0</v>
      </c>
      <c r="C104" s="5">
        <v>26.7</v>
      </c>
      <c r="D104" s="5">
        <v>19.5</v>
      </c>
      <c r="G104" s="5">
        <v>14.65</v>
      </c>
      <c r="I104" s="5">
        <v>4.88</v>
      </c>
    </row>
    <row r="105">
      <c r="A105" s="4" t="s">
        <v>129</v>
      </c>
      <c r="B105" s="5">
        <v>2973.0</v>
      </c>
      <c r="C105" s="5">
        <v>21.2</v>
      </c>
      <c r="D105" s="5">
        <v>16.0</v>
      </c>
      <c r="G105" s="5">
        <v>12.73</v>
      </c>
      <c r="I105" s="5">
        <v>3.69</v>
      </c>
    </row>
    <row r="106">
      <c r="A106" s="4" t="s">
        <v>136</v>
      </c>
      <c r="B106" s="5">
        <v>2972.0</v>
      </c>
      <c r="C106" s="5">
        <v>22.7</v>
      </c>
      <c r="D106" s="5">
        <v>18.1</v>
      </c>
      <c r="G106" s="5">
        <v>11.24</v>
      </c>
      <c r="I106" s="5">
        <v>1.92</v>
      </c>
    </row>
    <row r="107">
      <c r="A107" s="4" t="s">
        <v>137</v>
      </c>
      <c r="B107" s="5">
        <v>2969.0</v>
      </c>
      <c r="C107" s="5">
        <v>22.0</v>
      </c>
      <c r="D107" s="5">
        <v>14.2</v>
      </c>
      <c r="G107" s="5">
        <v>10.15</v>
      </c>
      <c r="I107" s="5">
        <v>1.64</v>
      </c>
    </row>
    <row r="108">
      <c r="A108" s="4" t="s">
        <v>139</v>
      </c>
      <c r="C108" s="5">
        <v>18.7</v>
      </c>
      <c r="D108" s="5">
        <v>13.0</v>
      </c>
      <c r="G108" s="5">
        <v>6.94</v>
      </c>
    </row>
    <row r="109">
      <c r="A109" s="4" t="s">
        <v>140</v>
      </c>
      <c r="B109" s="5">
        <v>2968.0</v>
      </c>
      <c r="C109" s="5">
        <v>23.2</v>
      </c>
      <c r="D109" s="5">
        <v>20.8</v>
      </c>
      <c r="G109" s="5">
        <v>9.55</v>
      </c>
      <c r="I109" s="5">
        <v>1.03</v>
      </c>
    </row>
    <row r="110">
      <c r="A110" s="4" t="s">
        <v>138</v>
      </c>
      <c r="B110" s="5">
        <v>2967.0</v>
      </c>
      <c r="C110" s="5">
        <v>26.2</v>
      </c>
      <c r="D110" s="5">
        <v>21.0</v>
      </c>
      <c r="G110" s="5">
        <v>10.08</v>
      </c>
      <c r="I110" s="5">
        <v>1.37</v>
      </c>
    </row>
    <row r="111">
      <c r="A111" s="4" t="s">
        <v>141</v>
      </c>
      <c r="B111" s="5">
        <v>2966.0</v>
      </c>
      <c r="C111" s="5">
        <v>18.5</v>
      </c>
      <c r="D111" s="5">
        <v>16.1</v>
      </c>
      <c r="G111" s="5">
        <v>10.43</v>
      </c>
    </row>
    <row r="112">
      <c r="A112" s="4" t="s">
        <v>131</v>
      </c>
      <c r="B112" s="5">
        <v>2971.0</v>
      </c>
      <c r="C112" s="5">
        <v>23.7</v>
      </c>
      <c r="D112" s="5">
        <v>24.5</v>
      </c>
      <c r="G112" s="5">
        <v>8.82</v>
      </c>
      <c r="I112" s="5">
        <v>0.82</v>
      </c>
    </row>
    <row r="113">
      <c r="A113" s="4" t="s">
        <v>132</v>
      </c>
      <c r="B113" s="5">
        <v>2970.0</v>
      </c>
      <c r="C113" s="5">
        <v>17.8</v>
      </c>
      <c r="D113" s="5">
        <v>12.6</v>
      </c>
      <c r="G113" s="5">
        <v>9.96</v>
      </c>
      <c r="I113" s="5">
        <v>1.06</v>
      </c>
    </row>
    <row r="114">
      <c r="A114" s="4" t="s">
        <v>2012</v>
      </c>
      <c r="B114" s="5">
        <v>2961.0</v>
      </c>
      <c r="C114" s="5">
        <v>14.1</v>
      </c>
      <c r="D114" s="5">
        <v>11.6</v>
      </c>
      <c r="G114" s="5">
        <v>7.49</v>
      </c>
      <c r="I114" s="5">
        <v>0.82</v>
      </c>
    </row>
    <row r="115">
      <c r="A115" s="4" t="s">
        <v>147</v>
      </c>
      <c r="B115" s="5">
        <v>2963.0</v>
      </c>
      <c r="C115" s="5">
        <v>17.0</v>
      </c>
      <c r="D115" s="5">
        <v>12.5</v>
      </c>
      <c r="G115" s="5">
        <v>9.34</v>
      </c>
      <c r="I115" s="5">
        <v>0.88</v>
      </c>
    </row>
    <row r="116">
      <c r="A116" s="4" t="s">
        <v>151</v>
      </c>
      <c r="B116" s="5">
        <v>2962.0</v>
      </c>
      <c r="C116" s="5">
        <v>15.9</v>
      </c>
      <c r="D116" s="5">
        <v>11.2</v>
      </c>
      <c r="G116" s="5">
        <v>9.12</v>
      </c>
      <c r="I116" s="5">
        <v>1.14</v>
      </c>
    </row>
    <row r="117">
      <c r="A117" s="4" t="s">
        <v>149</v>
      </c>
      <c r="B117" s="5">
        <v>2958.0</v>
      </c>
      <c r="C117" s="5">
        <v>14.5</v>
      </c>
      <c r="D117" s="5">
        <v>11.6</v>
      </c>
      <c r="G117" s="5">
        <v>8.69</v>
      </c>
      <c r="I117" s="5">
        <v>1.03</v>
      </c>
    </row>
    <row r="118">
      <c r="A118" s="4" t="s">
        <v>150</v>
      </c>
      <c r="B118" s="5">
        <v>2964.0</v>
      </c>
      <c r="C118" s="5">
        <v>20.4</v>
      </c>
      <c r="D118" s="5">
        <v>15.2</v>
      </c>
      <c r="G118" s="5">
        <v>7.41</v>
      </c>
      <c r="I118" s="5">
        <v>0.49</v>
      </c>
    </row>
    <row r="119">
      <c r="A119" s="4" t="s">
        <v>161</v>
      </c>
      <c r="B119" s="5">
        <v>2960.0</v>
      </c>
      <c r="C119" s="5">
        <v>12.8</v>
      </c>
      <c r="D119" s="5">
        <v>10.0</v>
      </c>
      <c r="G119" s="5">
        <v>7.91</v>
      </c>
      <c r="I119" s="5">
        <v>0.59</v>
      </c>
    </row>
    <row r="120">
      <c r="A120" s="4" t="s">
        <v>155</v>
      </c>
      <c r="B120" s="5">
        <v>2955.0</v>
      </c>
      <c r="C120" s="5">
        <v>13.3</v>
      </c>
      <c r="D120" s="5">
        <v>10.8</v>
      </c>
      <c r="G120" s="5">
        <v>7.04</v>
      </c>
      <c r="I120" s="5">
        <v>0.51</v>
      </c>
    </row>
    <row r="121">
      <c r="A121" s="4" t="s">
        <v>2013</v>
      </c>
      <c r="B121" s="5">
        <v>2957.0</v>
      </c>
      <c r="C121" s="5">
        <v>17.5</v>
      </c>
      <c r="D121" s="5">
        <v>9.5</v>
      </c>
      <c r="G121" s="5">
        <v>6.15</v>
      </c>
      <c r="I121" s="5">
        <v>0.28</v>
      </c>
    </row>
    <row r="122">
      <c r="A122" s="4" t="s">
        <v>2014</v>
      </c>
      <c r="B122" s="5">
        <v>2959.0</v>
      </c>
      <c r="C122" s="5">
        <v>13.5</v>
      </c>
      <c r="D122" s="5">
        <v>8.5</v>
      </c>
      <c r="G122" s="5">
        <v>7.59</v>
      </c>
      <c r="I122" s="5">
        <v>0.52</v>
      </c>
    </row>
    <row r="123">
      <c r="A123" s="4" t="s">
        <v>2015</v>
      </c>
      <c r="B123" s="5">
        <v>2956.0</v>
      </c>
      <c r="C123" s="5">
        <v>9.8</v>
      </c>
      <c r="D123" s="5">
        <v>9.2</v>
      </c>
      <c r="G123" s="5">
        <v>7.55</v>
      </c>
      <c r="I123" s="5">
        <v>0.41</v>
      </c>
    </row>
    <row r="124">
      <c r="A124" s="4"/>
    </row>
    <row r="125">
      <c r="A125" s="4" t="s">
        <v>162</v>
      </c>
      <c r="B125" s="5">
        <v>2992.0</v>
      </c>
      <c r="C125" s="5">
        <v>26.0</v>
      </c>
      <c r="D125" s="5">
        <v>23.1</v>
      </c>
      <c r="G125" s="5">
        <v>10.17</v>
      </c>
      <c r="I125" s="5">
        <v>2.34</v>
      </c>
    </row>
    <row r="126">
      <c r="A126" s="4" t="s">
        <v>163</v>
      </c>
      <c r="B126" s="5">
        <v>2990.0</v>
      </c>
      <c r="C126" s="5">
        <v>22.0</v>
      </c>
      <c r="D126" s="5">
        <v>21.1</v>
      </c>
      <c r="G126" s="5">
        <v>11.84</v>
      </c>
      <c r="I126" s="5">
        <v>2.89</v>
      </c>
    </row>
    <row r="127">
      <c r="A127" s="4" t="s">
        <v>164</v>
      </c>
      <c r="B127" s="5">
        <v>2991.0</v>
      </c>
      <c r="C127" s="5">
        <v>19.5</v>
      </c>
      <c r="D127" s="5">
        <v>22.2</v>
      </c>
      <c r="G127" s="5">
        <v>7.87</v>
      </c>
      <c r="I127" s="5">
        <v>1.31</v>
      </c>
    </row>
    <row r="128">
      <c r="A128" s="4" t="s">
        <v>165</v>
      </c>
      <c r="B128" s="5">
        <v>2987.0</v>
      </c>
      <c r="C128" s="5">
        <v>24.2</v>
      </c>
      <c r="D128" s="5">
        <v>19.5</v>
      </c>
      <c r="G128" s="5">
        <v>10.52</v>
      </c>
      <c r="I128" s="5">
        <v>1.78</v>
      </c>
    </row>
    <row r="129">
      <c r="A129" s="4" t="s">
        <v>166</v>
      </c>
      <c r="B129" s="5">
        <v>2985.0</v>
      </c>
      <c r="C129" s="5">
        <v>22.5</v>
      </c>
      <c r="D129" s="5">
        <v>14.2</v>
      </c>
      <c r="G129" s="5">
        <v>9.69</v>
      </c>
      <c r="I129" s="5">
        <v>1.47</v>
      </c>
    </row>
    <row r="130">
      <c r="A130" s="4" t="s">
        <v>167</v>
      </c>
      <c r="B130" s="5">
        <v>2986.0</v>
      </c>
      <c r="C130" s="5">
        <v>18.5</v>
      </c>
      <c r="D130" s="5">
        <v>20.4</v>
      </c>
      <c r="G130" s="5">
        <v>7.72</v>
      </c>
      <c r="I130" s="5">
        <v>0.7</v>
      </c>
    </row>
    <row r="131">
      <c r="A131" s="4" t="s">
        <v>1242</v>
      </c>
      <c r="B131" s="5">
        <v>2989.0</v>
      </c>
      <c r="C131" s="5">
        <v>23.7</v>
      </c>
      <c r="D131" s="5">
        <v>20.1</v>
      </c>
      <c r="G131" s="5">
        <v>7.75</v>
      </c>
      <c r="I131" s="5">
        <v>0.51</v>
      </c>
    </row>
    <row r="132">
      <c r="A132" s="4" t="s">
        <v>1243</v>
      </c>
      <c r="B132" s="5">
        <v>2988.0</v>
      </c>
      <c r="C132" s="5">
        <v>16.8</v>
      </c>
      <c r="D132" s="5">
        <v>11.2</v>
      </c>
      <c r="G132" s="5">
        <v>8.18</v>
      </c>
      <c r="I132" s="5">
        <v>0.89</v>
      </c>
    </row>
    <row r="133">
      <c r="A133" s="4" t="s">
        <v>1244</v>
      </c>
      <c r="B133" s="5">
        <v>2979.0</v>
      </c>
      <c r="C133" s="5">
        <v>12.2</v>
      </c>
      <c r="D133" s="5">
        <v>19.1</v>
      </c>
      <c r="G133" s="5">
        <v>8.4</v>
      </c>
      <c r="I133" s="5">
        <v>0.81</v>
      </c>
    </row>
    <row r="134">
      <c r="A134" s="4" t="s">
        <v>171</v>
      </c>
      <c r="B134" s="5">
        <v>2983.0</v>
      </c>
      <c r="C134" s="5">
        <v>20.2</v>
      </c>
      <c r="D134" s="5">
        <v>15.7</v>
      </c>
      <c r="G134" s="5">
        <v>7.2</v>
      </c>
      <c r="I134" s="5">
        <v>0.63</v>
      </c>
    </row>
    <row r="135">
      <c r="A135" s="4" t="s">
        <v>2016</v>
      </c>
      <c r="B135" s="5">
        <v>2977.0</v>
      </c>
      <c r="C135" s="5">
        <v>23.2</v>
      </c>
      <c r="D135" s="5">
        <v>17.1</v>
      </c>
      <c r="G135" s="5">
        <v>8.31</v>
      </c>
      <c r="I135" s="5">
        <v>0.88</v>
      </c>
    </row>
    <row r="136">
      <c r="A136" s="4" t="s">
        <v>170</v>
      </c>
      <c r="B136" s="5">
        <v>2984.0</v>
      </c>
      <c r="C136" s="5">
        <v>17.3</v>
      </c>
      <c r="D136" s="5">
        <v>13.2</v>
      </c>
      <c r="G136" s="5">
        <v>8.66</v>
      </c>
      <c r="I136" s="5">
        <v>1.03</v>
      </c>
    </row>
    <row r="137">
      <c r="A137" s="4" t="s">
        <v>177</v>
      </c>
      <c r="B137" s="5">
        <v>2982.0</v>
      </c>
      <c r="C137" s="5">
        <v>16.2</v>
      </c>
      <c r="D137" s="5">
        <v>10.7</v>
      </c>
      <c r="G137" s="5">
        <v>5.97</v>
      </c>
      <c r="I137" s="5">
        <v>0.52</v>
      </c>
    </row>
    <row r="138">
      <c r="A138" s="4" t="s">
        <v>2017</v>
      </c>
      <c r="B138" s="5">
        <v>2976.0</v>
      </c>
      <c r="C138" s="5">
        <v>17.8</v>
      </c>
      <c r="D138" s="5">
        <v>11.0</v>
      </c>
      <c r="G138" s="5">
        <v>7.72</v>
      </c>
      <c r="I138" s="5">
        <v>0.78</v>
      </c>
    </row>
    <row r="139">
      <c r="A139" s="4" t="s">
        <v>178</v>
      </c>
      <c r="B139" s="5">
        <v>2981.0</v>
      </c>
      <c r="C139" s="5">
        <v>18.7</v>
      </c>
      <c r="D139" s="5">
        <v>11.4</v>
      </c>
      <c r="G139" s="5">
        <v>5.62</v>
      </c>
      <c r="I139" s="5">
        <v>0.23</v>
      </c>
    </row>
    <row r="140">
      <c r="A140" s="4" t="s">
        <v>2018</v>
      </c>
      <c r="B140" s="5">
        <v>2980.0</v>
      </c>
      <c r="C140" s="5">
        <v>15.0</v>
      </c>
      <c r="D140" s="5">
        <v>9.8</v>
      </c>
      <c r="G140" s="5">
        <v>8.1</v>
      </c>
      <c r="I140" s="5">
        <v>0.66</v>
      </c>
    </row>
    <row r="141">
      <c r="A141" s="4" t="s">
        <v>2019</v>
      </c>
      <c r="B141" s="5">
        <v>2978.0</v>
      </c>
      <c r="C141" s="5">
        <v>13.5</v>
      </c>
      <c r="D141" s="5">
        <v>12.7</v>
      </c>
      <c r="G141" s="5">
        <v>6.22</v>
      </c>
      <c r="I141" s="5">
        <v>0.42</v>
      </c>
    </row>
    <row r="142">
      <c r="A142" s="4"/>
    </row>
    <row r="143">
      <c r="A143" s="4" t="s">
        <v>183</v>
      </c>
      <c r="B143" s="5">
        <v>3204.0</v>
      </c>
      <c r="C143" s="5">
        <v>20.5</v>
      </c>
      <c r="D143" s="5">
        <v>22.4</v>
      </c>
      <c r="G143" s="5">
        <v>11.09</v>
      </c>
      <c r="I143" s="5">
        <v>1.32</v>
      </c>
    </row>
    <row r="144">
      <c r="A144" s="4" t="s">
        <v>184</v>
      </c>
      <c r="B144" s="5">
        <v>3203.0</v>
      </c>
      <c r="C144" s="5">
        <v>15.2</v>
      </c>
      <c r="D144" s="5">
        <v>18.5</v>
      </c>
      <c r="G144" s="5">
        <v>11.97</v>
      </c>
      <c r="I144" s="5">
        <v>2.55</v>
      </c>
    </row>
    <row r="145">
      <c r="A145" s="4" t="s">
        <v>1458</v>
      </c>
      <c r="B145" s="5">
        <v>3201.0</v>
      </c>
      <c r="C145" s="5">
        <v>30.2</v>
      </c>
      <c r="D145" s="5">
        <v>17.5</v>
      </c>
      <c r="G145" s="5">
        <v>8.13</v>
      </c>
      <c r="I145" s="5">
        <v>0.68</v>
      </c>
    </row>
    <row r="146">
      <c r="A146" s="4" t="s">
        <v>185</v>
      </c>
      <c r="B146" s="5">
        <v>3195.0</v>
      </c>
      <c r="C146" s="5">
        <v>23.0</v>
      </c>
      <c r="D146" s="5">
        <v>19.8</v>
      </c>
      <c r="G146" s="5">
        <v>9.51</v>
      </c>
      <c r="I146" s="5">
        <v>2.1</v>
      </c>
    </row>
    <row r="147">
      <c r="A147" s="4" t="s">
        <v>1460</v>
      </c>
      <c r="B147" s="5">
        <v>3202.0</v>
      </c>
      <c r="C147" s="5">
        <v>25.7</v>
      </c>
      <c r="D147" s="5">
        <v>21.2</v>
      </c>
      <c r="G147" s="5">
        <v>8.69</v>
      </c>
      <c r="I147" s="5">
        <v>0.93</v>
      </c>
    </row>
    <row r="148">
      <c r="A148" s="4" t="s">
        <v>186</v>
      </c>
      <c r="B148" s="5">
        <v>3197.0</v>
      </c>
      <c r="C148" s="5">
        <v>19.7</v>
      </c>
      <c r="D148" s="5">
        <v>27.2</v>
      </c>
      <c r="G148" s="5">
        <v>8.66</v>
      </c>
      <c r="I148" s="5">
        <v>1.04</v>
      </c>
    </row>
    <row r="149">
      <c r="A149" s="4" t="s">
        <v>1464</v>
      </c>
      <c r="B149" s="5">
        <v>3200.0</v>
      </c>
      <c r="C149" s="5">
        <v>21.9</v>
      </c>
      <c r="D149" s="5">
        <v>20.0</v>
      </c>
      <c r="G149" s="5">
        <v>5.97</v>
      </c>
      <c r="I149" s="5">
        <v>0.92</v>
      </c>
    </row>
    <row r="150">
      <c r="A150" s="4" t="s">
        <v>1465</v>
      </c>
      <c r="B150" s="5">
        <v>3199.0</v>
      </c>
      <c r="C150" s="5">
        <v>20.7</v>
      </c>
      <c r="D150" s="5">
        <v>15.0</v>
      </c>
      <c r="G150" s="5">
        <v>9.04</v>
      </c>
      <c r="I150" s="5">
        <v>1.09</v>
      </c>
    </row>
    <row r="151">
      <c r="A151" s="4" t="s">
        <v>192</v>
      </c>
      <c r="B151" s="5">
        <v>3194.0</v>
      </c>
      <c r="C151" s="5">
        <v>23.5</v>
      </c>
      <c r="D151" s="5">
        <v>21.5</v>
      </c>
      <c r="G151" s="5">
        <v>7.38</v>
      </c>
      <c r="I151" s="5">
        <v>0.45</v>
      </c>
    </row>
    <row r="152">
      <c r="A152" s="4" t="s">
        <v>193</v>
      </c>
      <c r="B152" s="5">
        <v>2998.0</v>
      </c>
      <c r="C152" s="5">
        <v>17.2</v>
      </c>
      <c r="D152" s="5">
        <v>16.2</v>
      </c>
      <c r="G152" s="5">
        <v>8.44</v>
      </c>
      <c r="I152" s="5">
        <v>0.65</v>
      </c>
    </row>
    <row r="153">
      <c r="A153" s="4" t="s">
        <v>191</v>
      </c>
      <c r="B153" s="5">
        <v>3196.0</v>
      </c>
      <c r="C153" s="5">
        <v>22.7</v>
      </c>
      <c r="D153" s="5">
        <v>18.4</v>
      </c>
      <c r="G153" s="5">
        <v>8.91</v>
      </c>
      <c r="I153" s="5">
        <v>0.67</v>
      </c>
    </row>
    <row r="154">
      <c r="A154" s="4" t="s">
        <v>187</v>
      </c>
      <c r="B154" s="5">
        <v>3193.0</v>
      </c>
      <c r="C154" s="5">
        <v>22.6</v>
      </c>
      <c r="D154" s="5">
        <v>16.5</v>
      </c>
      <c r="G154" s="5">
        <v>10.54</v>
      </c>
      <c r="I154" s="5">
        <v>1.13</v>
      </c>
    </row>
    <row r="155">
      <c r="A155" s="4" t="s">
        <v>1462</v>
      </c>
      <c r="B155" s="5">
        <v>2999.0</v>
      </c>
      <c r="C155" s="5">
        <v>20.0</v>
      </c>
      <c r="D155" s="5">
        <v>18.0</v>
      </c>
      <c r="G155" s="5">
        <v>8.4</v>
      </c>
      <c r="I155" s="5">
        <v>0.81</v>
      </c>
    </row>
    <row r="156">
      <c r="A156" s="4" t="s">
        <v>1473</v>
      </c>
      <c r="B156" s="5">
        <v>3198.0</v>
      </c>
      <c r="C156" s="5">
        <v>16.9</v>
      </c>
      <c r="D156" s="5">
        <v>13.2</v>
      </c>
      <c r="G156" s="5">
        <v>7.95</v>
      </c>
      <c r="I156" s="5">
        <v>0.8</v>
      </c>
    </row>
    <row r="157">
      <c r="A157" s="4" t="s">
        <v>196</v>
      </c>
      <c r="B157" s="5">
        <v>2996.0</v>
      </c>
      <c r="C157" s="5">
        <v>16.0</v>
      </c>
      <c r="D157" s="5">
        <v>13.5</v>
      </c>
      <c r="G157" s="5">
        <v>8.0</v>
      </c>
      <c r="I157" s="5">
        <v>0.45</v>
      </c>
    </row>
    <row r="158">
      <c r="A158" s="4" t="s">
        <v>197</v>
      </c>
      <c r="B158" s="5">
        <v>2995.0</v>
      </c>
      <c r="C158" s="5">
        <v>15.5</v>
      </c>
      <c r="D158" s="5">
        <v>12.6</v>
      </c>
      <c r="G158" s="5">
        <v>7.72</v>
      </c>
      <c r="I158" s="5">
        <v>0.43</v>
      </c>
    </row>
    <row r="159">
      <c r="A159" s="4" t="s">
        <v>1470</v>
      </c>
      <c r="B159" s="5">
        <v>2994.0</v>
      </c>
      <c r="C159" s="5">
        <v>16.0</v>
      </c>
      <c r="D159" s="5">
        <v>10.6</v>
      </c>
      <c r="G159" s="5">
        <v>8.35</v>
      </c>
      <c r="I159" s="5">
        <v>0.68</v>
      </c>
    </row>
    <row r="160">
      <c r="A160" s="4" t="s">
        <v>194</v>
      </c>
      <c r="B160" s="5">
        <v>2997.0</v>
      </c>
      <c r="C160" s="5">
        <v>19.0</v>
      </c>
      <c r="D160" s="5">
        <v>11.7</v>
      </c>
      <c r="G160" s="5">
        <v>7.38</v>
      </c>
      <c r="I160" s="5">
        <v>0.41</v>
      </c>
    </row>
    <row r="161">
      <c r="A161" s="4" t="s">
        <v>188</v>
      </c>
      <c r="B161" s="5">
        <v>3192.0</v>
      </c>
      <c r="C161" s="5">
        <v>22.5</v>
      </c>
      <c r="D161" s="5">
        <v>18.5</v>
      </c>
      <c r="G161" s="5">
        <v>8.06</v>
      </c>
      <c r="I161" s="5">
        <v>0.68</v>
      </c>
    </row>
    <row r="162">
      <c r="A162" s="4" t="s">
        <v>1467</v>
      </c>
      <c r="B162" s="5">
        <v>2993.0</v>
      </c>
      <c r="C162" s="5">
        <v>7.1</v>
      </c>
      <c r="D162" s="5">
        <v>10.5</v>
      </c>
      <c r="G162" s="5">
        <v>6.07</v>
      </c>
      <c r="I162" s="5">
        <v>0.25</v>
      </c>
    </row>
    <row r="163">
      <c r="A163" s="4"/>
    </row>
    <row r="164">
      <c r="A164" s="4" t="s">
        <v>199</v>
      </c>
    </row>
    <row r="165">
      <c r="A165" s="4" t="s">
        <v>200</v>
      </c>
    </row>
    <row r="166">
      <c r="A166" s="4" t="s">
        <v>201</v>
      </c>
    </row>
    <row r="167">
      <c r="A167" s="4" t="s">
        <v>203</v>
      </c>
    </row>
    <row r="168">
      <c r="A168" s="4" t="s">
        <v>207</v>
      </c>
    </row>
    <row r="169">
      <c r="A169" s="4"/>
    </row>
    <row r="170">
      <c r="A170" s="4" t="s">
        <v>1251</v>
      </c>
    </row>
    <row r="171">
      <c r="A171" s="4" t="s">
        <v>1252</v>
      </c>
    </row>
    <row r="172">
      <c r="A172" s="4" t="s">
        <v>1253</v>
      </c>
    </row>
    <row r="173">
      <c r="A173" s="4" t="s">
        <v>1254</v>
      </c>
    </row>
    <row r="174">
      <c r="A174" s="4"/>
    </row>
    <row r="175">
      <c r="A175" s="4" t="s">
        <v>237</v>
      </c>
    </row>
    <row r="176">
      <c r="A176" s="4" t="s">
        <v>238</v>
      </c>
    </row>
    <row r="177">
      <c r="A177" s="4" t="s">
        <v>242</v>
      </c>
    </row>
    <row r="178">
      <c r="A178" s="4" t="s">
        <v>245</v>
      </c>
    </row>
    <row r="179">
      <c r="A179" s="4" t="s">
        <v>241</v>
      </c>
    </row>
    <row r="180">
      <c r="A180" s="4"/>
    </row>
    <row r="181">
      <c r="A181" s="4" t="s">
        <v>250</v>
      </c>
    </row>
    <row r="182">
      <c r="A182" s="4" t="s">
        <v>251</v>
      </c>
    </row>
    <row r="183">
      <c r="A183" s="4" t="s">
        <v>252</v>
      </c>
    </row>
    <row r="184">
      <c r="A184" s="4"/>
    </row>
    <row r="185">
      <c r="A185" s="4" t="s">
        <v>263</v>
      </c>
    </row>
    <row r="186">
      <c r="A186" s="4"/>
    </row>
    <row r="187">
      <c r="A187" s="4" t="s">
        <v>329</v>
      </c>
      <c r="B187" s="5">
        <v>2736.0</v>
      </c>
      <c r="C187" s="5">
        <v>30.0</v>
      </c>
      <c r="D187" s="5">
        <v>17.5</v>
      </c>
      <c r="G187" s="5">
        <v>12.47</v>
      </c>
      <c r="H187" s="5">
        <v>0.0</v>
      </c>
      <c r="I187" s="5">
        <v>4.24</v>
      </c>
      <c r="L187" s="2" t="s">
        <v>14</v>
      </c>
    </row>
    <row r="188">
      <c r="A188" s="4" t="s">
        <v>330</v>
      </c>
      <c r="B188" s="5">
        <v>2734.0</v>
      </c>
      <c r="C188" s="5">
        <v>18.5</v>
      </c>
      <c r="D188" s="5">
        <v>16.2</v>
      </c>
      <c r="G188" s="5">
        <v>10.88</v>
      </c>
      <c r="I188" s="5">
        <v>2.47</v>
      </c>
      <c r="K188" s="6">
        <f>counta(C187:C222,C225:C359)</f>
        <v>149</v>
      </c>
      <c r="L188" s="6">
        <f>counta(I187:I383)</f>
        <v>148</v>
      </c>
    </row>
    <row r="189">
      <c r="A189" s="4" t="s">
        <v>331</v>
      </c>
      <c r="B189" s="5">
        <v>2716.0</v>
      </c>
      <c r="C189" s="5">
        <v>14.5</v>
      </c>
      <c r="D189" s="5">
        <v>13.6</v>
      </c>
      <c r="G189" s="5">
        <v>11.53</v>
      </c>
      <c r="I189" s="5">
        <v>2.5</v>
      </c>
      <c r="K189" s="6">
        <f>sum(C187:C222,C225:C359)/149</f>
        <v>18.60134228</v>
      </c>
      <c r="L189" s="6">
        <f>sum(I187:I383)/L188</f>
        <v>0.9922297297</v>
      </c>
    </row>
    <row r="190">
      <c r="A190" s="4" t="s">
        <v>1256</v>
      </c>
      <c r="B190" s="5">
        <v>2735.0</v>
      </c>
      <c r="C190" s="5">
        <v>23.4</v>
      </c>
      <c r="D190" s="5">
        <v>10.4</v>
      </c>
      <c r="G190" s="5">
        <v>9.2</v>
      </c>
      <c r="I190" s="5">
        <v>0.9</v>
      </c>
    </row>
    <row r="191">
      <c r="A191" s="4" t="s">
        <v>1258</v>
      </c>
      <c r="B191" s="5">
        <v>2720.0</v>
      </c>
      <c r="C191" s="5">
        <v>18.8</v>
      </c>
      <c r="D191" s="5">
        <v>24.0</v>
      </c>
      <c r="G191" s="5">
        <v>8.08</v>
      </c>
      <c r="I191" s="5">
        <v>1.41</v>
      </c>
      <c r="K191" s="6">
        <f>counta(D187:D359)</f>
        <v>149</v>
      </c>
    </row>
    <row r="192">
      <c r="A192" s="4" t="s">
        <v>332</v>
      </c>
      <c r="B192" s="5">
        <v>2712.0</v>
      </c>
      <c r="C192" s="5">
        <v>17.7</v>
      </c>
      <c r="D192" s="5">
        <v>14.1</v>
      </c>
      <c r="G192" s="5">
        <v>11.1</v>
      </c>
      <c r="I192" s="5">
        <v>2.51</v>
      </c>
      <c r="K192" s="6">
        <f>sum(D187:D359)/149</f>
        <v>14.89060403</v>
      </c>
    </row>
    <row r="193">
      <c r="A193" s="4" t="s">
        <v>333</v>
      </c>
      <c r="B193" s="5">
        <v>2715.0</v>
      </c>
      <c r="C193" s="5">
        <v>22.0</v>
      </c>
      <c r="D193" s="5">
        <v>22.0</v>
      </c>
      <c r="G193" s="5">
        <v>8.69</v>
      </c>
      <c r="I193" s="5">
        <v>1.3</v>
      </c>
    </row>
    <row r="194">
      <c r="A194" s="4" t="s">
        <v>1259</v>
      </c>
      <c r="B194" s="5">
        <v>2733.0</v>
      </c>
      <c r="C194" s="5">
        <v>15.2</v>
      </c>
      <c r="D194" s="5">
        <v>12.8</v>
      </c>
      <c r="G194" s="5">
        <v>8.35</v>
      </c>
      <c r="I194" s="5">
        <v>0.96</v>
      </c>
    </row>
    <row r="195">
      <c r="A195" s="4" t="s">
        <v>1261</v>
      </c>
      <c r="B195" s="5">
        <v>2732.0</v>
      </c>
      <c r="C195" s="5">
        <v>18.7</v>
      </c>
      <c r="D195" s="5">
        <v>14.0</v>
      </c>
      <c r="G195" s="5">
        <v>8.47</v>
      </c>
      <c r="I195" s="5">
        <v>1.12</v>
      </c>
    </row>
    <row r="196">
      <c r="A196" s="4" t="s">
        <v>1263</v>
      </c>
      <c r="B196" s="5">
        <v>2719.0</v>
      </c>
      <c r="C196" s="5">
        <v>20.1</v>
      </c>
      <c r="D196" s="5">
        <v>13.1</v>
      </c>
      <c r="G196" s="5">
        <v>9.46</v>
      </c>
      <c r="I196" s="5">
        <v>1.49</v>
      </c>
    </row>
    <row r="197">
      <c r="A197" s="4" t="s">
        <v>336</v>
      </c>
      <c r="B197" s="5">
        <v>2727.0</v>
      </c>
      <c r="C197" s="5">
        <v>17.9</v>
      </c>
      <c r="D197" s="5">
        <v>25.3</v>
      </c>
      <c r="G197" s="5">
        <v>6.85</v>
      </c>
      <c r="I197" s="5">
        <v>0.45</v>
      </c>
    </row>
    <row r="198">
      <c r="A198" s="4" t="s">
        <v>1257</v>
      </c>
      <c r="B198" s="5">
        <v>2731.0</v>
      </c>
      <c r="C198" s="5">
        <v>17.3</v>
      </c>
      <c r="D198" s="5">
        <v>13.5</v>
      </c>
      <c r="G198" s="5">
        <v>8.32</v>
      </c>
      <c r="I198" s="5">
        <v>1.04</v>
      </c>
    </row>
    <row r="199">
      <c r="A199" s="4" t="s">
        <v>1264</v>
      </c>
      <c r="B199" s="5">
        <v>2723.0</v>
      </c>
      <c r="C199" s="5">
        <v>16.1</v>
      </c>
      <c r="D199" s="5">
        <v>19.7</v>
      </c>
      <c r="G199" s="5">
        <v>9.23</v>
      </c>
      <c r="I199" s="5">
        <v>1.74</v>
      </c>
    </row>
    <row r="200">
      <c r="A200" s="4" t="s">
        <v>337</v>
      </c>
      <c r="B200" s="5">
        <v>2714.0</v>
      </c>
      <c r="C200" s="5">
        <v>15.7</v>
      </c>
      <c r="D200" s="5">
        <v>19.8</v>
      </c>
      <c r="G200" s="5">
        <v>9.05</v>
      </c>
      <c r="I200" s="5">
        <v>0.8</v>
      </c>
    </row>
    <row r="201">
      <c r="A201" s="4" t="s">
        <v>338</v>
      </c>
      <c r="B201" s="5">
        <v>2711.0</v>
      </c>
      <c r="C201" s="5">
        <v>15.5</v>
      </c>
      <c r="D201" s="5">
        <v>12.9</v>
      </c>
      <c r="G201" s="5">
        <v>8.92</v>
      </c>
      <c r="I201" s="5">
        <v>1.1</v>
      </c>
    </row>
    <row r="202">
      <c r="A202" s="4" t="s">
        <v>1267</v>
      </c>
      <c r="B202" s="5">
        <v>2730.0</v>
      </c>
      <c r="C202" s="5">
        <v>12.6</v>
      </c>
      <c r="D202" s="5">
        <v>10.3</v>
      </c>
      <c r="G202" s="5">
        <v>9.77</v>
      </c>
      <c r="I202" s="5">
        <v>1.39</v>
      </c>
    </row>
    <row r="203">
      <c r="A203" s="4" t="s">
        <v>1269</v>
      </c>
      <c r="B203" s="5">
        <v>2718.0</v>
      </c>
      <c r="C203" s="5">
        <v>15.0</v>
      </c>
      <c r="D203" s="5">
        <v>12.3</v>
      </c>
      <c r="G203" s="5">
        <v>10.41</v>
      </c>
      <c r="I203" s="5">
        <v>1.52</v>
      </c>
    </row>
    <row r="204">
      <c r="A204" s="4" t="s">
        <v>341</v>
      </c>
      <c r="B204" s="5">
        <v>2726.0</v>
      </c>
      <c r="C204" s="5">
        <v>19.5</v>
      </c>
      <c r="D204" s="5">
        <v>14.5</v>
      </c>
      <c r="G204" s="5">
        <v>8.63</v>
      </c>
      <c r="I204" s="5">
        <v>1.13</v>
      </c>
    </row>
    <row r="205">
      <c r="A205" s="4" t="s">
        <v>1270</v>
      </c>
      <c r="B205" s="5">
        <v>2722.0</v>
      </c>
      <c r="C205" s="5">
        <v>15.0</v>
      </c>
      <c r="D205" s="5">
        <v>12.1</v>
      </c>
      <c r="G205" s="5">
        <v>8.24</v>
      </c>
      <c r="I205" s="5">
        <v>1.18</v>
      </c>
    </row>
    <row r="206">
      <c r="A206" s="4" t="s">
        <v>2020</v>
      </c>
      <c r="B206" s="5">
        <v>2729.0</v>
      </c>
      <c r="C206" s="5">
        <v>15.1</v>
      </c>
      <c r="D206" s="5">
        <v>21.6</v>
      </c>
      <c r="G206" s="5">
        <v>6.7</v>
      </c>
      <c r="I206" s="5">
        <v>0.38</v>
      </c>
    </row>
    <row r="207">
      <c r="A207" s="4" t="s">
        <v>345</v>
      </c>
      <c r="B207" s="5">
        <v>2710.0</v>
      </c>
      <c r="C207" s="5">
        <v>17.1</v>
      </c>
      <c r="D207" s="5">
        <v>12.5</v>
      </c>
      <c r="G207" s="5">
        <v>7.41</v>
      </c>
      <c r="I207" s="5">
        <v>0.66</v>
      </c>
    </row>
    <row r="208">
      <c r="A208" s="4" t="s">
        <v>349</v>
      </c>
      <c r="B208" s="5">
        <v>2708.0</v>
      </c>
      <c r="C208" s="5">
        <v>13.9</v>
      </c>
      <c r="D208" s="5">
        <v>11.0</v>
      </c>
      <c r="G208" s="5">
        <v>7.0</v>
      </c>
      <c r="I208" s="5">
        <v>0.91</v>
      </c>
    </row>
    <row r="209">
      <c r="A209" s="4" t="s">
        <v>348</v>
      </c>
      <c r="B209" s="5">
        <v>2713.0</v>
      </c>
      <c r="C209" s="5">
        <v>12.7</v>
      </c>
      <c r="D209" s="5">
        <v>11.5</v>
      </c>
      <c r="G209" s="5">
        <v>7.53</v>
      </c>
      <c r="I209" s="5">
        <v>0.76</v>
      </c>
    </row>
    <row r="210">
      <c r="A210" s="4" t="s">
        <v>1273</v>
      </c>
      <c r="B210" s="5">
        <v>2701.0</v>
      </c>
      <c r="C210" s="5">
        <v>13.7</v>
      </c>
      <c r="D210" s="5">
        <v>11.0</v>
      </c>
      <c r="G210" s="5">
        <v>7.73</v>
      </c>
      <c r="I210" s="5">
        <v>0.94</v>
      </c>
    </row>
    <row r="211">
      <c r="A211" s="4" t="s">
        <v>1280</v>
      </c>
      <c r="B211" s="5">
        <v>2705.0</v>
      </c>
      <c r="C211" s="5">
        <v>15.8</v>
      </c>
      <c r="D211" s="5">
        <v>11.8</v>
      </c>
      <c r="G211" s="5">
        <v>7.82</v>
      </c>
      <c r="I211" s="5">
        <v>0.94</v>
      </c>
    </row>
    <row r="212">
      <c r="A212" s="4" t="s">
        <v>1274</v>
      </c>
      <c r="B212" s="5">
        <v>2702.0</v>
      </c>
      <c r="C212" s="5">
        <v>14.1</v>
      </c>
      <c r="D212" s="5">
        <v>10.0</v>
      </c>
      <c r="G212" s="5">
        <v>7.16</v>
      </c>
      <c r="I212" s="5">
        <v>0.61</v>
      </c>
    </row>
    <row r="213">
      <c r="A213" s="4" t="s">
        <v>2021</v>
      </c>
      <c r="B213" s="5">
        <v>2725.0</v>
      </c>
      <c r="C213" s="5">
        <v>16.2</v>
      </c>
      <c r="D213" s="5">
        <v>11.5</v>
      </c>
      <c r="G213" s="5">
        <v>8.09</v>
      </c>
      <c r="I213" s="5">
        <v>0.6</v>
      </c>
    </row>
    <row r="214">
      <c r="A214" s="4" t="s">
        <v>2022</v>
      </c>
      <c r="B214" s="5">
        <v>2728.0</v>
      </c>
      <c r="C214" s="5">
        <v>15.7</v>
      </c>
      <c r="D214" s="5">
        <v>15.7</v>
      </c>
      <c r="G214" s="5">
        <v>6.68</v>
      </c>
      <c r="I214" s="5">
        <v>0.35</v>
      </c>
    </row>
    <row r="215">
      <c r="A215" s="4" t="s">
        <v>343</v>
      </c>
      <c r="B215" s="5">
        <v>2721.0</v>
      </c>
      <c r="C215" s="5">
        <v>15.7</v>
      </c>
      <c r="D215" s="5">
        <v>11.1</v>
      </c>
      <c r="G215" s="5">
        <v>8.49</v>
      </c>
      <c r="I215" s="5">
        <v>0.98</v>
      </c>
    </row>
    <row r="216">
      <c r="A216" s="4" t="s">
        <v>1271</v>
      </c>
      <c r="B216" s="5">
        <v>2709.0</v>
      </c>
      <c r="C216" s="5">
        <v>8.0</v>
      </c>
      <c r="D216" s="5">
        <v>6.5</v>
      </c>
      <c r="G216" s="5">
        <v>6.31</v>
      </c>
      <c r="I216" s="5">
        <v>0.32</v>
      </c>
    </row>
    <row r="217">
      <c r="A217" s="4" t="s">
        <v>1276</v>
      </c>
      <c r="B217" s="5">
        <v>2706.0</v>
      </c>
      <c r="C217" s="5">
        <v>10.6</v>
      </c>
      <c r="D217" s="5">
        <v>7.7</v>
      </c>
      <c r="G217" s="5">
        <v>5.89</v>
      </c>
      <c r="I217" s="5">
        <v>0.32</v>
      </c>
    </row>
    <row r="218">
      <c r="A218" s="4" t="s">
        <v>1494</v>
      </c>
      <c r="B218" s="5">
        <v>2707.0</v>
      </c>
      <c r="C218" s="5">
        <v>11.3</v>
      </c>
      <c r="D218" s="5">
        <v>7.7</v>
      </c>
      <c r="G218" s="5">
        <v>5.43</v>
      </c>
      <c r="I218" s="5">
        <v>0.3</v>
      </c>
    </row>
    <row r="219">
      <c r="A219" s="4" t="s">
        <v>2023</v>
      </c>
      <c r="B219" s="5">
        <v>2703.0</v>
      </c>
      <c r="C219" s="5">
        <v>13.5</v>
      </c>
      <c r="D219" s="5">
        <v>9.3</v>
      </c>
      <c r="G219" s="5">
        <v>4.93</v>
      </c>
      <c r="I219" s="5">
        <v>0.2</v>
      </c>
    </row>
    <row r="220">
      <c r="A220" s="4" t="s">
        <v>2024</v>
      </c>
      <c r="B220" s="5">
        <v>2724.0</v>
      </c>
      <c r="C220" s="5">
        <v>10.1</v>
      </c>
      <c r="D220" s="5">
        <v>9.7</v>
      </c>
      <c r="G220" s="5">
        <v>4.62</v>
      </c>
      <c r="I220" s="5">
        <v>0.26</v>
      </c>
    </row>
    <row r="221">
      <c r="A221" s="4" t="s">
        <v>2025</v>
      </c>
      <c r="B221" s="5">
        <v>2717.0</v>
      </c>
      <c r="C221" s="5">
        <v>14.1</v>
      </c>
      <c r="D221" s="5">
        <v>8.7</v>
      </c>
      <c r="G221" s="5">
        <v>6.76</v>
      </c>
      <c r="I221" s="5">
        <v>0.53</v>
      </c>
    </row>
    <row r="222">
      <c r="A222" s="4" t="s">
        <v>1708</v>
      </c>
      <c r="B222" s="5">
        <v>2704.0</v>
      </c>
      <c r="C222" s="5">
        <v>10.1</v>
      </c>
      <c r="D222" s="5">
        <v>8.4</v>
      </c>
      <c r="G222" s="5">
        <v>5.16</v>
      </c>
      <c r="I222" s="5">
        <v>0.34</v>
      </c>
    </row>
    <row r="223">
      <c r="A223" s="4" t="s">
        <v>2026</v>
      </c>
    </row>
    <row r="224">
      <c r="A224" s="4"/>
    </row>
    <row r="225">
      <c r="A225" s="4" t="s">
        <v>356</v>
      </c>
      <c r="B225" s="5">
        <v>2763.0</v>
      </c>
      <c r="C225" s="5">
        <v>25.5</v>
      </c>
      <c r="D225" s="5">
        <v>17.1</v>
      </c>
      <c r="G225" s="5">
        <v>11.32</v>
      </c>
      <c r="I225" s="5">
        <v>4.66</v>
      </c>
    </row>
    <row r="226">
      <c r="A226" s="4" t="s">
        <v>357</v>
      </c>
      <c r="B226" s="5">
        <v>2762.0</v>
      </c>
      <c r="C226" s="5">
        <v>21.5</v>
      </c>
      <c r="D226" s="5">
        <v>10.6</v>
      </c>
      <c r="G226" s="5">
        <v>10.32</v>
      </c>
      <c r="I226" s="5">
        <v>2.47</v>
      </c>
    </row>
    <row r="227">
      <c r="A227" s="4" t="s">
        <v>359</v>
      </c>
      <c r="B227" s="5">
        <v>2761.0</v>
      </c>
      <c r="C227" s="5">
        <v>14.2</v>
      </c>
      <c r="D227" s="5">
        <v>11.0</v>
      </c>
      <c r="G227" s="5">
        <v>10.98</v>
      </c>
      <c r="I227" s="5">
        <v>2.42</v>
      </c>
    </row>
    <row r="228">
      <c r="A228" s="4" t="s">
        <v>358</v>
      </c>
      <c r="B228" s="5">
        <v>2756.0</v>
      </c>
      <c r="C228" s="5">
        <v>25.0</v>
      </c>
      <c r="D228" s="5">
        <v>12.3</v>
      </c>
      <c r="G228" s="5">
        <v>8.27</v>
      </c>
      <c r="I228" s="5">
        <v>0.81</v>
      </c>
    </row>
    <row r="229">
      <c r="A229" s="4" t="s">
        <v>360</v>
      </c>
      <c r="B229" s="5">
        <v>2750.0</v>
      </c>
      <c r="C229" s="5">
        <v>19.2</v>
      </c>
      <c r="D229" s="5">
        <v>13.0</v>
      </c>
      <c r="G229" s="5">
        <v>8.62</v>
      </c>
      <c r="I229" s="5">
        <v>0.55</v>
      </c>
    </row>
    <row r="230">
      <c r="A230" s="4" t="s">
        <v>362</v>
      </c>
      <c r="B230" s="5">
        <v>2755.0</v>
      </c>
      <c r="C230" s="5">
        <v>12.5</v>
      </c>
      <c r="D230" s="5">
        <v>11.6</v>
      </c>
      <c r="G230" s="5">
        <v>6.97</v>
      </c>
      <c r="I230" s="5">
        <v>0.99</v>
      </c>
    </row>
    <row r="231">
      <c r="A231" s="4" t="s">
        <v>366</v>
      </c>
      <c r="B231" s="5">
        <v>2754.0</v>
      </c>
      <c r="C231" s="5">
        <v>14.8</v>
      </c>
      <c r="D231" s="5">
        <v>11.0</v>
      </c>
      <c r="G231" s="5">
        <v>9.24</v>
      </c>
      <c r="I231" s="5">
        <v>1.03</v>
      </c>
    </row>
    <row r="232">
      <c r="A232" s="4" t="s">
        <v>364</v>
      </c>
      <c r="B232" s="5">
        <v>2746.0</v>
      </c>
      <c r="C232" s="5">
        <v>15.2</v>
      </c>
      <c r="D232" s="5">
        <v>13.2</v>
      </c>
      <c r="G232" s="5">
        <v>9.6</v>
      </c>
      <c r="I232" s="5">
        <v>0.78</v>
      </c>
    </row>
    <row r="233">
      <c r="A233" s="4" t="s">
        <v>375</v>
      </c>
      <c r="B233" s="5">
        <v>2760.0</v>
      </c>
      <c r="C233" s="5">
        <v>17.1</v>
      </c>
      <c r="D233" s="5">
        <v>13.8</v>
      </c>
      <c r="G233" s="5">
        <v>9.95</v>
      </c>
      <c r="I233" s="5">
        <v>1.46</v>
      </c>
    </row>
    <row r="234">
      <c r="A234" s="4" t="s">
        <v>1283</v>
      </c>
      <c r="B234" s="5">
        <v>2759.0</v>
      </c>
      <c r="C234" s="5">
        <v>14.6</v>
      </c>
      <c r="D234" s="5">
        <v>12.0</v>
      </c>
      <c r="G234" s="5">
        <v>10.68</v>
      </c>
      <c r="I234" s="5">
        <v>1.24</v>
      </c>
    </row>
    <row r="235">
      <c r="A235" s="4" t="s">
        <v>370</v>
      </c>
      <c r="B235" s="5">
        <v>2743.0</v>
      </c>
      <c r="C235" s="5">
        <v>14.0</v>
      </c>
      <c r="D235" s="5">
        <v>15.1</v>
      </c>
      <c r="G235" s="5">
        <v>7.65</v>
      </c>
      <c r="I235" s="5">
        <v>0.94</v>
      </c>
    </row>
    <row r="236">
      <c r="A236" s="4" t="s">
        <v>1495</v>
      </c>
      <c r="B236" s="5">
        <v>2757.0</v>
      </c>
      <c r="C236" s="5">
        <v>15.7</v>
      </c>
      <c r="D236" s="5">
        <v>25.2</v>
      </c>
      <c r="G236" s="5">
        <v>7.6</v>
      </c>
      <c r="I236" s="5">
        <v>0.54</v>
      </c>
    </row>
    <row r="237">
      <c r="A237" s="4" t="s">
        <v>372</v>
      </c>
      <c r="B237" s="5">
        <v>2753.0</v>
      </c>
      <c r="C237" s="5">
        <v>13.9</v>
      </c>
      <c r="D237" s="5">
        <v>11.4</v>
      </c>
      <c r="G237" s="5">
        <v>8.52</v>
      </c>
      <c r="I237" s="5">
        <v>1.22</v>
      </c>
    </row>
    <row r="238">
      <c r="A238" s="4" t="s">
        <v>2027</v>
      </c>
      <c r="B238" s="5">
        <v>2749.0</v>
      </c>
      <c r="C238" s="5">
        <v>14.4</v>
      </c>
      <c r="D238" s="5">
        <v>19.0</v>
      </c>
      <c r="G238" s="5">
        <v>6.06</v>
      </c>
      <c r="I238" s="5">
        <v>0.35</v>
      </c>
    </row>
    <row r="239">
      <c r="A239" s="4" t="s">
        <v>1289</v>
      </c>
      <c r="B239" s="5">
        <v>2758.0</v>
      </c>
      <c r="C239" s="5">
        <v>14.2</v>
      </c>
      <c r="D239" s="5">
        <v>9.7</v>
      </c>
      <c r="G239" s="5">
        <v>7.6</v>
      </c>
      <c r="I239" s="5">
        <v>0.82</v>
      </c>
    </row>
    <row r="240">
      <c r="A240" s="4" t="s">
        <v>1293</v>
      </c>
      <c r="B240" s="5">
        <v>2744.0</v>
      </c>
      <c r="C240" s="5">
        <v>16.1</v>
      </c>
      <c r="D240" s="5">
        <v>13.2</v>
      </c>
      <c r="G240" s="5">
        <v>6.81</v>
      </c>
      <c r="I240" s="5">
        <v>0.51</v>
      </c>
    </row>
    <row r="241">
      <c r="A241" s="4" t="s">
        <v>2028</v>
      </c>
      <c r="B241" s="5">
        <v>2742.0</v>
      </c>
      <c r="C241" s="5">
        <v>13.9</v>
      </c>
      <c r="D241" s="5">
        <v>11.0</v>
      </c>
      <c r="G241" s="5">
        <v>7.42</v>
      </c>
      <c r="I241" s="5">
        <v>0.75</v>
      </c>
    </row>
    <row r="242">
      <c r="A242" s="4" t="s">
        <v>1496</v>
      </c>
      <c r="B242" s="5">
        <v>2748.0</v>
      </c>
      <c r="C242" s="5">
        <v>17.7</v>
      </c>
      <c r="D242" s="5">
        <v>13.1</v>
      </c>
      <c r="G242" s="5">
        <v>7.28</v>
      </c>
      <c r="I242" s="5">
        <v>0.53</v>
      </c>
    </row>
    <row r="243">
      <c r="A243" s="4" t="s">
        <v>1292</v>
      </c>
      <c r="B243" s="5">
        <v>2751.0</v>
      </c>
      <c r="C243" s="5">
        <v>16.3</v>
      </c>
      <c r="D243" s="5">
        <v>11.2</v>
      </c>
      <c r="G243" s="5">
        <v>7.42</v>
      </c>
      <c r="I243" s="5">
        <v>0.94</v>
      </c>
    </row>
    <row r="244">
      <c r="A244" s="4" t="s">
        <v>2029</v>
      </c>
      <c r="B244" s="5">
        <v>2747.0</v>
      </c>
      <c r="C244" s="5">
        <v>17.0</v>
      </c>
      <c r="D244" s="5">
        <v>12.2</v>
      </c>
      <c r="G244" s="5">
        <v>6.62</v>
      </c>
      <c r="I244" s="5">
        <v>0.49</v>
      </c>
    </row>
    <row r="245">
      <c r="A245" s="4" t="s">
        <v>1504</v>
      </c>
      <c r="B245" s="5">
        <v>2737.0</v>
      </c>
      <c r="C245" s="5">
        <v>9.7</v>
      </c>
      <c r="D245" s="5">
        <v>8.3</v>
      </c>
      <c r="G245" s="5">
        <v>5.06</v>
      </c>
      <c r="I245" s="5">
        <v>0.41</v>
      </c>
    </row>
    <row r="246">
      <c r="A246" s="4" t="s">
        <v>1503</v>
      </c>
      <c r="B246" s="5">
        <v>2740.0</v>
      </c>
      <c r="C246" s="5">
        <v>10.7</v>
      </c>
      <c r="D246" s="5">
        <v>7.4</v>
      </c>
      <c r="G246" s="5">
        <v>5.16</v>
      </c>
      <c r="I246" s="5">
        <v>0.24</v>
      </c>
    </row>
    <row r="247">
      <c r="A247" s="4" t="s">
        <v>2030</v>
      </c>
      <c r="B247" s="5">
        <v>2739.0</v>
      </c>
      <c r="C247" s="5">
        <v>11.5</v>
      </c>
      <c r="D247" s="5">
        <v>8.7</v>
      </c>
      <c r="G247" s="5">
        <v>6.1</v>
      </c>
      <c r="I247" s="5">
        <v>0.34</v>
      </c>
    </row>
    <row r="248">
      <c r="A248" s="4" t="s">
        <v>1497</v>
      </c>
    </row>
    <row r="249">
      <c r="A249" s="4" t="s">
        <v>2031</v>
      </c>
      <c r="B249" s="5">
        <v>2745.0</v>
      </c>
      <c r="C249" s="5">
        <v>16.0</v>
      </c>
      <c r="D249" s="5">
        <v>10.5</v>
      </c>
      <c r="G249" s="5">
        <v>6.02</v>
      </c>
      <c r="I249" s="5">
        <v>0.43</v>
      </c>
    </row>
    <row r="250">
      <c r="A250" s="4" t="s">
        <v>2032</v>
      </c>
      <c r="B250" s="5">
        <v>2752.0</v>
      </c>
      <c r="C250" s="5">
        <v>13.0</v>
      </c>
      <c r="D250" s="5">
        <v>10.5</v>
      </c>
      <c r="G250" s="5">
        <v>4.59</v>
      </c>
      <c r="I250" s="5">
        <v>0.16</v>
      </c>
    </row>
    <row r="251">
      <c r="A251" s="4" t="s">
        <v>1499</v>
      </c>
    </row>
    <row r="252">
      <c r="A252" s="4" t="s">
        <v>2033</v>
      </c>
      <c r="B252" s="5">
        <v>2741.0</v>
      </c>
      <c r="C252" s="5">
        <v>11.9</v>
      </c>
      <c r="D252" s="5">
        <v>7.0</v>
      </c>
      <c r="G252" s="5">
        <v>4.0</v>
      </c>
      <c r="I252" s="5">
        <v>0.13</v>
      </c>
    </row>
    <row r="253">
      <c r="A253" s="4"/>
    </row>
    <row r="254">
      <c r="A254" s="4" t="s">
        <v>386</v>
      </c>
      <c r="B254" s="5">
        <v>2496.0</v>
      </c>
      <c r="C254" s="5">
        <v>14.2</v>
      </c>
      <c r="D254" s="5">
        <v>13.5</v>
      </c>
      <c r="G254" s="5">
        <v>10.18</v>
      </c>
      <c r="I254" s="5">
        <v>1.61</v>
      </c>
    </row>
    <row r="255">
      <c r="A255" s="4" t="s">
        <v>387</v>
      </c>
      <c r="B255" s="5">
        <v>2495.0</v>
      </c>
      <c r="C255" s="5">
        <v>22.0</v>
      </c>
      <c r="D255" s="5">
        <v>19.2</v>
      </c>
      <c r="G255" s="5">
        <v>9.46</v>
      </c>
      <c r="I255" s="5">
        <v>1.88</v>
      </c>
    </row>
    <row r="256">
      <c r="A256" s="4" t="s">
        <v>389</v>
      </c>
      <c r="B256" s="5">
        <v>2494.0</v>
      </c>
      <c r="C256" s="5">
        <v>26.7</v>
      </c>
      <c r="D256" s="5">
        <v>21.2</v>
      </c>
      <c r="G256" s="5">
        <v>8.04</v>
      </c>
      <c r="I256" s="5">
        <v>1.04</v>
      </c>
    </row>
    <row r="257">
      <c r="A257" s="4" t="s">
        <v>1505</v>
      </c>
      <c r="B257" s="5">
        <v>2490.0</v>
      </c>
      <c r="C257" s="5">
        <v>33.6</v>
      </c>
      <c r="D257" s="5">
        <v>29.0</v>
      </c>
      <c r="G257" s="5">
        <v>7.52</v>
      </c>
      <c r="I257" s="5">
        <v>0.96</v>
      </c>
    </row>
    <row r="258">
      <c r="A258" s="4" t="s">
        <v>388</v>
      </c>
      <c r="B258" s="5">
        <v>2492.0</v>
      </c>
      <c r="C258" s="5">
        <v>25.0</v>
      </c>
      <c r="D258" s="5">
        <v>18.1</v>
      </c>
      <c r="G258" s="5">
        <v>7.2</v>
      </c>
      <c r="I258" s="5">
        <v>1.28</v>
      </c>
    </row>
    <row r="259">
      <c r="A259" s="4" t="s">
        <v>1295</v>
      </c>
      <c r="B259" s="5">
        <v>2491.0</v>
      </c>
      <c r="C259" s="5">
        <v>28.0</v>
      </c>
      <c r="D259" s="5">
        <v>19.5</v>
      </c>
      <c r="G259" s="5">
        <v>7.97</v>
      </c>
      <c r="I259" s="5">
        <v>0.67</v>
      </c>
    </row>
    <row r="260">
      <c r="A260" s="4" t="s">
        <v>393</v>
      </c>
      <c r="B260" s="5">
        <v>2493.0</v>
      </c>
      <c r="C260" s="5">
        <v>25.1</v>
      </c>
      <c r="D260" s="5">
        <v>19.5</v>
      </c>
      <c r="G260" s="5">
        <v>8.8</v>
      </c>
      <c r="I260" s="5">
        <v>1.28</v>
      </c>
    </row>
    <row r="261">
      <c r="A261" s="4" t="s">
        <v>399</v>
      </c>
      <c r="B261" s="5">
        <v>2476.0</v>
      </c>
      <c r="C261" s="5">
        <v>23.0</v>
      </c>
      <c r="D261" s="5">
        <v>20.7</v>
      </c>
      <c r="G261" s="5">
        <v>6.52</v>
      </c>
      <c r="I261" s="5">
        <v>0.46</v>
      </c>
    </row>
    <row r="262">
      <c r="A262" s="4" t="s">
        <v>391</v>
      </c>
      <c r="B262" s="5">
        <v>2485.0</v>
      </c>
      <c r="C262" s="5">
        <v>26.5</v>
      </c>
      <c r="D262" s="5">
        <v>24.2</v>
      </c>
      <c r="G262" s="5">
        <v>6.99</v>
      </c>
      <c r="I262" s="5">
        <v>0.43</v>
      </c>
    </row>
    <row r="263">
      <c r="A263" s="4" t="s">
        <v>397</v>
      </c>
      <c r="B263" s="5">
        <v>2482.0</v>
      </c>
      <c r="C263" s="5">
        <v>18.0</v>
      </c>
      <c r="D263" s="5">
        <v>15.6</v>
      </c>
      <c r="G263" s="5">
        <v>7.27</v>
      </c>
      <c r="I263" s="5">
        <v>0.73</v>
      </c>
    </row>
    <row r="264">
      <c r="A264" s="4" t="s">
        <v>390</v>
      </c>
      <c r="B264" s="5">
        <v>2473.0</v>
      </c>
      <c r="C264" s="5">
        <v>23.0</v>
      </c>
      <c r="D264" s="5">
        <v>15.7</v>
      </c>
      <c r="G264" s="5">
        <v>8.94</v>
      </c>
      <c r="I264" s="5">
        <v>1.47</v>
      </c>
    </row>
    <row r="265">
      <c r="A265" s="4" t="s">
        <v>400</v>
      </c>
      <c r="B265" s="5">
        <v>2470.0</v>
      </c>
      <c r="C265" s="5">
        <v>16.0</v>
      </c>
      <c r="D265" s="5">
        <v>12.5</v>
      </c>
      <c r="G265" s="5">
        <v>7.51</v>
      </c>
      <c r="I265" s="5">
        <v>0.97</v>
      </c>
    </row>
    <row r="266">
      <c r="A266" s="4" t="s">
        <v>1296</v>
      </c>
      <c r="B266" s="5">
        <v>2489.0</v>
      </c>
      <c r="C266" s="5">
        <v>21.7</v>
      </c>
      <c r="D266" s="5">
        <v>17.0</v>
      </c>
      <c r="G266" s="5">
        <v>7.82</v>
      </c>
      <c r="I266" s="5">
        <v>0.89</v>
      </c>
    </row>
    <row r="267">
      <c r="A267" s="4" t="s">
        <v>1506</v>
      </c>
      <c r="B267" s="5">
        <v>2487.0</v>
      </c>
      <c r="C267" s="5">
        <v>23.8</v>
      </c>
      <c r="D267" s="5">
        <v>17.7</v>
      </c>
      <c r="G267" s="5">
        <v>9.36</v>
      </c>
      <c r="I267" s="5">
        <v>1.04</v>
      </c>
    </row>
    <row r="268">
      <c r="A268" s="4" t="s">
        <v>1507</v>
      </c>
      <c r="B268" s="5">
        <v>2484.0</v>
      </c>
      <c r="C268" s="5">
        <v>16.8</v>
      </c>
      <c r="D268" s="5">
        <v>14.0</v>
      </c>
      <c r="G268" s="5">
        <v>7.58</v>
      </c>
      <c r="I268" s="5">
        <v>0.91</v>
      </c>
    </row>
    <row r="269">
      <c r="A269" s="4" t="s">
        <v>396</v>
      </c>
      <c r="B269" s="5">
        <v>2479.0</v>
      </c>
      <c r="C269" s="5">
        <v>21.8</v>
      </c>
      <c r="D269" s="5">
        <v>15.5</v>
      </c>
      <c r="G269" s="5">
        <v>8.82</v>
      </c>
      <c r="I269" s="5">
        <v>1.1</v>
      </c>
    </row>
    <row r="270">
      <c r="A270" s="4" t="s">
        <v>1731</v>
      </c>
      <c r="B270" s="5">
        <v>2486.0</v>
      </c>
      <c r="C270" s="5">
        <v>25.5</v>
      </c>
      <c r="D270" s="5">
        <v>16.6</v>
      </c>
      <c r="G270" s="5">
        <v>6.68</v>
      </c>
      <c r="I270" s="5">
        <v>0.43</v>
      </c>
    </row>
    <row r="271">
      <c r="A271" s="4" t="s">
        <v>395</v>
      </c>
      <c r="B271" s="5">
        <v>2478.0</v>
      </c>
      <c r="C271" s="5">
        <v>17.1</v>
      </c>
      <c r="D271" s="5">
        <v>13.0</v>
      </c>
      <c r="G271" s="5">
        <v>6.14</v>
      </c>
      <c r="I271" s="5">
        <v>1.07</v>
      </c>
    </row>
    <row r="272">
      <c r="A272" s="4" t="s">
        <v>2034</v>
      </c>
      <c r="B272" s="5">
        <v>2480.0</v>
      </c>
      <c r="C272" s="5">
        <v>25.0</v>
      </c>
      <c r="D272" s="5">
        <v>15.7</v>
      </c>
      <c r="G272" s="5">
        <v>6.49</v>
      </c>
      <c r="I272" s="5">
        <v>0.45</v>
      </c>
    </row>
    <row r="273">
      <c r="A273" s="4" t="s">
        <v>2035</v>
      </c>
      <c r="B273" s="5">
        <v>2477.0</v>
      </c>
      <c r="C273" s="5">
        <v>18.0</v>
      </c>
      <c r="D273" s="5">
        <v>15.0</v>
      </c>
      <c r="G273" s="5">
        <v>7.16</v>
      </c>
      <c r="I273" s="5">
        <v>0.52</v>
      </c>
    </row>
    <row r="274">
      <c r="A274" s="4" t="s">
        <v>1299</v>
      </c>
      <c r="B274" s="5">
        <v>2468.0</v>
      </c>
      <c r="C274" s="5">
        <v>14.7</v>
      </c>
      <c r="D274" s="5">
        <v>11.0</v>
      </c>
      <c r="G274" s="5">
        <v>5.8</v>
      </c>
      <c r="I274" s="5">
        <v>0.59</v>
      </c>
    </row>
    <row r="275">
      <c r="A275" s="4" t="s">
        <v>1300</v>
      </c>
      <c r="B275" s="5">
        <v>2474.0</v>
      </c>
      <c r="C275" s="5">
        <v>14.2</v>
      </c>
      <c r="D275" s="5">
        <v>13.0</v>
      </c>
      <c r="G275" s="5">
        <v>6.32</v>
      </c>
      <c r="I275" s="5">
        <v>0.44</v>
      </c>
    </row>
    <row r="276">
      <c r="A276" s="4" t="s">
        <v>402</v>
      </c>
      <c r="B276" s="5">
        <v>2481.0</v>
      </c>
      <c r="C276" s="5">
        <v>18.6</v>
      </c>
      <c r="D276" s="5">
        <v>11.6</v>
      </c>
      <c r="G276" s="5">
        <v>6.08</v>
      </c>
      <c r="I276" s="5">
        <v>0.57</v>
      </c>
    </row>
    <row r="277">
      <c r="A277" s="4" t="s">
        <v>1297</v>
      </c>
      <c r="B277" s="5">
        <v>2488.0</v>
      </c>
      <c r="C277" s="5">
        <v>15.8</v>
      </c>
      <c r="D277" s="5">
        <v>14.2</v>
      </c>
      <c r="G277" s="5">
        <v>6.35</v>
      </c>
      <c r="I277" s="5">
        <v>0.9</v>
      </c>
    </row>
    <row r="278">
      <c r="A278" s="4" t="s">
        <v>1508</v>
      </c>
      <c r="B278" s="5">
        <v>2471.0</v>
      </c>
      <c r="C278" s="5">
        <v>15.8</v>
      </c>
      <c r="D278" s="5">
        <v>13.4</v>
      </c>
      <c r="G278" s="5">
        <v>6.28</v>
      </c>
      <c r="I278" s="5">
        <v>0.65</v>
      </c>
    </row>
    <row r="279">
      <c r="A279" s="4" t="s">
        <v>1732</v>
      </c>
      <c r="B279" s="5">
        <v>2483.0</v>
      </c>
      <c r="C279" s="5">
        <v>16.0</v>
      </c>
      <c r="D279" s="5">
        <v>13.7</v>
      </c>
      <c r="G279" s="5">
        <v>6.29</v>
      </c>
      <c r="I279" s="5">
        <v>0.33</v>
      </c>
    </row>
    <row r="280">
      <c r="A280" s="4" t="s">
        <v>404</v>
      </c>
      <c r="B280" s="5">
        <v>2472.0</v>
      </c>
      <c r="C280" s="5">
        <v>14.0</v>
      </c>
      <c r="D280" s="5">
        <v>13.5</v>
      </c>
      <c r="G280" s="5">
        <v>5.47</v>
      </c>
      <c r="I280" s="5">
        <v>0.51</v>
      </c>
    </row>
    <row r="281">
      <c r="A281" s="4" t="s">
        <v>2036</v>
      </c>
      <c r="B281" s="5">
        <v>2469.0</v>
      </c>
      <c r="C281" s="5">
        <v>11.8</v>
      </c>
      <c r="D281" s="5">
        <v>11.6</v>
      </c>
      <c r="G281" s="5">
        <v>5.71</v>
      </c>
      <c r="I281" s="5">
        <v>0.41</v>
      </c>
    </row>
    <row r="282">
      <c r="A282" s="4" t="s">
        <v>1515</v>
      </c>
    </row>
    <row r="283">
      <c r="A283" s="4" t="s">
        <v>2037</v>
      </c>
    </row>
    <row r="284">
      <c r="A284" s="4" t="s">
        <v>1513</v>
      </c>
    </row>
    <row r="285">
      <c r="A285" s="4" t="s">
        <v>1733</v>
      </c>
      <c r="B285" s="5">
        <v>2475.0</v>
      </c>
      <c r="C285" s="5">
        <v>13.0</v>
      </c>
      <c r="D285" s="5">
        <v>8.9</v>
      </c>
      <c r="G285" s="5">
        <v>3.81</v>
      </c>
      <c r="I285" s="5">
        <v>0.14</v>
      </c>
    </row>
    <row r="286">
      <c r="A286" s="4" t="s">
        <v>1301</v>
      </c>
      <c r="B286" s="5">
        <v>2467.0</v>
      </c>
      <c r="C286" s="5">
        <v>15.1</v>
      </c>
      <c r="D286" s="5">
        <v>12.0</v>
      </c>
      <c r="G286" s="5">
        <v>4.99</v>
      </c>
      <c r="I286" s="5">
        <v>0.41</v>
      </c>
    </row>
    <row r="287">
      <c r="A287" s="4" t="s">
        <v>405</v>
      </c>
    </row>
    <row r="288">
      <c r="A288" s="4" t="s">
        <v>1512</v>
      </c>
    </row>
    <row r="289">
      <c r="A289" s="4"/>
    </row>
    <row r="290">
      <c r="A290" s="4" t="s">
        <v>406</v>
      </c>
      <c r="B290" s="5">
        <v>2789.0</v>
      </c>
      <c r="C290" s="5">
        <v>22.7</v>
      </c>
      <c r="D290" s="5">
        <v>17.2</v>
      </c>
      <c r="G290" s="5">
        <v>10.36</v>
      </c>
      <c r="I290" s="5">
        <v>2.69</v>
      </c>
    </row>
    <row r="291">
      <c r="A291" s="4" t="s">
        <v>407</v>
      </c>
      <c r="B291" s="5">
        <v>2787.0</v>
      </c>
      <c r="C291" s="5">
        <v>23.5</v>
      </c>
      <c r="D291" s="5">
        <v>20.2</v>
      </c>
      <c r="G291" s="5">
        <v>8.28</v>
      </c>
      <c r="I291" s="5">
        <v>2.2</v>
      </c>
    </row>
    <row r="292">
      <c r="A292" s="4" t="s">
        <v>1303</v>
      </c>
      <c r="B292" s="5">
        <v>2788.0</v>
      </c>
      <c r="C292" s="5">
        <v>30.1</v>
      </c>
      <c r="D292" s="5">
        <v>18.7</v>
      </c>
      <c r="G292" s="5">
        <v>9.22</v>
      </c>
      <c r="I292" s="5">
        <v>1.91</v>
      </c>
    </row>
    <row r="293">
      <c r="A293" s="4" t="s">
        <v>408</v>
      </c>
      <c r="B293" s="5">
        <v>2783.0</v>
      </c>
      <c r="C293" s="5">
        <v>25.5</v>
      </c>
      <c r="D293" s="5">
        <v>19.5</v>
      </c>
      <c r="G293" s="5">
        <v>8.93</v>
      </c>
      <c r="I293" s="5">
        <v>1.93</v>
      </c>
    </row>
    <row r="294">
      <c r="A294" s="4" t="s">
        <v>1304</v>
      </c>
      <c r="B294" s="5">
        <v>2784.0</v>
      </c>
      <c r="C294" s="5">
        <v>29.6</v>
      </c>
      <c r="D294" s="5">
        <v>23.8</v>
      </c>
      <c r="G294" s="5">
        <v>8.29</v>
      </c>
      <c r="I294" s="5">
        <v>1.19</v>
      </c>
    </row>
    <row r="295">
      <c r="A295" s="4" t="s">
        <v>409</v>
      </c>
      <c r="B295" s="5">
        <v>2786.0</v>
      </c>
      <c r="C295" s="5">
        <v>28.7</v>
      </c>
      <c r="D295" s="5">
        <v>30.5</v>
      </c>
      <c r="G295" s="5">
        <v>9.43</v>
      </c>
      <c r="I295" s="5">
        <v>1.05</v>
      </c>
    </row>
    <row r="296">
      <c r="A296" s="4" t="s">
        <v>1305</v>
      </c>
      <c r="B296" s="5">
        <v>2785.0</v>
      </c>
      <c r="C296" s="5">
        <v>23.0</v>
      </c>
      <c r="D296" s="5">
        <v>17.5</v>
      </c>
      <c r="G296" s="5">
        <v>9.98</v>
      </c>
      <c r="I296" s="5">
        <v>1.89</v>
      </c>
    </row>
    <row r="297">
      <c r="A297" s="4" t="s">
        <v>411</v>
      </c>
      <c r="B297" s="5">
        <v>2779.0</v>
      </c>
      <c r="C297" s="5">
        <v>20.0</v>
      </c>
      <c r="D297" s="5">
        <v>12.5</v>
      </c>
      <c r="G297" s="5">
        <v>7.7</v>
      </c>
      <c r="I297" s="5">
        <v>1.27</v>
      </c>
    </row>
    <row r="298">
      <c r="A298" s="4" t="s">
        <v>2038</v>
      </c>
      <c r="B298" s="5">
        <v>2777.0</v>
      </c>
      <c r="C298" s="5">
        <v>23.8</v>
      </c>
      <c r="D298" s="5">
        <v>15.3</v>
      </c>
      <c r="G298" s="5">
        <v>5.71</v>
      </c>
      <c r="I298" s="5">
        <v>0.39</v>
      </c>
    </row>
    <row r="299">
      <c r="A299" s="4" t="s">
        <v>1307</v>
      </c>
      <c r="B299" s="5">
        <v>2770.0</v>
      </c>
      <c r="C299" s="5">
        <v>19.7</v>
      </c>
      <c r="D299" s="5">
        <v>18.1</v>
      </c>
      <c r="G299" s="5">
        <v>7.39</v>
      </c>
      <c r="I299" s="5">
        <v>1.07</v>
      </c>
    </row>
    <row r="300">
      <c r="A300" s="4" t="s">
        <v>410</v>
      </c>
      <c r="B300" s="5">
        <v>2781.0</v>
      </c>
      <c r="C300" s="5">
        <v>22.2</v>
      </c>
      <c r="D300" s="5">
        <v>17.6</v>
      </c>
      <c r="G300" s="5">
        <v>7.73</v>
      </c>
      <c r="I300" s="5">
        <v>1.27</v>
      </c>
    </row>
    <row r="301">
      <c r="A301" s="4" t="s">
        <v>412</v>
      </c>
      <c r="B301" s="5">
        <v>2774.0</v>
      </c>
      <c r="C301" s="5">
        <v>19.0</v>
      </c>
      <c r="D301" s="5">
        <v>13.1</v>
      </c>
      <c r="G301" s="5">
        <v>7.18</v>
      </c>
      <c r="I301" s="5">
        <v>1.02</v>
      </c>
    </row>
    <row r="302">
      <c r="A302" s="4" t="s">
        <v>1308</v>
      </c>
      <c r="B302" s="5">
        <v>2772.0</v>
      </c>
      <c r="C302" s="5">
        <v>19.7</v>
      </c>
      <c r="D302" s="5">
        <v>15.6</v>
      </c>
      <c r="G302" s="5">
        <v>8.26</v>
      </c>
      <c r="I302" s="5">
        <v>1.67</v>
      </c>
    </row>
    <row r="303">
      <c r="A303" s="4" t="s">
        <v>1516</v>
      </c>
      <c r="B303" s="5">
        <v>2782.0</v>
      </c>
      <c r="C303" s="5">
        <v>20.0</v>
      </c>
      <c r="D303" s="5">
        <v>17.7</v>
      </c>
      <c r="G303" s="5">
        <v>6.56</v>
      </c>
      <c r="I303" s="5">
        <v>0.59</v>
      </c>
    </row>
    <row r="304">
      <c r="A304" s="4" t="s">
        <v>1311</v>
      </c>
      <c r="B304" s="5">
        <v>2768.0</v>
      </c>
      <c r="C304" s="5">
        <v>16.6</v>
      </c>
      <c r="D304" s="5">
        <v>13.5</v>
      </c>
      <c r="G304" s="5">
        <v>6.48</v>
      </c>
      <c r="I304" s="5">
        <v>1.11</v>
      </c>
    </row>
    <row r="305">
      <c r="A305" s="4" t="s">
        <v>1315</v>
      </c>
    </row>
    <row r="306">
      <c r="A306" s="4" t="s">
        <v>415</v>
      </c>
      <c r="B306" s="5">
        <v>2738.0</v>
      </c>
      <c r="C306" s="5">
        <v>16.8</v>
      </c>
      <c r="D306" s="5">
        <v>11.1</v>
      </c>
      <c r="G306" s="5">
        <v>6.77</v>
      </c>
      <c r="I306" s="5">
        <v>0.88</v>
      </c>
    </row>
    <row r="307">
      <c r="A307" s="4" t="s">
        <v>417</v>
      </c>
      <c r="B307" s="5">
        <v>2778.0</v>
      </c>
      <c r="C307" s="5">
        <v>16.0</v>
      </c>
      <c r="D307" s="5">
        <v>16.2</v>
      </c>
      <c r="G307" s="5">
        <v>4.59</v>
      </c>
      <c r="I307" s="5">
        <v>0.25</v>
      </c>
    </row>
    <row r="308">
      <c r="A308" s="4" t="s">
        <v>413</v>
      </c>
      <c r="B308" s="5">
        <v>2780.0</v>
      </c>
      <c r="C308" s="5">
        <v>20.7</v>
      </c>
      <c r="D308" s="5">
        <v>17.1</v>
      </c>
      <c r="G308" s="5">
        <v>6.78</v>
      </c>
      <c r="I308" s="5">
        <v>0.72</v>
      </c>
    </row>
    <row r="309">
      <c r="A309" s="4" t="s">
        <v>418</v>
      </c>
      <c r="B309" s="5">
        <v>2764.0</v>
      </c>
      <c r="C309" s="5">
        <v>16.0</v>
      </c>
      <c r="D309" s="5">
        <v>12.0</v>
      </c>
      <c r="G309" s="5">
        <v>5.09</v>
      </c>
      <c r="I309" s="5">
        <v>0.37</v>
      </c>
    </row>
    <row r="310">
      <c r="A310" s="4" t="s">
        <v>2039</v>
      </c>
      <c r="B310" s="5">
        <v>2775.0</v>
      </c>
      <c r="C310" s="5">
        <v>14.0</v>
      </c>
      <c r="D310" s="5">
        <v>13.0</v>
      </c>
      <c r="G310" s="5">
        <v>4.46</v>
      </c>
      <c r="I310" s="5">
        <v>0.31</v>
      </c>
    </row>
    <row r="311">
      <c r="A311" s="4" t="s">
        <v>1310</v>
      </c>
      <c r="B311" s="5">
        <v>2769.0</v>
      </c>
      <c r="C311" s="5">
        <v>16.2</v>
      </c>
      <c r="D311" s="5">
        <v>10.0</v>
      </c>
      <c r="G311" s="5">
        <v>7.58</v>
      </c>
      <c r="I311" s="5">
        <v>0.83</v>
      </c>
    </row>
    <row r="312">
      <c r="A312" s="4" t="s">
        <v>414</v>
      </c>
      <c r="B312" s="5">
        <v>2966.0</v>
      </c>
      <c r="C312" s="5">
        <v>16.2</v>
      </c>
      <c r="D312" s="5">
        <v>12.7</v>
      </c>
      <c r="G312" s="5">
        <v>6.35</v>
      </c>
    </row>
    <row r="313">
      <c r="A313" s="4" t="s">
        <v>1521</v>
      </c>
      <c r="B313" s="5">
        <v>2771.0</v>
      </c>
      <c r="C313" s="5">
        <v>17.0</v>
      </c>
      <c r="D313" s="5">
        <v>14.1</v>
      </c>
      <c r="G313" s="5">
        <v>5.23</v>
      </c>
      <c r="I313" s="5">
        <v>0.27</v>
      </c>
    </row>
    <row r="314">
      <c r="A314" s="4" t="s">
        <v>1314</v>
      </c>
      <c r="B314" s="5">
        <v>2765.0</v>
      </c>
      <c r="C314" s="5">
        <v>15.3</v>
      </c>
      <c r="D314" s="5">
        <v>12.5</v>
      </c>
      <c r="G314" s="5">
        <v>5.31</v>
      </c>
      <c r="I314" s="5">
        <v>0.54</v>
      </c>
    </row>
    <row r="315">
      <c r="A315" s="4" t="s">
        <v>1739</v>
      </c>
      <c r="B315" s="5">
        <v>2767.0</v>
      </c>
      <c r="C315" s="5">
        <v>12.3</v>
      </c>
      <c r="D315" s="5">
        <v>14.5</v>
      </c>
      <c r="G315" s="5">
        <v>4.32</v>
      </c>
      <c r="I315" s="5">
        <v>0.25</v>
      </c>
    </row>
    <row r="316">
      <c r="A316" s="4" t="s">
        <v>1519</v>
      </c>
      <c r="B316" s="5">
        <v>2773.0</v>
      </c>
      <c r="C316" s="5">
        <v>24.1</v>
      </c>
      <c r="D316" s="5">
        <v>20.0</v>
      </c>
      <c r="G316" s="5">
        <v>7.12</v>
      </c>
      <c r="I316" s="5">
        <v>0.83</v>
      </c>
    </row>
    <row r="317">
      <c r="A317" s="4" t="s">
        <v>416</v>
      </c>
    </row>
    <row r="318">
      <c r="A318" s="4" t="s">
        <v>2040</v>
      </c>
    </row>
    <row r="319">
      <c r="A319" s="4" t="s">
        <v>2041</v>
      </c>
    </row>
    <row r="320">
      <c r="A320" s="4" t="s">
        <v>1740</v>
      </c>
    </row>
    <row r="321">
      <c r="A321" s="4" t="s">
        <v>2042</v>
      </c>
      <c r="B321" s="5">
        <v>2776.0</v>
      </c>
      <c r="C321" s="5">
        <v>18.0</v>
      </c>
      <c r="D321" s="5">
        <v>14.1</v>
      </c>
      <c r="G321" s="5">
        <v>4.87</v>
      </c>
      <c r="I321" s="5">
        <v>0.2</v>
      </c>
    </row>
    <row r="322">
      <c r="A322" s="4" t="s">
        <v>2043</v>
      </c>
    </row>
    <row r="323">
      <c r="A323" s="4" t="s">
        <v>419</v>
      </c>
    </row>
    <row r="324">
      <c r="A324" s="4"/>
    </row>
    <row r="325">
      <c r="A325" s="4" t="s">
        <v>425</v>
      </c>
      <c r="B325" s="5">
        <v>2466.0</v>
      </c>
      <c r="C325" s="5">
        <v>20.4</v>
      </c>
      <c r="D325" s="5">
        <v>24.6</v>
      </c>
      <c r="G325" s="5">
        <v>10.64</v>
      </c>
      <c r="I325" s="5">
        <v>2.22</v>
      </c>
    </row>
    <row r="326">
      <c r="A326" s="4" t="s">
        <v>426</v>
      </c>
      <c r="B326" s="5">
        <v>2465.0</v>
      </c>
      <c r="C326" s="5">
        <v>27.0</v>
      </c>
      <c r="D326" s="5">
        <v>21.0</v>
      </c>
      <c r="G326" s="5">
        <v>10.74</v>
      </c>
      <c r="I326" s="5">
        <v>3.13</v>
      </c>
    </row>
    <row r="327">
      <c r="A327" s="4" t="s">
        <v>1318</v>
      </c>
      <c r="B327" s="5">
        <v>2464.0</v>
      </c>
      <c r="C327" s="5">
        <v>29.8</v>
      </c>
      <c r="D327" s="5">
        <v>21.0</v>
      </c>
      <c r="G327" s="5">
        <v>8.83</v>
      </c>
      <c r="I327" s="5">
        <v>1.17</v>
      </c>
    </row>
    <row r="328">
      <c r="A328" s="4" t="s">
        <v>1320</v>
      </c>
      <c r="B328" s="5">
        <v>2463.0</v>
      </c>
      <c r="C328" s="5">
        <v>25.9</v>
      </c>
      <c r="D328" s="5">
        <v>21.5</v>
      </c>
      <c r="G328" s="5">
        <v>7.96</v>
      </c>
      <c r="I328" s="5">
        <v>1.85</v>
      </c>
    </row>
    <row r="329">
      <c r="A329" s="4" t="s">
        <v>1323</v>
      </c>
      <c r="B329" s="5">
        <v>2461.0</v>
      </c>
      <c r="C329" s="5">
        <v>21.4</v>
      </c>
      <c r="D329" s="5">
        <v>16.0</v>
      </c>
      <c r="G329" s="5">
        <v>6.86</v>
      </c>
      <c r="I329" s="5">
        <v>1.24</v>
      </c>
    </row>
    <row r="330">
      <c r="A330" s="4" t="s">
        <v>427</v>
      </c>
      <c r="B330" s="5">
        <v>2462.0</v>
      </c>
      <c r="C330" s="5">
        <v>26.2</v>
      </c>
      <c r="D330" s="5">
        <v>18.2</v>
      </c>
      <c r="G330" s="5">
        <v>7.6</v>
      </c>
      <c r="I330" s="5">
        <v>2.11</v>
      </c>
    </row>
    <row r="331">
      <c r="A331" s="4" t="s">
        <v>428</v>
      </c>
      <c r="B331" s="5">
        <v>2460.0</v>
      </c>
      <c r="C331" s="5">
        <v>20.7</v>
      </c>
      <c r="D331" s="5">
        <v>11.0</v>
      </c>
      <c r="G331" s="5">
        <v>6.75</v>
      </c>
      <c r="I331" s="5">
        <v>1.66</v>
      </c>
    </row>
    <row r="332">
      <c r="A332" s="4" t="s">
        <v>433</v>
      </c>
    </row>
    <row r="333">
      <c r="A333" s="4" t="s">
        <v>431</v>
      </c>
      <c r="B333" s="5">
        <v>2459.0</v>
      </c>
      <c r="C333" s="5">
        <v>24.5</v>
      </c>
      <c r="D333" s="5">
        <v>16.0</v>
      </c>
      <c r="G333" s="5">
        <v>5.87</v>
      </c>
      <c r="I333" s="5">
        <v>0.4</v>
      </c>
    </row>
    <row r="334">
      <c r="A334" s="4" t="s">
        <v>1326</v>
      </c>
      <c r="B334" s="5">
        <v>2458.0</v>
      </c>
      <c r="C334" s="5">
        <v>15.3</v>
      </c>
      <c r="D334" s="5">
        <v>13.2</v>
      </c>
      <c r="G334" s="5">
        <v>5.73</v>
      </c>
      <c r="I334" s="5">
        <v>0.97</v>
      </c>
    </row>
    <row r="335">
      <c r="A335" s="4" t="s">
        <v>434</v>
      </c>
    </row>
    <row r="336">
      <c r="A336" s="4" t="s">
        <v>2044</v>
      </c>
    </row>
    <row r="337">
      <c r="A337" s="4" t="s">
        <v>1948</v>
      </c>
    </row>
    <row r="338">
      <c r="A338" s="4" t="s">
        <v>432</v>
      </c>
      <c r="B338" s="5">
        <v>2457.0</v>
      </c>
      <c r="C338" s="5">
        <v>19.7</v>
      </c>
      <c r="D338" s="5">
        <v>11.1</v>
      </c>
      <c r="G338" s="5">
        <v>4.46</v>
      </c>
      <c r="I338" s="5">
        <v>0.25</v>
      </c>
    </row>
    <row r="339">
      <c r="A339" s="4"/>
    </row>
    <row r="340">
      <c r="A340" s="4" t="s">
        <v>438</v>
      </c>
      <c r="B340" s="5">
        <v>2633.0</v>
      </c>
      <c r="C340" s="5">
        <v>18.0</v>
      </c>
      <c r="D340" s="5">
        <v>20.5</v>
      </c>
      <c r="G340" s="5">
        <v>11.5</v>
      </c>
      <c r="I340" s="5">
        <v>1.81</v>
      </c>
    </row>
    <row r="341">
      <c r="A341" s="4" t="s">
        <v>439</v>
      </c>
      <c r="B341" s="5">
        <v>2632.0</v>
      </c>
      <c r="C341" s="5">
        <v>23.0</v>
      </c>
      <c r="D341" s="5">
        <v>21.7</v>
      </c>
      <c r="G341" s="5">
        <v>9.12</v>
      </c>
      <c r="I341" s="5">
        <v>2.34</v>
      </c>
    </row>
    <row r="342">
      <c r="A342" s="4" t="s">
        <v>440</v>
      </c>
      <c r="B342" s="5">
        <v>2629.0</v>
      </c>
      <c r="C342" s="5">
        <v>31.0</v>
      </c>
      <c r="D342" s="5">
        <v>21.4</v>
      </c>
      <c r="G342" s="5">
        <v>7.79</v>
      </c>
      <c r="I342" s="5">
        <v>0.84</v>
      </c>
    </row>
    <row r="343">
      <c r="A343" s="4" t="s">
        <v>441</v>
      </c>
      <c r="B343" s="5">
        <v>2626.0</v>
      </c>
      <c r="C343" s="5">
        <v>23.5</v>
      </c>
      <c r="D343" s="5">
        <v>17.6</v>
      </c>
      <c r="G343" s="5">
        <v>9.32</v>
      </c>
      <c r="I343" s="5">
        <v>1.68</v>
      </c>
    </row>
    <row r="344">
      <c r="A344" s="4" t="s">
        <v>446</v>
      </c>
      <c r="B344" s="5">
        <v>2628.0</v>
      </c>
      <c r="C344" s="5">
        <v>21.0</v>
      </c>
      <c r="D344" s="5">
        <v>20.2</v>
      </c>
      <c r="G344" s="5">
        <v>9.63</v>
      </c>
      <c r="I344" s="5">
        <v>1.07</v>
      </c>
    </row>
    <row r="345">
      <c r="A345" s="4" t="s">
        <v>1327</v>
      </c>
      <c r="B345" s="5">
        <v>2631.0</v>
      </c>
      <c r="C345" s="5">
        <v>22.5</v>
      </c>
      <c r="D345" s="5">
        <v>18.4</v>
      </c>
      <c r="G345" s="5">
        <v>8.02</v>
      </c>
      <c r="I345" s="5">
        <v>0.98</v>
      </c>
    </row>
    <row r="346">
      <c r="A346" s="4" t="s">
        <v>1328</v>
      </c>
      <c r="B346" s="5">
        <v>2630.0</v>
      </c>
      <c r="C346" s="5">
        <v>28.9</v>
      </c>
      <c r="D346" s="5">
        <v>25.0</v>
      </c>
      <c r="G346" s="5">
        <v>7.71</v>
      </c>
      <c r="I346" s="5">
        <v>1.01</v>
      </c>
    </row>
    <row r="347">
      <c r="A347" s="4" t="s">
        <v>442</v>
      </c>
      <c r="B347" s="5">
        <v>2625.0</v>
      </c>
      <c r="C347" s="5">
        <v>21.1</v>
      </c>
      <c r="D347" s="5">
        <v>14.2</v>
      </c>
      <c r="G347" s="5">
        <v>8.75</v>
      </c>
      <c r="I347" s="5">
        <v>1.07</v>
      </c>
    </row>
    <row r="348">
      <c r="A348" s="4" t="s">
        <v>451</v>
      </c>
      <c r="B348" s="5">
        <v>2619.0</v>
      </c>
      <c r="C348" s="5">
        <v>19.1</v>
      </c>
      <c r="D348" s="5">
        <v>16.7</v>
      </c>
      <c r="G348" s="5">
        <v>7.76</v>
      </c>
      <c r="I348" s="5">
        <v>0.92</v>
      </c>
    </row>
    <row r="349">
      <c r="A349" s="4" t="s">
        <v>445</v>
      </c>
      <c r="B349" s="5">
        <v>2618.0</v>
      </c>
      <c r="C349" s="5">
        <v>25.2</v>
      </c>
      <c r="D349" s="5">
        <v>17.1</v>
      </c>
      <c r="G349" s="5">
        <v>7.05</v>
      </c>
      <c r="I349" s="5">
        <v>0.34</v>
      </c>
    </row>
    <row r="350">
      <c r="A350" s="4" t="s">
        <v>448</v>
      </c>
      <c r="B350" s="5">
        <v>2623.0</v>
      </c>
      <c r="C350" s="5">
        <v>24.3</v>
      </c>
      <c r="D350" s="5">
        <v>18.5</v>
      </c>
      <c r="G350" s="5">
        <v>6.55</v>
      </c>
      <c r="I350" s="5">
        <v>0.44</v>
      </c>
    </row>
    <row r="351">
      <c r="A351" s="4" t="s">
        <v>2045</v>
      </c>
      <c r="B351" s="5">
        <v>2622.0</v>
      </c>
      <c r="C351" s="5">
        <v>20.9</v>
      </c>
      <c r="D351" s="5">
        <v>17.5</v>
      </c>
      <c r="G351" s="5">
        <v>6.76</v>
      </c>
      <c r="I351" s="5">
        <v>0.34</v>
      </c>
    </row>
    <row r="352">
      <c r="A352" s="4" t="s">
        <v>1329</v>
      </c>
      <c r="B352" s="5">
        <v>2621.0</v>
      </c>
      <c r="C352" s="5">
        <v>21.8</v>
      </c>
      <c r="D352" s="5">
        <v>16.6</v>
      </c>
      <c r="G352" s="5">
        <v>7.8</v>
      </c>
      <c r="I352" s="5">
        <v>0.93</v>
      </c>
    </row>
    <row r="353">
      <c r="A353" s="4" t="s">
        <v>1540</v>
      </c>
      <c r="B353" s="5">
        <v>2500.0</v>
      </c>
      <c r="C353" s="5">
        <v>17.5</v>
      </c>
      <c r="D353" s="5">
        <v>13.4</v>
      </c>
      <c r="G353" s="5">
        <v>7.09</v>
      </c>
      <c r="I353" s="5">
        <v>0.55</v>
      </c>
    </row>
    <row r="354">
      <c r="A354" s="4" t="s">
        <v>1330</v>
      </c>
      <c r="B354" s="5">
        <v>2627.0</v>
      </c>
      <c r="C354" s="5">
        <v>19.7</v>
      </c>
      <c r="D354" s="5">
        <v>14.7</v>
      </c>
      <c r="G354" s="5">
        <v>8.04</v>
      </c>
      <c r="I354" s="5">
        <v>0.74</v>
      </c>
    </row>
    <row r="355">
      <c r="A355" s="4" t="s">
        <v>447</v>
      </c>
      <c r="B355" s="5">
        <v>2624.0</v>
      </c>
      <c r="C355" s="5">
        <v>17.7</v>
      </c>
      <c r="D355" s="5">
        <v>10.5</v>
      </c>
      <c r="G355" s="5">
        <v>7.54</v>
      </c>
      <c r="I355" s="5">
        <v>0.69</v>
      </c>
    </row>
    <row r="356">
      <c r="A356" s="4" t="s">
        <v>458</v>
      </c>
      <c r="B356" s="5">
        <v>2497.0</v>
      </c>
      <c r="C356" s="5">
        <v>13.7</v>
      </c>
      <c r="D356" s="5">
        <v>9.2</v>
      </c>
      <c r="G356" s="5">
        <v>4.64</v>
      </c>
      <c r="I356" s="5">
        <v>0.21</v>
      </c>
    </row>
    <row r="357">
      <c r="A357" s="4" t="s">
        <v>452</v>
      </c>
      <c r="B357" s="5">
        <v>2498.0</v>
      </c>
      <c r="C357" s="5">
        <v>15.6</v>
      </c>
      <c r="D357" s="5">
        <v>13.6</v>
      </c>
      <c r="G357" s="5">
        <v>6.76</v>
      </c>
      <c r="I357" s="5">
        <v>0.52</v>
      </c>
    </row>
    <row r="358">
      <c r="A358" s="4" t="s">
        <v>1331</v>
      </c>
      <c r="B358" s="5">
        <v>2620.0</v>
      </c>
      <c r="C358" s="5">
        <v>19.8</v>
      </c>
      <c r="D358" s="5">
        <v>12.0</v>
      </c>
      <c r="G358" s="5">
        <v>7.51</v>
      </c>
      <c r="I358" s="5">
        <v>0.5</v>
      </c>
    </row>
    <row r="359">
      <c r="A359" s="4" t="s">
        <v>2046</v>
      </c>
      <c r="B359" s="5">
        <v>2499.0</v>
      </c>
      <c r="C359" s="5">
        <v>13.1</v>
      </c>
      <c r="D359" s="5">
        <v>9.2</v>
      </c>
      <c r="G359" s="5">
        <v>5.48</v>
      </c>
      <c r="I359" s="5">
        <v>0.17</v>
      </c>
    </row>
    <row r="360">
      <c r="A360" s="4" t="s">
        <v>2047</v>
      </c>
    </row>
    <row r="361">
      <c r="A361" s="4"/>
    </row>
    <row r="362">
      <c r="A362" s="4" t="s">
        <v>463</v>
      </c>
    </row>
    <row r="363">
      <c r="A363" s="4" t="s">
        <v>464</v>
      </c>
    </row>
    <row r="364">
      <c r="A364" s="4" t="s">
        <v>465</v>
      </c>
    </row>
    <row r="365">
      <c r="A365" s="4" t="s">
        <v>466</v>
      </c>
    </row>
    <row r="366">
      <c r="A366" s="4" t="s">
        <v>467</v>
      </c>
    </row>
    <row r="367">
      <c r="A367" s="4" t="s">
        <v>468</v>
      </c>
    </row>
    <row r="368">
      <c r="A368" s="4" t="s">
        <v>469</v>
      </c>
    </row>
    <row r="369">
      <c r="A369" s="4" t="s">
        <v>1333</v>
      </c>
    </row>
    <row r="370">
      <c r="A370" s="4" t="s">
        <v>470</v>
      </c>
    </row>
    <row r="371">
      <c r="A371" s="4"/>
    </row>
    <row r="372">
      <c r="A372" s="4" t="s">
        <v>475</v>
      </c>
    </row>
    <row r="373">
      <c r="A373" s="4" t="s">
        <v>476</v>
      </c>
    </row>
    <row r="374">
      <c r="A374" s="4" t="s">
        <v>478</v>
      </c>
    </row>
    <row r="375">
      <c r="A375" s="4" t="s">
        <v>479</v>
      </c>
    </row>
    <row r="376">
      <c r="A376" s="4"/>
    </row>
    <row r="377">
      <c r="A377" s="4" t="s">
        <v>496</v>
      </c>
    </row>
    <row r="378">
      <c r="A378" s="4" t="s">
        <v>497</v>
      </c>
    </row>
    <row r="379">
      <c r="A379" s="4" t="s">
        <v>504</v>
      </c>
    </row>
    <row r="380">
      <c r="A380" s="4"/>
    </row>
    <row r="381">
      <c r="A381" s="4" t="s">
        <v>517</v>
      </c>
    </row>
    <row r="382">
      <c r="A382" s="4" t="s">
        <v>518</v>
      </c>
    </row>
    <row r="383">
      <c r="A383" s="4" t="s">
        <v>519</v>
      </c>
    </row>
    <row r="384">
      <c r="A384" s="4"/>
    </row>
    <row r="385">
      <c r="A385" s="4" t="s">
        <v>537</v>
      </c>
    </row>
    <row r="386">
      <c r="A386" s="4"/>
    </row>
    <row r="387">
      <c r="A387" s="4" t="s">
        <v>557</v>
      </c>
    </row>
    <row r="388">
      <c r="A388" s="4"/>
    </row>
    <row r="389">
      <c r="A389" s="4" t="s">
        <v>754</v>
      </c>
      <c r="H389" s="5">
        <v>0.0</v>
      </c>
      <c r="L389" s="2" t="s">
        <v>14</v>
      </c>
    </row>
    <row r="390">
      <c r="A390" s="4" t="s">
        <v>755</v>
      </c>
      <c r="L390" s="6">
        <f>counta(I408:I573)</f>
        <v>83</v>
      </c>
    </row>
    <row r="391">
      <c r="A391" s="4" t="s">
        <v>2048</v>
      </c>
      <c r="L391" s="6">
        <f>sum(I408:I573)/L390</f>
        <v>0.8704819277</v>
      </c>
    </row>
    <row r="392">
      <c r="A392" s="4" t="s">
        <v>757</v>
      </c>
    </row>
    <row r="393">
      <c r="A393" s="4" t="s">
        <v>758</v>
      </c>
    </row>
    <row r="394">
      <c r="A394" s="4" t="s">
        <v>1337</v>
      </c>
    </row>
    <row r="395">
      <c r="A395" s="4" t="s">
        <v>760</v>
      </c>
    </row>
    <row r="396">
      <c r="A396" s="4" t="s">
        <v>2049</v>
      </c>
    </row>
    <row r="397">
      <c r="A397" s="4" t="s">
        <v>761</v>
      </c>
    </row>
    <row r="398">
      <c r="A398" s="4" t="s">
        <v>770</v>
      </c>
    </row>
    <row r="399">
      <c r="A399" s="4" t="s">
        <v>763</v>
      </c>
    </row>
    <row r="400">
      <c r="A400" s="4" t="s">
        <v>1760</v>
      </c>
    </row>
    <row r="401">
      <c r="A401" s="4" t="s">
        <v>1762</v>
      </c>
    </row>
    <row r="402">
      <c r="A402" s="4" t="s">
        <v>1763</v>
      </c>
    </row>
    <row r="403">
      <c r="A403" s="4" t="s">
        <v>762</v>
      </c>
    </row>
    <row r="404">
      <c r="A404" s="4" t="s">
        <v>1877</v>
      </c>
    </row>
    <row r="405">
      <c r="A405" s="4" t="s">
        <v>765</v>
      </c>
    </row>
    <row r="406">
      <c r="A406" s="4" t="s">
        <v>2050</v>
      </c>
    </row>
    <row r="407">
      <c r="A407" s="4" t="s">
        <v>1768</v>
      </c>
    </row>
    <row r="408">
      <c r="A408" s="4" t="s">
        <v>1343</v>
      </c>
      <c r="B408" s="5">
        <v>2142.0</v>
      </c>
      <c r="C408" s="5">
        <v>12.5</v>
      </c>
      <c r="D408" s="5">
        <v>13.9</v>
      </c>
      <c r="G408" s="5">
        <v>5.87</v>
      </c>
      <c r="I408" s="5">
        <v>0.68</v>
      </c>
    </row>
    <row r="409">
      <c r="A409" s="4" t="s">
        <v>1773</v>
      </c>
    </row>
    <row r="410">
      <c r="A410" s="4" t="s">
        <v>1347</v>
      </c>
    </row>
    <row r="411">
      <c r="A411" s="4" t="s">
        <v>768</v>
      </c>
    </row>
    <row r="412">
      <c r="A412" s="4" t="s">
        <v>2051</v>
      </c>
    </row>
    <row r="413">
      <c r="A413" s="4" t="s">
        <v>769</v>
      </c>
    </row>
    <row r="414">
      <c r="A414" s="4" t="s">
        <v>1775</v>
      </c>
    </row>
    <row r="415">
      <c r="A415" s="4" t="s">
        <v>1350</v>
      </c>
      <c r="B415" s="5">
        <v>2141.0</v>
      </c>
      <c r="C415" s="5">
        <v>15.5</v>
      </c>
      <c r="D415" s="5">
        <v>9.5</v>
      </c>
      <c r="G415" s="5">
        <v>5.15</v>
      </c>
      <c r="I415" s="5">
        <v>0.42</v>
      </c>
    </row>
    <row r="416">
      <c r="A416" s="4" t="s">
        <v>1781</v>
      </c>
    </row>
    <row r="417">
      <c r="A417" s="4" t="s">
        <v>1348</v>
      </c>
    </row>
    <row r="418">
      <c r="A418" s="4" t="s">
        <v>2052</v>
      </c>
    </row>
    <row r="419">
      <c r="A419" s="4" t="s">
        <v>1899</v>
      </c>
    </row>
    <row r="420">
      <c r="A420" s="4" t="s">
        <v>1351</v>
      </c>
    </row>
    <row r="421">
      <c r="A421" s="4" t="s">
        <v>1959</v>
      </c>
    </row>
    <row r="422">
      <c r="A422" s="4"/>
    </row>
    <row r="423">
      <c r="A423" s="4" t="s">
        <v>771</v>
      </c>
    </row>
    <row r="424">
      <c r="A424" s="4" t="s">
        <v>772</v>
      </c>
    </row>
    <row r="425">
      <c r="A425" s="4" t="s">
        <v>774</v>
      </c>
    </row>
    <row r="426">
      <c r="A426" s="4" t="s">
        <v>1353</v>
      </c>
    </row>
    <row r="427">
      <c r="A427" s="4" t="s">
        <v>779</v>
      </c>
    </row>
    <row r="428">
      <c r="A428" s="4" t="s">
        <v>1354</v>
      </c>
    </row>
    <row r="429">
      <c r="A429" s="4" t="s">
        <v>1355</v>
      </c>
    </row>
    <row r="430">
      <c r="A430" s="4" t="s">
        <v>1356</v>
      </c>
    </row>
    <row r="431">
      <c r="A431" s="4" t="s">
        <v>780</v>
      </c>
    </row>
    <row r="432">
      <c r="A432" s="4" t="s">
        <v>1357</v>
      </c>
    </row>
    <row r="433">
      <c r="A433" s="4" t="s">
        <v>1359</v>
      </c>
    </row>
    <row r="434">
      <c r="A434" s="4" t="s">
        <v>1363</v>
      </c>
    </row>
    <row r="435">
      <c r="A435" s="4" t="s">
        <v>1361</v>
      </c>
    </row>
    <row r="436">
      <c r="A436" s="4" t="s">
        <v>1360</v>
      </c>
    </row>
    <row r="437">
      <c r="A437" s="4" t="s">
        <v>2053</v>
      </c>
    </row>
    <row r="438">
      <c r="A438" s="4" t="s">
        <v>2054</v>
      </c>
    </row>
    <row r="439">
      <c r="A439" s="4" t="s">
        <v>1576</v>
      </c>
    </row>
    <row r="440">
      <c r="A440" s="4" t="s">
        <v>1967</v>
      </c>
    </row>
    <row r="441">
      <c r="A441" s="4"/>
    </row>
    <row r="442">
      <c r="A442" s="4" t="s">
        <v>796</v>
      </c>
      <c r="B442" s="5">
        <v>2162.0</v>
      </c>
      <c r="C442" s="5">
        <v>22.7</v>
      </c>
      <c r="D442" s="5">
        <v>18.0</v>
      </c>
      <c r="G442" s="5">
        <v>8.87</v>
      </c>
      <c r="I442" s="5">
        <v>2.41</v>
      </c>
    </row>
    <row r="443">
      <c r="A443" s="4" t="s">
        <v>797</v>
      </c>
      <c r="B443" s="5">
        <v>2159.0</v>
      </c>
      <c r="C443" s="5">
        <v>20.5</v>
      </c>
      <c r="D443" s="5">
        <v>19.1</v>
      </c>
      <c r="G443" s="5">
        <v>8.77</v>
      </c>
      <c r="I443" s="5">
        <v>1.55</v>
      </c>
    </row>
    <row r="444">
      <c r="A444" s="4" t="s">
        <v>1366</v>
      </c>
      <c r="B444" s="5">
        <v>2161.0</v>
      </c>
      <c r="C444" s="5">
        <v>25.0</v>
      </c>
      <c r="D444" s="5">
        <v>18.1</v>
      </c>
      <c r="G444" s="5">
        <v>6.71</v>
      </c>
      <c r="I444" s="5">
        <v>1.84</v>
      </c>
    </row>
    <row r="445">
      <c r="A445" s="4" t="s">
        <v>798</v>
      </c>
      <c r="B445" s="5">
        <v>2158.0</v>
      </c>
      <c r="C445" s="5">
        <v>23.3</v>
      </c>
      <c r="D445" s="5">
        <v>19.2</v>
      </c>
      <c r="G445" s="5">
        <v>7.56</v>
      </c>
      <c r="I445" s="5">
        <v>0.77</v>
      </c>
    </row>
    <row r="446">
      <c r="A446" s="4" t="s">
        <v>1816</v>
      </c>
    </row>
    <row r="447">
      <c r="A447" s="4" t="s">
        <v>1369</v>
      </c>
      <c r="B447" s="5">
        <v>2156.0</v>
      </c>
      <c r="C447" s="5">
        <v>29.6</v>
      </c>
      <c r="D447" s="5">
        <v>20.2</v>
      </c>
      <c r="G447" s="5">
        <v>6.97</v>
      </c>
      <c r="I447" s="5">
        <v>1.27</v>
      </c>
    </row>
    <row r="448">
      <c r="A448" s="4" t="s">
        <v>800</v>
      </c>
      <c r="B448" s="5">
        <v>2151.0</v>
      </c>
      <c r="C448" s="5">
        <v>20.5</v>
      </c>
      <c r="D448" s="5">
        <v>15.5</v>
      </c>
      <c r="G448" s="5">
        <v>6.93</v>
      </c>
      <c r="I448" s="5">
        <v>1.23</v>
      </c>
    </row>
    <row r="449">
      <c r="A449" s="4" t="s">
        <v>1371</v>
      </c>
      <c r="B449" s="5">
        <v>2157.0</v>
      </c>
      <c r="C449" s="5">
        <v>22.0</v>
      </c>
      <c r="D449" s="5">
        <v>20.1</v>
      </c>
      <c r="G449" s="5">
        <v>5.54</v>
      </c>
      <c r="I449" s="5">
        <v>0.54</v>
      </c>
    </row>
    <row r="450">
      <c r="A450" s="4" t="s">
        <v>1368</v>
      </c>
      <c r="B450" s="5">
        <v>2144.0</v>
      </c>
      <c r="C450" s="5">
        <v>20.5</v>
      </c>
      <c r="D450" s="5">
        <v>23.5</v>
      </c>
      <c r="G450" s="5">
        <v>5.81</v>
      </c>
      <c r="I450" s="5">
        <v>0.78</v>
      </c>
    </row>
    <row r="451">
      <c r="A451" s="4" t="s">
        <v>1372</v>
      </c>
      <c r="B451" s="5">
        <v>2407.0</v>
      </c>
      <c r="C451" s="5">
        <v>21.0</v>
      </c>
      <c r="D451" s="5">
        <v>13.2</v>
      </c>
      <c r="G451" s="5">
        <v>5.59</v>
      </c>
      <c r="I451" s="5">
        <v>0.76</v>
      </c>
    </row>
    <row r="452">
      <c r="A452" s="4" t="s">
        <v>1820</v>
      </c>
      <c r="B452" s="5">
        <v>2146.0</v>
      </c>
      <c r="C452" s="5">
        <v>20.4</v>
      </c>
      <c r="D452" s="5">
        <v>17.2</v>
      </c>
      <c r="G452" s="5">
        <v>6.4</v>
      </c>
      <c r="I452" s="5">
        <v>0.81</v>
      </c>
    </row>
    <row r="453">
      <c r="A453" s="4" t="s">
        <v>1373</v>
      </c>
      <c r="B453" s="5">
        <v>2154.0</v>
      </c>
      <c r="C453" s="5">
        <v>19.4</v>
      </c>
      <c r="D453" s="5">
        <v>14.7</v>
      </c>
      <c r="G453" s="5">
        <v>8.92</v>
      </c>
      <c r="I453" s="5">
        <v>1.52</v>
      </c>
    </row>
    <row r="454">
      <c r="A454" s="4" t="s">
        <v>2055</v>
      </c>
      <c r="B454" s="5">
        <v>2155.0</v>
      </c>
      <c r="C454" s="5">
        <v>24.4</v>
      </c>
      <c r="D454" s="5">
        <v>19.7</v>
      </c>
      <c r="G454" s="5">
        <v>6.33</v>
      </c>
      <c r="I454" s="5">
        <v>0.43</v>
      </c>
    </row>
    <row r="455">
      <c r="A455" s="4" t="s">
        <v>2056</v>
      </c>
      <c r="B455" s="5">
        <v>2152.0</v>
      </c>
      <c r="C455" s="5">
        <v>18.7</v>
      </c>
      <c r="D455" s="5">
        <v>14.3</v>
      </c>
      <c r="G455" s="5">
        <v>6.12</v>
      </c>
      <c r="I455" s="5">
        <v>0.44</v>
      </c>
    </row>
    <row r="456">
      <c r="A456" s="4" t="s">
        <v>802</v>
      </c>
      <c r="B456" s="5">
        <v>2149.0</v>
      </c>
      <c r="C456" s="5">
        <v>18.3</v>
      </c>
      <c r="D456" s="5">
        <v>12.7</v>
      </c>
      <c r="G456" s="5">
        <v>6.12</v>
      </c>
      <c r="I456" s="5">
        <v>0.89</v>
      </c>
    </row>
    <row r="457">
      <c r="A457" s="4" t="s">
        <v>2057</v>
      </c>
      <c r="B457" s="5">
        <v>2150.0</v>
      </c>
      <c r="C457" s="5">
        <v>19.4</v>
      </c>
      <c r="D457" s="5">
        <v>14.2</v>
      </c>
      <c r="G457" s="5">
        <v>3.15</v>
      </c>
      <c r="I457" s="5">
        <v>0.18</v>
      </c>
    </row>
    <row r="458">
      <c r="A458" s="4" t="s">
        <v>1375</v>
      </c>
      <c r="B458" s="5">
        <v>2145.0</v>
      </c>
      <c r="C458" s="5">
        <v>14.6</v>
      </c>
      <c r="D458" s="5">
        <v>12.1</v>
      </c>
      <c r="G458" s="5">
        <v>5.5</v>
      </c>
      <c r="I458" s="5">
        <v>0.39</v>
      </c>
    </row>
    <row r="459">
      <c r="A459" s="4" t="s">
        <v>1376</v>
      </c>
      <c r="B459" s="5">
        <v>2432.0</v>
      </c>
      <c r="C459" s="5">
        <v>15.7</v>
      </c>
      <c r="D459" s="5">
        <v>13.2</v>
      </c>
      <c r="G459" s="5">
        <v>4.46</v>
      </c>
      <c r="I459" s="5">
        <v>0.34</v>
      </c>
    </row>
    <row r="460">
      <c r="A460" s="4" t="s">
        <v>1824</v>
      </c>
      <c r="B460" s="5">
        <v>2160.0</v>
      </c>
      <c r="C460" s="5">
        <v>19.0</v>
      </c>
      <c r="D460" s="5">
        <v>13.5</v>
      </c>
      <c r="G460" s="5">
        <v>6.01</v>
      </c>
      <c r="I460" s="5">
        <v>0.64</v>
      </c>
    </row>
    <row r="461">
      <c r="A461" s="4" t="s">
        <v>1378</v>
      </c>
      <c r="B461" s="5">
        <v>2153.0</v>
      </c>
      <c r="C461" s="5">
        <v>17.5</v>
      </c>
      <c r="D461" s="5">
        <v>13.0</v>
      </c>
      <c r="G461" s="5">
        <v>6.11</v>
      </c>
      <c r="I461" s="5">
        <v>0.92</v>
      </c>
    </row>
    <row r="462">
      <c r="A462" s="4" t="s">
        <v>2058</v>
      </c>
    </row>
    <row r="463">
      <c r="A463" s="4" t="s">
        <v>807</v>
      </c>
    </row>
    <row r="464">
      <c r="A464" s="4" t="s">
        <v>1381</v>
      </c>
      <c r="B464" s="5">
        <v>2147.0</v>
      </c>
      <c r="C464" s="5">
        <v>16.8</v>
      </c>
      <c r="D464" s="5">
        <v>12.6</v>
      </c>
      <c r="G464" s="5">
        <v>4.14</v>
      </c>
      <c r="I464" s="5">
        <v>0.25</v>
      </c>
    </row>
    <row r="465">
      <c r="A465" s="4" t="s">
        <v>1586</v>
      </c>
      <c r="B465" s="5">
        <v>2148.0</v>
      </c>
      <c r="C465" s="5">
        <v>16.1</v>
      </c>
      <c r="D465" s="5">
        <v>15.6</v>
      </c>
      <c r="G465" s="5">
        <v>3.57</v>
      </c>
      <c r="I465" s="5">
        <v>0.12</v>
      </c>
    </row>
    <row r="466">
      <c r="A466" s="4" t="s">
        <v>1828</v>
      </c>
      <c r="B466" s="5">
        <v>2140.0</v>
      </c>
      <c r="C466" s="5">
        <v>12.9</v>
      </c>
      <c r="D466" s="5">
        <v>10.4</v>
      </c>
      <c r="G466" s="5">
        <v>4.02</v>
      </c>
      <c r="I466" s="5">
        <v>0.23</v>
      </c>
    </row>
    <row r="467">
      <c r="A467" s="4" t="s">
        <v>1383</v>
      </c>
      <c r="B467" s="5">
        <v>2143.0</v>
      </c>
      <c r="G467" s="5">
        <v>3.18</v>
      </c>
      <c r="I467" s="5">
        <v>0.13</v>
      </c>
    </row>
    <row r="468">
      <c r="A468" s="4"/>
    </row>
    <row r="469">
      <c r="A469" s="4" t="s">
        <v>808</v>
      </c>
      <c r="B469" s="5">
        <v>2437.0</v>
      </c>
      <c r="C469" s="5">
        <v>19.1</v>
      </c>
      <c r="D469" s="5">
        <v>17.1</v>
      </c>
      <c r="G469" s="5">
        <v>9.2</v>
      </c>
      <c r="I469" s="5">
        <v>3.07</v>
      </c>
    </row>
    <row r="470">
      <c r="A470" s="4" t="s">
        <v>809</v>
      </c>
      <c r="B470" s="5">
        <v>2436.0</v>
      </c>
      <c r="C470" s="5">
        <v>22.0</v>
      </c>
      <c r="D470" s="5">
        <v>18.5</v>
      </c>
      <c r="G470" s="5">
        <v>7.16</v>
      </c>
      <c r="I470" s="5">
        <v>1.63</v>
      </c>
    </row>
    <row r="471">
      <c r="A471" s="4" t="s">
        <v>812</v>
      </c>
      <c r="B471" s="5">
        <v>2435.0</v>
      </c>
      <c r="C471" s="5">
        <v>25.7</v>
      </c>
      <c r="D471" s="5">
        <v>15.6</v>
      </c>
      <c r="G471" s="5">
        <v>7.13</v>
      </c>
      <c r="I471" s="5">
        <v>0.86</v>
      </c>
    </row>
    <row r="472">
      <c r="A472" s="4" t="s">
        <v>810</v>
      </c>
    </row>
    <row r="473">
      <c r="A473" s="4" t="s">
        <v>1384</v>
      </c>
      <c r="B473" s="5">
        <v>2427.0</v>
      </c>
      <c r="C473" s="5">
        <v>30.2</v>
      </c>
      <c r="D473" s="5">
        <v>24.7</v>
      </c>
      <c r="G473" s="5">
        <v>6.27</v>
      </c>
      <c r="I473" s="5">
        <v>0.72</v>
      </c>
    </row>
    <row r="474">
      <c r="A474" s="4" t="s">
        <v>813</v>
      </c>
      <c r="B474" s="5">
        <v>2434.0</v>
      </c>
      <c r="C474" s="5">
        <v>23.7</v>
      </c>
      <c r="D474" s="5">
        <v>19.1</v>
      </c>
      <c r="G474" s="5">
        <v>6.27</v>
      </c>
      <c r="I474" s="5">
        <v>1.07</v>
      </c>
    </row>
    <row r="475">
      <c r="A475" s="4" t="s">
        <v>2059</v>
      </c>
      <c r="B475" s="5">
        <v>2433.0</v>
      </c>
      <c r="C475" s="5">
        <v>5.3</v>
      </c>
      <c r="D475" s="5">
        <v>15.2</v>
      </c>
      <c r="G475" s="5">
        <v>4.81</v>
      </c>
      <c r="I475" s="5">
        <v>0.33</v>
      </c>
    </row>
    <row r="476">
      <c r="A476" s="4" t="s">
        <v>818</v>
      </c>
      <c r="B476" s="5">
        <v>2422.0</v>
      </c>
      <c r="C476" s="5">
        <v>21.6</v>
      </c>
      <c r="D476" s="5">
        <v>16.0</v>
      </c>
      <c r="G476" s="5">
        <v>7.49</v>
      </c>
      <c r="I476" s="5">
        <v>0.94</v>
      </c>
    </row>
    <row r="477">
      <c r="A477" s="4" t="s">
        <v>1386</v>
      </c>
      <c r="B477" s="5">
        <v>2414.0</v>
      </c>
      <c r="C477" s="5">
        <v>18.3</v>
      </c>
      <c r="D477" s="5">
        <v>15.5</v>
      </c>
      <c r="G477" s="5">
        <v>6.12</v>
      </c>
      <c r="I477" s="5">
        <v>0.9</v>
      </c>
    </row>
    <row r="478">
      <c r="A478" s="4" t="s">
        <v>1387</v>
      </c>
      <c r="B478" s="5">
        <v>2421.0</v>
      </c>
      <c r="C478" s="5">
        <v>26.5</v>
      </c>
      <c r="D478" s="5">
        <v>20.9</v>
      </c>
      <c r="G478" s="5">
        <v>4.52</v>
      </c>
      <c r="I478" s="5">
        <v>0.71</v>
      </c>
    </row>
    <row r="479">
      <c r="A479" s="4" t="s">
        <v>817</v>
      </c>
      <c r="B479" s="5">
        <v>2430.0</v>
      </c>
      <c r="C479" s="5">
        <v>25.7</v>
      </c>
      <c r="D479" s="5">
        <v>24.4</v>
      </c>
      <c r="G479" s="5">
        <v>7.44</v>
      </c>
      <c r="I479" s="5">
        <v>0.93</v>
      </c>
    </row>
    <row r="480">
      <c r="A480" s="4" t="s">
        <v>819</v>
      </c>
      <c r="B480" s="5">
        <v>2417.0</v>
      </c>
      <c r="C480" s="5">
        <v>23.0</v>
      </c>
      <c r="D480" s="5">
        <v>16.0</v>
      </c>
      <c r="G480" s="5">
        <v>6.07</v>
      </c>
      <c r="I480" s="5">
        <v>0.6</v>
      </c>
    </row>
    <row r="481">
      <c r="A481" s="4" t="s">
        <v>1385</v>
      </c>
      <c r="B481" s="5">
        <v>2426.0</v>
      </c>
      <c r="C481" s="5">
        <v>21.7</v>
      </c>
      <c r="D481" s="5">
        <v>16.7</v>
      </c>
      <c r="G481" s="5">
        <v>6.94</v>
      </c>
      <c r="I481" s="5">
        <v>1.07</v>
      </c>
    </row>
    <row r="482">
      <c r="A482" s="4" t="s">
        <v>2060</v>
      </c>
      <c r="B482" s="5">
        <v>2431.0</v>
      </c>
      <c r="C482" s="5">
        <v>20.7</v>
      </c>
      <c r="D482" s="5">
        <v>16.8</v>
      </c>
      <c r="G482" s="5">
        <v>6.98</v>
      </c>
      <c r="I482" s="5">
        <v>0.94</v>
      </c>
    </row>
    <row r="483">
      <c r="A483" s="4" t="s">
        <v>2061</v>
      </c>
      <c r="B483" s="5">
        <v>2429.0</v>
      </c>
      <c r="C483" s="5">
        <v>20.2</v>
      </c>
      <c r="D483" s="5">
        <v>16.5</v>
      </c>
      <c r="G483" s="5">
        <v>5.99</v>
      </c>
      <c r="I483" s="5">
        <v>0.76</v>
      </c>
    </row>
    <row r="484">
      <c r="A484" s="4" t="s">
        <v>816</v>
      </c>
      <c r="B484" s="5">
        <v>2428.0</v>
      </c>
      <c r="C484" s="5">
        <v>23.4</v>
      </c>
      <c r="D484" s="5">
        <v>24.7</v>
      </c>
      <c r="G484" s="5">
        <v>6.53</v>
      </c>
      <c r="I484" s="5">
        <v>1.08</v>
      </c>
    </row>
    <row r="485">
      <c r="A485" s="4" t="s">
        <v>822</v>
      </c>
      <c r="B485" s="5">
        <v>2423.0</v>
      </c>
      <c r="C485" s="5">
        <v>19.8</v>
      </c>
      <c r="D485" s="5">
        <v>14.0</v>
      </c>
      <c r="G485" s="5">
        <v>5.66</v>
      </c>
      <c r="I485" s="5">
        <v>0.64</v>
      </c>
    </row>
    <row r="486">
      <c r="A486" s="4" t="s">
        <v>1600</v>
      </c>
      <c r="B486" s="5">
        <v>2425.0</v>
      </c>
      <c r="C486" s="5">
        <v>24.2</v>
      </c>
      <c r="D486" s="5">
        <v>19.2</v>
      </c>
      <c r="G486" s="5">
        <v>5.88</v>
      </c>
      <c r="I486" s="5">
        <v>0.36</v>
      </c>
    </row>
    <row r="487">
      <c r="A487" s="4" t="s">
        <v>2062</v>
      </c>
      <c r="B487" s="5">
        <v>2413.0</v>
      </c>
      <c r="C487" s="5">
        <v>13.6</v>
      </c>
      <c r="D487" s="5">
        <v>9.7</v>
      </c>
      <c r="G487" s="5">
        <v>4.31</v>
      </c>
      <c r="I487" s="5">
        <v>0.44</v>
      </c>
    </row>
    <row r="488">
      <c r="A488" s="4" t="s">
        <v>2063</v>
      </c>
      <c r="B488" s="5">
        <v>2411.0</v>
      </c>
      <c r="C488" s="5">
        <v>17.2</v>
      </c>
      <c r="D488" s="5">
        <v>17.1</v>
      </c>
      <c r="G488" s="5">
        <v>3.68</v>
      </c>
      <c r="I488" s="5">
        <v>0.27</v>
      </c>
    </row>
    <row r="489">
      <c r="A489" s="4" t="s">
        <v>1389</v>
      </c>
      <c r="B489" s="5">
        <v>2415.0</v>
      </c>
      <c r="C489" s="5">
        <v>13.3</v>
      </c>
      <c r="D489" s="5">
        <v>12.3</v>
      </c>
      <c r="G489" s="5">
        <v>5.07</v>
      </c>
      <c r="I489" s="5">
        <v>0.26</v>
      </c>
    </row>
    <row r="490">
      <c r="A490" s="4" t="s">
        <v>831</v>
      </c>
      <c r="B490" s="5">
        <v>2416.0</v>
      </c>
      <c r="C490" s="5">
        <v>13.5</v>
      </c>
      <c r="D490" s="5">
        <v>11.0</v>
      </c>
      <c r="G490" s="5">
        <v>4.75</v>
      </c>
      <c r="I490" s="5">
        <v>0.6</v>
      </c>
    </row>
    <row r="491">
      <c r="A491" s="4" t="s">
        <v>1388</v>
      </c>
      <c r="B491" s="5">
        <v>2424.0</v>
      </c>
      <c r="C491" s="5">
        <v>17.1</v>
      </c>
      <c r="D491" s="5">
        <v>14.7</v>
      </c>
      <c r="G491" s="5">
        <v>6.02</v>
      </c>
      <c r="I491" s="5">
        <v>0.91</v>
      </c>
    </row>
    <row r="492">
      <c r="A492" s="4" t="s">
        <v>827</v>
      </c>
    </row>
    <row r="493">
      <c r="A493" s="4" t="s">
        <v>2064</v>
      </c>
      <c r="B493" s="5">
        <v>2419.0</v>
      </c>
      <c r="C493" s="5">
        <v>19.5</v>
      </c>
      <c r="D493" s="5">
        <v>13.5</v>
      </c>
      <c r="G493" s="5">
        <v>4.0</v>
      </c>
      <c r="I493" s="5">
        <v>0.23</v>
      </c>
    </row>
    <row r="494">
      <c r="A494" s="4" t="s">
        <v>2065</v>
      </c>
      <c r="B494" s="5">
        <v>2420.0</v>
      </c>
      <c r="C494" s="5">
        <v>11.7</v>
      </c>
      <c r="D494" s="5">
        <v>14.2</v>
      </c>
      <c r="G494" s="5">
        <v>3.38</v>
      </c>
      <c r="I494" s="5">
        <v>0.15</v>
      </c>
    </row>
    <row r="495">
      <c r="A495" s="4" t="s">
        <v>2066</v>
      </c>
      <c r="B495" s="5">
        <v>2408.0</v>
      </c>
      <c r="C495" s="5">
        <v>14.5</v>
      </c>
      <c r="D495" s="5">
        <v>10.7</v>
      </c>
      <c r="G495" s="5">
        <v>4.19</v>
      </c>
      <c r="I495" s="5">
        <v>0.44</v>
      </c>
    </row>
    <row r="496">
      <c r="A496" s="4" t="s">
        <v>2067</v>
      </c>
    </row>
    <row r="497">
      <c r="A497" s="4" t="s">
        <v>2068</v>
      </c>
    </row>
    <row r="498">
      <c r="A498" s="4" t="s">
        <v>2069</v>
      </c>
      <c r="B498" s="5">
        <v>2418.0</v>
      </c>
      <c r="C498" s="5">
        <v>14.5</v>
      </c>
      <c r="D498" s="5">
        <v>10.7</v>
      </c>
      <c r="G498" s="5">
        <v>3.02</v>
      </c>
      <c r="I498" s="5">
        <v>0.11</v>
      </c>
    </row>
    <row r="499">
      <c r="A499" s="4" t="s">
        <v>2070</v>
      </c>
    </row>
    <row r="500">
      <c r="A500" s="4" t="s">
        <v>2071</v>
      </c>
    </row>
    <row r="501">
      <c r="A501" s="4" t="s">
        <v>1390</v>
      </c>
    </row>
    <row r="502">
      <c r="A502" s="4" t="s">
        <v>2072</v>
      </c>
    </row>
    <row r="503">
      <c r="A503" s="4"/>
    </row>
    <row r="504">
      <c r="A504" s="4" t="s">
        <v>837</v>
      </c>
      <c r="B504" s="5">
        <v>2456.0</v>
      </c>
      <c r="C504" s="5">
        <v>19.6</v>
      </c>
      <c r="D504" s="5">
        <v>24.8</v>
      </c>
      <c r="G504" s="5">
        <v>8.66</v>
      </c>
      <c r="I504" s="5">
        <v>2.03</v>
      </c>
    </row>
    <row r="505">
      <c r="A505" s="4" t="s">
        <v>838</v>
      </c>
      <c r="B505" s="5">
        <v>2455.0</v>
      </c>
      <c r="C505" s="5">
        <v>23.5</v>
      </c>
      <c r="D505" s="5">
        <v>20.7</v>
      </c>
      <c r="G505" s="5">
        <v>8.54</v>
      </c>
      <c r="I505" s="5">
        <v>2.08</v>
      </c>
    </row>
    <row r="506">
      <c r="A506" s="4" t="s">
        <v>1392</v>
      </c>
      <c r="B506" s="5">
        <v>2454.0</v>
      </c>
      <c r="C506" s="5">
        <v>31.7</v>
      </c>
      <c r="D506" s="5">
        <v>24.2</v>
      </c>
      <c r="G506" s="5">
        <v>7.57</v>
      </c>
      <c r="I506" s="5">
        <v>1.33</v>
      </c>
    </row>
    <row r="507">
      <c r="A507" s="4" t="s">
        <v>839</v>
      </c>
      <c r="B507" s="5">
        <v>2453.0</v>
      </c>
      <c r="C507" s="5">
        <v>23.0</v>
      </c>
      <c r="D507" s="5">
        <v>19.5</v>
      </c>
      <c r="G507" s="5">
        <v>8.02</v>
      </c>
      <c r="I507" s="5">
        <v>2.38</v>
      </c>
    </row>
    <row r="508">
      <c r="A508" s="4" t="s">
        <v>2073</v>
      </c>
      <c r="B508" s="5">
        <v>2451.0</v>
      </c>
      <c r="C508" s="5">
        <v>25.6</v>
      </c>
      <c r="D508" s="5">
        <v>17.0</v>
      </c>
      <c r="G508" s="5">
        <v>5.89</v>
      </c>
      <c r="I508" s="5">
        <v>0.64</v>
      </c>
    </row>
    <row r="509">
      <c r="A509" s="4" t="s">
        <v>1395</v>
      </c>
    </row>
    <row r="510">
      <c r="A510" s="4" t="s">
        <v>1399</v>
      </c>
      <c r="B510" s="5">
        <v>2410.0</v>
      </c>
      <c r="C510" s="5">
        <v>21.5</v>
      </c>
      <c r="D510" s="5">
        <v>15.0</v>
      </c>
      <c r="G510" s="5">
        <v>5.53</v>
      </c>
      <c r="I510" s="5">
        <v>0.79</v>
      </c>
    </row>
    <row r="511">
      <c r="A511" s="4" t="s">
        <v>1396</v>
      </c>
      <c r="B511" s="5">
        <v>2452.0</v>
      </c>
      <c r="C511" s="5">
        <v>25.0</v>
      </c>
      <c r="D511" s="5">
        <v>24.2</v>
      </c>
      <c r="G511" s="5">
        <v>8.35</v>
      </c>
      <c r="I511" s="5">
        <v>1.22</v>
      </c>
    </row>
    <row r="512">
      <c r="A512" s="4" t="s">
        <v>1400</v>
      </c>
      <c r="B512" s="5">
        <v>2450.0</v>
      </c>
      <c r="C512" s="5">
        <v>22.2</v>
      </c>
      <c r="D512" s="5">
        <v>18.5</v>
      </c>
      <c r="G512" s="5">
        <v>6.76</v>
      </c>
      <c r="I512" s="5">
        <v>1.1</v>
      </c>
    </row>
    <row r="513">
      <c r="A513" s="4" t="s">
        <v>845</v>
      </c>
    </row>
    <row r="514">
      <c r="A514" s="9" t="s">
        <v>2074</v>
      </c>
      <c r="B514" s="5">
        <v>2449.0</v>
      </c>
      <c r="C514" s="5">
        <v>15.6</v>
      </c>
      <c r="D514" s="5">
        <v>11.5</v>
      </c>
      <c r="G514" s="5">
        <v>4.8</v>
      </c>
      <c r="I514" s="5">
        <v>0.32</v>
      </c>
    </row>
    <row r="515">
      <c r="A515" s="4" t="s">
        <v>1403</v>
      </c>
      <c r="B515" s="5">
        <v>2409.0</v>
      </c>
      <c r="C515" s="5">
        <v>15.4</v>
      </c>
      <c r="D515" s="5">
        <v>12.6</v>
      </c>
      <c r="G515" s="5">
        <v>4.58</v>
      </c>
      <c r="I515" s="5">
        <v>0.41</v>
      </c>
    </row>
    <row r="516">
      <c r="A516" s="4" t="s">
        <v>1401</v>
      </c>
      <c r="B516" s="5">
        <v>2448.0</v>
      </c>
      <c r="C516" s="5">
        <v>15.6</v>
      </c>
      <c r="D516" s="5">
        <v>13.7</v>
      </c>
      <c r="G516" s="5">
        <v>5.5</v>
      </c>
      <c r="I516" s="5">
        <v>0.54</v>
      </c>
    </row>
    <row r="517">
      <c r="A517" s="4" t="s">
        <v>2075</v>
      </c>
    </row>
    <row r="518">
      <c r="A518" s="4" t="s">
        <v>2076</v>
      </c>
    </row>
    <row r="519">
      <c r="A519" s="4" t="s">
        <v>2077</v>
      </c>
    </row>
    <row r="520">
      <c r="A520" s="4" t="s">
        <v>1607</v>
      </c>
    </row>
    <row r="521">
      <c r="A521" s="4"/>
    </row>
    <row r="522">
      <c r="A522" s="4" t="s">
        <v>857</v>
      </c>
      <c r="B522" s="5">
        <v>2447.0</v>
      </c>
      <c r="C522" s="5">
        <v>17.1</v>
      </c>
      <c r="D522" s="5">
        <v>23.0</v>
      </c>
      <c r="G522" s="5">
        <v>10.92</v>
      </c>
      <c r="I522" s="5">
        <v>3.75</v>
      </c>
    </row>
    <row r="523">
      <c r="A523" s="4" t="s">
        <v>858</v>
      </c>
      <c r="B523" s="5">
        <v>2444.0</v>
      </c>
      <c r="C523" s="5">
        <v>22.3</v>
      </c>
      <c r="D523" s="5">
        <v>18.2</v>
      </c>
      <c r="G523" s="5">
        <v>7.91</v>
      </c>
      <c r="I523" s="5">
        <v>2.09</v>
      </c>
    </row>
    <row r="524">
      <c r="A524" s="4" t="s">
        <v>861</v>
      </c>
      <c r="B524" s="5">
        <v>2441.0</v>
      </c>
      <c r="C524" s="5">
        <v>28.7</v>
      </c>
      <c r="D524" s="5">
        <v>24.2</v>
      </c>
      <c r="G524" s="5">
        <v>6.15</v>
      </c>
      <c r="I524" s="5">
        <v>1.31</v>
      </c>
    </row>
    <row r="525">
      <c r="A525" s="4" t="s">
        <v>859</v>
      </c>
      <c r="B525" s="5">
        <v>2442.0</v>
      </c>
      <c r="C525" s="5">
        <v>20.1</v>
      </c>
      <c r="D525" s="5">
        <v>17.2</v>
      </c>
      <c r="G525" s="5">
        <v>7.5</v>
      </c>
      <c r="I525" s="5">
        <v>2.0</v>
      </c>
    </row>
    <row r="526">
      <c r="A526" s="4" t="s">
        <v>1406</v>
      </c>
      <c r="B526" s="5">
        <v>2443.0</v>
      </c>
      <c r="C526" s="5">
        <v>24.8</v>
      </c>
      <c r="D526" s="5">
        <v>18.1</v>
      </c>
      <c r="G526" s="5">
        <v>6.55</v>
      </c>
      <c r="I526" s="5">
        <v>1.16</v>
      </c>
    </row>
    <row r="527">
      <c r="A527" s="4" t="s">
        <v>1407</v>
      </c>
    </row>
    <row r="528">
      <c r="A528" s="4" t="s">
        <v>860</v>
      </c>
      <c r="B528" s="5">
        <v>2446.0</v>
      </c>
      <c r="C528" s="5">
        <v>25.6</v>
      </c>
      <c r="D528" s="5">
        <v>24.1</v>
      </c>
      <c r="G528" s="5">
        <v>7.89</v>
      </c>
    </row>
    <row r="529">
      <c r="A529" s="4" t="s">
        <v>866</v>
      </c>
    </row>
    <row r="530">
      <c r="A530" s="4" t="s">
        <v>862</v>
      </c>
      <c r="B530" s="5">
        <v>2438.0</v>
      </c>
      <c r="C530" s="5">
        <v>23.6</v>
      </c>
      <c r="D530" s="5">
        <v>20.2</v>
      </c>
      <c r="G530" s="5">
        <v>5.28</v>
      </c>
      <c r="I530" s="5">
        <v>0.87</v>
      </c>
    </row>
    <row r="531">
      <c r="A531" s="4" t="s">
        <v>863</v>
      </c>
    </row>
    <row r="532">
      <c r="A532" s="4" t="s">
        <v>2078</v>
      </c>
      <c r="B532" s="5">
        <v>2412.0</v>
      </c>
      <c r="C532" s="5">
        <v>16.1</v>
      </c>
      <c r="D532" s="5">
        <v>14.8</v>
      </c>
      <c r="G532" s="5">
        <v>3.56</v>
      </c>
      <c r="I532" s="5">
        <v>0.36</v>
      </c>
    </row>
    <row r="533">
      <c r="A533" s="4" t="s">
        <v>872</v>
      </c>
    </row>
    <row r="534">
      <c r="A534" s="4" t="s">
        <v>1891</v>
      </c>
      <c r="B534" s="5">
        <v>2445.0</v>
      </c>
      <c r="C534" s="5">
        <v>19.2</v>
      </c>
      <c r="D534" s="5">
        <v>21.0</v>
      </c>
      <c r="G534" s="5">
        <v>4.7</v>
      </c>
      <c r="I534" s="5">
        <v>0.42</v>
      </c>
    </row>
    <row r="535">
      <c r="A535" s="4" t="s">
        <v>865</v>
      </c>
      <c r="B535" s="5">
        <v>2439.0</v>
      </c>
      <c r="C535" s="5">
        <v>22.2</v>
      </c>
      <c r="D535" s="5">
        <v>14.0</v>
      </c>
      <c r="G535" s="5">
        <v>5.32</v>
      </c>
      <c r="I535" s="5">
        <v>0.36</v>
      </c>
    </row>
    <row r="536">
      <c r="A536" s="4" t="s">
        <v>873</v>
      </c>
    </row>
    <row r="537">
      <c r="A537" s="4" t="s">
        <v>871</v>
      </c>
      <c r="B537" s="5">
        <v>2440.0</v>
      </c>
      <c r="C537" s="5">
        <v>16.9</v>
      </c>
      <c r="D537" s="5">
        <v>11.5</v>
      </c>
      <c r="G537" s="5">
        <v>4.12</v>
      </c>
      <c r="I537" s="5">
        <v>0.35</v>
      </c>
    </row>
    <row r="538">
      <c r="A538" s="4" t="s">
        <v>877</v>
      </c>
    </row>
    <row r="539">
      <c r="A539" s="4" t="s">
        <v>2079</v>
      </c>
    </row>
    <row r="540">
      <c r="A540" s="4" t="s">
        <v>867</v>
      </c>
    </row>
    <row r="541">
      <c r="A541" s="4"/>
    </row>
    <row r="542">
      <c r="A542" s="4" t="s">
        <v>882</v>
      </c>
    </row>
    <row r="543">
      <c r="A543" s="4" t="s">
        <v>883</v>
      </c>
    </row>
    <row r="544">
      <c r="A544" s="4" t="s">
        <v>884</v>
      </c>
    </row>
    <row r="545">
      <c r="A545" s="4" t="s">
        <v>1903</v>
      </c>
    </row>
    <row r="546">
      <c r="A546" s="4" t="s">
        <v>886</v>
      </c>
    </row>
    <row r="547">
      <c r="A547" s="4" t="s">
        <v>2080</v>
      </c>
    </row>
    <row r="548">
      <c r="A548" s="4" t="s">
        <v>2081</v>
      </c>
    </row>
    <row r="549">
      <c r="A549" s="4"/>
    </row>
    <row r="550">
      <c r="A550" s="4" t="s">
        <v>895</v>
      </c>
      <c r="B550" s="5">
        <v>2406.0</v>
      </c>
      <c r="C550" s="5">
        <v>25.8</v>
      </c>
      <c r="D550" s="5">
        <v>23.6</v>
      </c>
      <c r="G550" s="5">
        <v>7.69</v>
      </c>
      <c r="I550" s="5">
        <v>1.25</v>
      </c>
    </row>
    <row r="551">
      <c r="A551" s="4" t="s">
        <v>896</v>
      </c>
      <c r="B551" s="5">
        <v>2405.0</v>
      </c>
      <c r="C551" s="5">
        <v>25.4</v>
      </c>
      <c r="D551" s="5">
        <v>17.2</v>
      </c>
      <c r="G551" s="5">
        <v>6.72</v>
      </c>
      <c r="I551" s="5">
        <v>1.14</v>
      </c>
    </row>
    <row r="552">
      <c r="A552" s="24" t="s">
        <v>897</v>
      </c>
      <c r="B552" s="5">
        <v>2403.0</v>
      </c>
      <c r="C552" s="5">
        <v>20.2</v>
      </c>
      <c r="D552" s="5">
        <v>17.9</v>
      </c>
      <c r="G552" s="5">
        <v>6.35</v>
      </c>
      <c r="I552" s="5">
        <v>0.97</v>
      </c>
    </row>
    <row r="553">
      <c r="A553" s="24" t="s">
        <v>1412</v>
      </c>
      <c r="B553" s="5">
        <v>2404.0</v>
      </c>
      <c r="C553" s="5">
        <v>25.9</v>
      </c>
      <c r="D553" s="5">
        <v>23.6</v>
      </c>
      <c r="G553" s="5">
        <v>6.93</v>
      </c>
      <c r="I553" s="5">
        <v>0.6</v>
      </c>
    </row>
    <row r="554">
      <c r="A554" s="4" t="s">
        <v>898</v>
      </c>
      <c r="B554" s="5">
        <v>2402.0</v>
      </c>
      <c r="C554" s="5">
        <v>21.0</v>
      </c>
      <c r="D554" s="5">
        <v>12.6</v>
      </c>
      <c r="G554" s="5">
        <v>4.47</v>
      </c>
      <c r="I554" s="5">
        <v>0.29</v>
      </c>
    </row>
    <row r="555">
      <c r="A555" s="4" t="s">
        <v>2082</v>
      </c>
      <c r="B555" s="5">
        <v>2401.0</v>
      </c>
      <c r="C555" s="5">
        <v>19.7</v>
      </c>
      <c r="D555" s="5">
        <v>14.3</v>
      </c>
      <c r="G555" s="5">
        <v>5.08</v>
      </c>
      <c r="I555" s="5">
        <v>0.38</v>
      </c>
    </row>
    <row r="556">
      <c r="A556" s="4"/>
    </row>
    <row r="557">
      <c r="A557" s="4" t="s">
        <v>915</v>
      </c>
      <c r="B557" s="5">
        <v>2139.0</v>
      </c>
      <c r="C557" s="5">
        <v>22.8</v>
      </c>
      <c r="D557" s="5">
        <v>27.1</v>
      </c>
      <c r="G557" s="5">
        <v>8.37</v>
      </c>
      <c r="I557" s="5">
        <v>0.87</v>
      </c>
    </row>
    <row r="558">
      <c r="A558" s="4" t="s">
        <v>916</v>
      </c>
      <c r="B558" s="5">
        <v>2137.0</v>
      </c>
      <c r="C558" s="5">
        <v>22.0</v>
      </c>
      <c r="D558" s="5">
        <v>17.2</v>
      </c>
      <c r="G558" s="5">
        <v>6.79</v>
      </c>
      <c r="I558" s="5">
        <v>0.68</v>
      </c>
    </row>
    <row r="559">
      <c r="A559" s="24" t="s">
        <v>917</v>
      </c>
      <c r="B559" s="5">
        <v>2136.0</v>
      </c>
      <c r="C559" s="5">
        <v>20.1</v>
      </c>
      <c r="D559" s="5">
        <v>16.7</v>
      </c>
      <c r="G559" s="5">
        <v>5.56</v>
      </c>
      <c r="I559" s="5">
        <v>0.55</v>
      </c>
    </row>
    <row r="560">
      <c r="A560" s="4" t="s">
        <v>918</v>
      </c>
      <c r="B560" s="5">
        <v>2138.0</v>
      </c>
      <c r="C560" s="5">
        <v>20.0</v>
      </c>
      <c r="D560" s="5">
        <v>22.2</v>
      </c>
      <c r="G560" s="5">
        <v>5.49</v>
      </c>
      <c r="I560" s="5">
        <v>0.34</v>
      </c>
    </row>
    <row r="561">
      <c r="A561" s="4" t="s">
        <v>920</v>
      </c>
      <c r="B561" s="5">
        <v>2135.0</v>
      </c>
      <c r="C561" s="5">
        <v>19.0</v>
      </c>
      <c r="D561" s="5">
        <v>12.0</v>
      </c>
      <c r="G561" s="5">
        <v>2.5</v>
      </c>
      <c r="I561" s="5">
        <v>0.11</v>
      </c>
    </row>
    <row r="562">
      <c r="A562" s="4" t="s">
        <v>919</v>
      </c>
    </row>
    <row r="563">
      <c r="A563" s="4"/>
    </row>
    <row r="564">
      <c r="A564" s="4" t="s">
        <v>930</v>
      </c>
    </row>
    <row r="565">
      <c r="A565" s="24" t="s">
        <v>931</v>
      </c>
    </row>
    <row r="566">
      <c r="A566" s="4" t="s">
        <v>2083</v>
      </c>
    </row>
    <row r="567">
      <c r="A567" s="4"/>
    </row>
    <row r="568">
      <c r="A568" s="24" t="s">
        <v>961</v>
      </c>
    </row>
    <row r="569">
      <c r="A569" s="4" t="s">
        <v>962</v>
      </c>
    </row>
    <row r="570">
      <c r="A570" s="4"/>
    </row>
    <row r="571">
      <c r="A571" s="4" t="s">
        <v>983</v>
      </c>
    </row>
    <row r="572">
      <c r="A572" s="4"/>
    </row>
    <row r="573">
      <c r="A573" s="4" t="s">
        <v>1010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1416</v>
      </c>
      <c r="G1" s="2" t="s">
        <v>5</v>
      </c>
      <c r="H1" s="2" t="s">
        <v>6</v>
      </c>
      <c r="I1" s="2" t="s">
        <v>7</v>
      </c>
      <c r="J1" s="3"/>
      <c r="K1" s="3"/>
      <c r="L1" s="3"/>
      <c r="M1" s="3"/>
      <c r="N1" s="3"/>
      <c r="O1" s="3"/>
      <c r="P1" s="3"/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A2" s="4" t="s">
        <v>8</v>
      </c>
      <c r="B2" s="5">
        <v>1375.0</v>
      </c>
      <c r="C2" s="5">
        <v>21.9</v>
      </c>
      <c r="D2" s="5">
        <v>9.9</v>
      </c>
      <c r="G2" s="5">
        <v>16.89</v>
      </c>
      <c r="H2" s="5">
        <v>2.0</v>
      </c>
      <c r="I2" s="5">
        <v>4.43</v>
      </c>
    </row>
    <row r="3">
      <c r="A3" s="4" t="s">
        <v>9</v>
      </c>
      <c r="B3" s="5">
        <v>1373.0</v>
      </c>
      <c r="C3" s="5">
        <v>17.3</v>
      </c>
      <c r="D3" s="5">
        <v>10.2</v>
      </c>
      <c r="G3" s="5">
        <v>14.82</v>
      </c>
      <c r="I3" s="5">
        <v>3.6</v>
      </c>
      <c r="K3" s="2" t="s">
        <v>10</v>
      </c>
    </row>
    <row r="4">
      <c r="A4" s="4" t="s">
        <v>11</v>
      </c>
      <c r="B4" s="5">
        <v>1366.0</v>
      </c>
      <c r="C4" s="5">
        <v>24.0</v>
      </c>
      <c r="D4" s="5">
        <v>16.5</v>
      </c>
      <c r="G4" s="5">
        <v>16.84</v>
      </c>
      <c r="I4" s="5">
        <v>2.82</v>
      </c>
      <c r="K4" s="6">
        <f>counta(I2:I1002)</f>
        <v>259</v>
      </c>
    </row>
    <row r="5">
      <c r="A5" s="4" t="s">
        <v>12</v>
      </c>
      <c r="B5" s="5">
        <v>1372.0</v>
      </c>
      <c r="C5" s="5">
        <v>22.0</v>
      </c>
      <c r="D5" s="5">
        <v>16.9</v>
      </c>
      <c r="E5" s="5">
        <v>13.3</v>
      </c>
      <c r="G5" s="5">
        <v>12.57</v>
      </c>
      <c r="I5" s="5">
        <v>1.49</v>
      </c>
    </row>
    <row r="6">
      <c r="A6" s="4" t="s">
        <v>13</v>
      </c>
      <c r="B6" s="5">
        <v>1374.0</v>
      </c>
      <c r="C6" s="5">
        <v>28.9</v>
      </c>
      <c r="D6" s="5">
        <v>22.4</v>
      </c>
      <c r="G6" s="5">
        <v>11.77</v>
      </c>
    </row>
    <row r="7">
      <c r="A7" s="4" t="s">
        <v>15</v>
      </c>
      <c r="B7" s="5">
        <v>1362.0</v>
      </c>
      <c r="C7" s="5">
        <v>24.4</v>
      </c>
      <c r="D7" s="5">
        <v>13.0</v>
      </c>
      <c r="G7" s="5">
        <v>15.09</v>
      </c>
      <c r="I7" s="5">
        <v>2.43</v>
      </c>
      <c r="K7" s="2" t="s">
        <v>14</v>
      </c>
    </row>
    <row r="8">
      <c r="A8" s="4" t="s">
        <v>16</v>
      </c>
      <c r="B8" s="5">
        <v>1367.0</v>
      </c>
      <c r="C8" s="5">
        <v>27.4</v>
      </c>
      <c r="D8" s="5">
        <v>22.1</v>
      </c>
      <c r="G8" s="5">
        <v>14.45</v>
      </c>
      <c r="I8" s="5">
        <v>1.93</v>
      </c>
      <c r="K8" s="6">
        <f>counta(I2:I163)</f>
        <v>107</v>
      </c>
    </row>
    <row r="9">
      <c r="A9" s="4" t="s">
        <v>17</v>
      </c>
      <c r="B9" s="5">
        <v>1365.0</v>
      </c>
      <c r="C9" s="5">
        <v>22.8</v>
      </c>
      <c r="D9" s="5">
        <v>16.1</v>
      </c>
      <c r="G9" s="5">
        <v>11.54</v>
      </c>
      <c r="I9" s="5">
        <v>1.7</v>
      </c>
      <c r="K9" s="18">
        <f>sum(I2:I163)/K8</f>
        <v>1.320934579</v>
      </c>
    </row>
    <row r="10">
      <c r="A10" s="4" t="s">
        <v>1206</v>
      </c>
      <c r="B10" s="5">
        <v>1371.0</v>
      </c>
      <c r="C10" s="5">
        <v>26.4</v>
      </c>
      <c r="D10" s="5">
        <v>20.5</v>
      </c>
      <c r="G10" s="5">
        <v>12.99</v>
      </c>
      <c r="I10" s="5">
        <v>1.09</v>
      </c>
      <c r="K10" s="18"/>
    </row>
    <row r="11">
      <c r="A11" s="4" t="s">
        <v>19</v>
      </c>
      <c r="B11" s="5">
        <v>1370.0</v>
      </c>
      <c r="C11" s="5">
        <v>20.0</v>
      </c>
      <c r="D11" s="5">
        <v>14.1</v>
      </c>
      <c r="G11" s="5">
        <v>11.53</v>
      </c>
      <c r="I11" s="5">
        <v>1.52</v>
      </c>
    </row>
    <row r="12">
      <c r="A12" s="4" t="s">
        <v>28</v>
      </c>
      <c r="B12" s="5">
        <v>1369.0</v>
      </c>
      <c r="C12" s="5">
        <v>18.4</v>
      </c>
      <c r="D12" s="5">
        <v>14.9</v>
      </c>
      <c r="G12" s="5">
        <v>11.99</v>
      </c>
      <c r="I12" s="5">
        <v>1.44</v>
      </c>
    </row>
    <row r="13">
      <c r="A13" s="4" t="s">
        <v>1213</v>
      </c>
      <c r="B13" s="5">
        <v>1353.0</v>
      </c>
      <c r="C13" s="5">
        <v>19.3</v>
      </c>
      <c r="D13" s="5">
        <v>14.9</v>
      </c>
      <c r="G13" s="5">
        <v>12.45</v>
      </c>
      <c r="I13" s="5">
        <v>0.86</v>
      </c>
    </row>
    <row r="14">
      <c r="A14" s="4" t="s">
        <v>41</v>
      </c>
      <c r="B14" s="5">
        <v>1358.0</v>
      </c>
      <c r="C14" s="5">
        <v>18.0</v>
      </c>
      <c r="D14" s="5">
        <v>12.4</v>
      </c>
      <c r="G14" s="5">
        <v>7.95</v>
      </c>
    </row>
    <row r="15">
      <c r="A15" s="4" t="s">
        <v>25</v>
      </c>
      <c r="B15" s="5">
        <v>1364.0</v>
      </c>
      <c r="C15" s="5">
        <v>30.4</v>
      </c>
      <c r="D15" s="5">
        <v>17.8</v>
      </c>
      <c r="G15" s="5">
        <v>13.5</v>
      </c>
      <c r="I15" s="5">
        <v>0.83</v>
      </c>
    </row>
    <row r="16">
      <c r="A16" s="4" t="s">
        <v>1203</v>
      </c>
      <c r="B16" s="5">
        <v>1363.0</v>
      </c>
      <c r="C16" s="5">
        <v>28.5</v>
      </c>
      <c r="D16" s="5">
        <v>18.1</v>
      </c>
      <c r="G16" s="5">
        <v>14.08</v>
      </c>
      <c r="I16" s="5">
        <v>1.18</v>
      </c>
    </row>
    <row r="17">
      <c r="A17" s="4" t="s">
        <v>30</v>
      </c>
      <c r="B17" s="5">
        <v>1357.0</v>
      </c>
      <c r="C17" s="5">
        <v>22.9</v>
      </c>
      <c r="D17" s="5">
        <v>13.6</v>
      </c>
      <c r="G17" s="5">
        <v>12.39</v>
      </c>
      <c r="I17" s="5">
        <v>1.74</v>
      </c>
    </row>
    <row r="18">
      <c r="A18" s="4" t="s">
        <v>20</v>
      </c>
      <c r="B18" s="5">
        <v>1359.0</v>
      </c>
      <c r="C18" s="5">
        <v>21.6</v>
      </c>
      <c r="D18" s="5">
        <v>14.5</v>
      </c>
      <c r="G18" s="5">
        <v>12.92</v>
      </c>
      <c r="I18" s="5">
        <v>1.56</v>
      </c>
    </row>
    <row r="19">
      <c r="A19" s="4" t="s">
        <v>24</v>
      </c>
      <c r="B19" s="5">
        <v>1355.0</v>
      </c>
      <c r="C19" s="5">
        <v>20.3</v>
      </c>
      <c r="D19" s="5">
        <v>13.6</v>
      </c>
      <c r="G19" s="5">
        <v>11.75</v>
      </c>
      <c r="I19" s="5">
        <v>1.38</v>
      </c>
    </row>
    <row r="20">
      <c r="A20" s="4" t="s">
        <v>46</v>
      </c>
      <c r="B20" s="5">
        <v>1361.0</v>
      </c>
      <c r="C20" s="5">
        <v>12.7</v>
      </c>
      <c r="D20" s="5">
        <v>9.5</v>
      </c>
      <c r="G20" s="5">
        <v>7.23</v>
      </c>
      <c r="I20" s="5">
        <v>0.78</v>
      </c>
    </row>
    <row r="21">
      <c r="A21" s="4" t="s">
        <v>1212</v>
      </c>
      <c r="B21" s="5">
        <v>1352.0</v>
      </c>
      <c r="C21" s="5">
        <v>14.1</v>
      </c>
      <c r="D21" s="5">
        <v>12.1</v>
      </c>
      <c r="G21" s="5">
        <v>8.67</v>
      </c>
      <c r="I21" s="5">
        <v>0.68</v>
      </c>
    </row>
    <row r="22">
      <c r="A22" s="4" t="s">
        <v>34</v>
      </c>
      <c r="B22" s="5">
        <v>1345.0</v>
      </c>
      <c r="C22" s="5">
        <v>18.5</v>
      </c>
      <c r="D22" s="5">
        <v>11.2</v>
      </c>
      <c r="G22" s="5">
        <v>11.01</v>
      </c>
      <c r="I22" s="5">
        <v>1.0</v>
      </c>
    </row>
    <row r="23">
      <c r="A23" s="4" t="s">
        <v>1209</v>
      </c>
      <c r="B23" s="5">
        <v>1347.0</v>
      </c>
      <c r="C23" s="5">
        <v>20.3</v>
      </c>
      <c r="D23" s="5">
        <v>11.4</v>
      </c>
      <c r="G23" s="5">
        <v>10.35</v>
      </c>
      <c r="I23" s="5">
        <v>0.91</v>
      </c>
    </row>
    <row r="24">
      <c r="A24" s="4" t="s">
        <v>38</v>
      </c>
      <c r="B24" s="5">
        <v>1354.0</v>
      </c>
      <c r="C24" s="5">
        <v>18.7</v>
      </c>
      <c r="D24" s="5">
        <v>12.9</v>
      </c>
      <c r="G24" s="5">
        <v>10.67</v>
      </c>
      <c r="I24" s="5">
        <v>0.96</v>
      </c>
    </row>
    <row r="25">
      <c r="A25" s="4" t="s">
        <v>1207</v>
      </c>
      <c r="B25" s="5">
        <v>1342.0</v>
      </c>
      <c r="C25" s="5">
        <v>18.0</v>
      </c>
      <c r="D25" s="5">
        <v>10.5</v>
      </c>
      <c r="G25" s="5">
        <v>9.33</v>
      </c>
      <c r="I25" s="5">
        <v>1.12</v>
      </c>
    </row>
    <row r="26">
      <c r="A26" s="4" t="s">
        <v>1635</v>
      </c>
      <c r="B26" s="5">
        <v>1356.0</v>
      </c>
      <c r="C26" s="5">
        <v>24.9</v>
      </c>
      <c r="D26" s="5">
        <v>15.9</v>
      </c>
      <c r="G26" s="5">
        <v>8.23</v>
      </c>
      <c r="I26" s="5">
        <v>0.67</v>
      </c>
    </row>
    <row r="27">
      <c r="A27" s="4" t="s">
        <v>21</v>
      </c>
      <c r="B27" s="5">
        <v>1358.0</v>
      </c>
      <c r="C27" s="5">
        <v>19.8</v>
      </c>
      <c r="D27" s="5">
        <v>11.6</v>
      </c>
      <c r="G27" s="5">
        <v>6.76</v>
      </c>
    </row>
    <row r="28">
      <c r="A28" s="4" t="s">
        <v>1208</v>
      </c>
      <c r="B28" s="5">
        <v>1351.0</v>
      </c>
      <c r="C28" s="5">
        <v>18.9</v>
      </c>
      <c r="D28" s="5">
        <v>15.7</v>
      </c>
      <c r="G28" s="5">
        <v>99.1</v>
      </c>
      <c r="I28" s="5">
        <v>0.78</v>
      </c>
    </row>
    <row r="29">
      <c r="A29" s="4" t="s">
        <v>2084</v>
      </c>
      <c r="B29" s="5">
        <v>1360.0</v>
      </c>
      <c r="C29" s="5">
        <v>11.4</v>
      </c>
      <c r="D29" s="5">
        <v>9.9</v>
      </c>
      <c r="G29" s="5">
        <v>5.13</v>
      </c>
      <c r="I29" s="5">
        <v>0.25</v>
      </c>
    </row>
    <row r="30">
      <c r="A30" s="4" t="s">
        <v>2085</v>
      </c>
      <c r="B30" s="5">
        <v>1350.0</v>
      </c>
      <c r="C30" s="5">
        <v>12.2</v>
      </c>
      <c r="D30" s="5">
        <v>9.5</v>
      </c>
      <c r="G30" s="5">
        <v>6.6</v>
      </c>
      <c r="I30" s="5">
        <v>0.24</v>
      </c>
    </row>
    <row r="31">
      <c r="A31" s="4" t="s">
        <v>48</v>
      </c>
      <c r="B31" s="5">
        <v>1344.0</v>
      </c>
      <c r="C31" s="5">
        <v>13.7</v>
      </c>
      <c r="D31" s="5">
        <v>9.2</v>
      </c>
      <c r="G31" s="5">
        <v>7.4</v>
      </c>
      <c r="I31" s="5">
        <v>0.48</v>
      </c>
    </row>
    <row r="32">
      <c r="A32" s="4" t="s">
        <v>45</v>
      </c>
      <c r="B32" s="5">
        <v>1348.0</v>
      </c>
      <c r="C32" s="5">
        <v>12.5</v>
      </c>
      <c r="D32" s="5">
        <v>9.8</v>
      </c>
      <c r="G32" s="5">
        <v>7.46</v>
      </c>
      <c r="I32" s="5">
        <v>0.56</v>
      </c>
    </row>
    <row r="33">
      <c r="A33" s="4" t="s">
        <v>1217</v>
      </c>
      <c r="B33" s="5">
        <v>1346.0</v>
      </c>
      <c r="C33" s="5">
        <v>14.0</v>
      </c>
      <c r="D33" s="5">
        <v>9.5</v>
      </c>
      <c r="G33" s="5">
        <v>8.17</v>
      </c>
      <c r="I33" s="5">
        <v>0.72</v>
      </c>
    </row>
    <row r="34">
      <c r="A34" s="4" t="s">
        <v>1216</v>
      </c>
      <c r="B34" s="5">
        <v>1349.0</v>
      </c>
      <c r="C34" s="5">
        <v>12.4</v>
      </c>
      <c r="D34" s="5">
        <v>9.4</v>
      </c>
      <c r="G34" s="5">
        <v>7.93</v>
      </c>
      <c r="I34" s="5">
        <v>0.33</v>
      </c>
    </row>
    <row r="35">
      <c r="A35" s="4" t="s">
        <v>1639</v>
      </c>
      <c r="B35" s="5">
        <v>1343.0</v>
      </c>
      <c r="C35" s="5">
        <v>12.6</v>
      </c>
      <c r="D35" s="5">
        <v>9.3</v>
      </c>
      <c r="G35" s="5">
        <v>6.69</v>
      </c>
      <c r="I35" s="5">
        <v>0.31</v>
      </c>
    </row>
    <row r="36">
      <c r="A36" s="4" t="s">
        <v>1418</v>
      </c>
      <c r="B36" s="5">
        <v>1341.0</v>
      </c>
      <c r="C36" s="5">
        <v>12.8</v>
      </c>
      <c r="D36" s="5">
        <v>8.0</v>
      </c>
      <c r="G36" s="5">
        <v>6.53</v>
      </c>
      <c r="I36" s="5">
        <v>0.53</v>
      </c>
    </row>
    <row r="37">
      <c r="A37" s="4"/>
    </row>
    <row r="38">
      <c r="A38" s="4" t="s">
        <v>50</v>
      </c>
      <c r="B38" s="5">
        <v>1402.0</v>
      </c>
      <c r="C38" s="5">
        <v>15.9</v>
      </c>
      <c r="D38" s="5">
        <v>10.3</v>
      </c>
      <c r="G38" s="5">
        <v>18.27</v>
      </c>
    </row>
    <row r="39">
      <c r="A39" s="4" t="s">
        <v>51</v>
      </c>
      <c r="B39" s="5">
        <v>1404.0</v>
      </c>
      <c r="C39" s="5">
        <v>19.0</v>
      </c>
      <c r="D39" s="5">
        <v>14.7</v>
      </c>
      <c r="G39" s="5">
        <v>16.13</v>
      </c>
      <c r="I39" s="5">
        <v>4.47</v>
      </c>
    </row>
    <row r="40">
      <c r="A40" s="4" t="s">
        <v>52</v>
      </c>
      <c r="B40" s="5">
        <v>1401.0</v>
      </c>
      <c r="C40" s="5">
        <v>15.9</v>
      </c>
      <c r="D40" s="5">
        <v>20.6</v>
      </c>
      <c r="E40" s="5">
        <v>19.5</v>
      </c>
      <c r="G40" s="5">
        <v>19.38</v>
      </c>
      <c r="I40" s="5">
        <v>3.59</v>
      </c>
    </row>
    <row r="41">
      <c r="A41" s="4" t="s">
        <v>53</v>
      </c>
      <c r="B41" s="5">
        <v>6.89</v>
      </c>
      <c r="C41" s="5">
        <v>28.7</v>
      </c>
      <c r="D41" s="5">
        <v>18.1</v>
      </c>
      <c r="G41" s="5">
        <v>17.54</v>
      </c>
      <c r="I41" s="5">
        <v>4.01</v>
      </c>
    </row>
    <row r="42">
      <c r="A42" s="4" t="s">
        <v>55</v>
      </c>
      <c r="B42" s="5">
        <v>1398.0</v>
      </c>
      <c r="C42" s="5">
        <v>26.3</v>
      </c>
      <c r="D42" s="5">
        <v>19.4</v>
      </c>
      <c r="E42" s="5"/>
      <c r="G42" s="5">
        <v>16.13</v>
      </c>
      <c r="I42" s="5">
        <v>2.75</v>
      </c>
    </row>
    <row r="43">
      <c r="A43" s="4" t="s">
        <v>1221</v>
      </c>
      <c r="B43" s="5">
        <v>1403.0</v>
      </c>
      <c r="C43" s="5">
        <v>34.3</v>
      </c>
      <c r="D43" s="5">
        <v>22.5</v>
      </c>
      <c r="G43" s="5">
        <v>17.47</v>
      </c>
      <c r="I43" s="5">
        <v>2.57</v>
      </c>
    </row>
    <row r="44">
      <c r="A44" s="4" t="s">
        <v>1419</v>
      </c>
      <c r="B44" s="5">
        <v>1396.0</v>
      </c>
      <c r="C44" s="5">
        <v>27.4</v>
      </c>
      <c r="D44" s="5">
        <v>13.9</v>
      </c>
      <c r="G44" s="5">
        <v>14.26</v>
      </c>
      <c r="I44" s="5">
        <v>2.3</v>
      </c>
    </row>
    <row r="45">
      <c r="A45" s="4" t="s">
        <v>1420</v>
      </c>
      <c r="B45" s="5">
        <v>1388.0</v>
      </c>
      <c r="C45" s="5">
        <v>22.0</v>
      </c>
      <c r="D45" s="5">
        <v>13.8</v>
      </c>
      <c r="G45" s="5">
        <v>9.34</v>
      </c>
      <c r="I45" s="5">
        <v>1.21</v>
      </c>
    </row>
    <row r="46">
      <c r="A46" s="4" t="s">
        <v>1421</v>
      </c>
      <c r="B46" s="5">
        <v>1395.0</v>
      </c>
      <c r="C46" s="5">
        <v>31.1</v>
      </c>
      <c r="D46" s="5">
        <v>18.0</v>
      </c>
      <c r="G46" s="5">
        <v>19.34</v>
      </c>
      <c r="I46" s="5">
        <v>1.47</v>
      </c>
    </row>
    <row r="47">
      <c r="A47" s="4" t="s">
        <v>56</v>
      </c>
      <c r="B47" s="5">
        <v>1397.0</v>
      </c>
      <c r="C47" s="5">
        <v>35.9</v>
      </c>
      <c r="D47" s="5">
        <v>22.3</v>
      </c>
      <c r="G47" s="5">
        <v>13.75</v>
      </c>
      <c r="I47" s="5">
        <v>1.48</v>
      </c>
    </row>
    <row r="48">
      <c r="A48" s="4" t="s">
        <v>57</v>
      </c>
      <c r="B48" s="5">
        <v>1393.0</v>
      </c>
      <c r="C48" s="5">
        <v>22.8</v>
      </c>
      <c r="D48" s="5">
        <v>15.4</v>
      </c>
      <c r="G48" s="5">
        <v>10.84</v>
      </c>
      <c r="I48" s="5">
        <v>1.11</v>
      </c>
    </row>
    <row r="49">
      <c r="A49" s="4" t="s">
        <v>1224</v>
      </c>
      <c r="B49" s="5">
        <v>1399.0</v>
      </c>
      <c r="C49" s="5">
        <v>25.8</v>
      </c>
      <c r="D49" s="5">
        <v>15.9</v>
      </c>
      <c r="G49" s="5">
        <v>17.1</v>
      </c>
      <c r="I49" s="5">
        <v>1.87</v>
      </c>
    </row>
    <row r="50">
      <c r="A50" s="4" t="s">
        <v>60</v>
      </c>
      <c r="B50" s="5">
        <v>1384.0</v>
      </c>
      <c r="C50" s="5">
        <v>25.9</v>
      </c>
      <c r="D50" s="5">
        <v>15.2</v>
      </c>
      <c r="G50" s="5">
        <v>17.41</v>
      </c>
      <c r="I50" s="5">
        <v>2.1</v>
      </c>
    </row>
    <row r="51">
      <c r="A51" s="4" t="s">
        <v>1423</v>
      </c>
      <c r="B51" s="5">
        <v>1380.0</v>
      </c>
      <c r="C51" s="5">
        <v>16.2</v>
      </c>
      <c r="D51" s="5">
        <v>9.2</v>
      </c>
      <c r="G51" s="5">
        <v>6.81</v>
      </c>
      <c r="I51" s="5">
        <v>0.62</v>
      </c>
    </row>
    <row r="52">
      <c r="A52" s="4" t="s">
        <v>1661</v>
      </c>
      <c r="B52" s="5">
        <v>1387.0</v>
      </c>
      <c r="C52" s="5">
        <v>21.9</v>
      </c>
      <c r="D52" s="5">
        <v>10.7</v>
      </c>
      <c r="G52" s="5">
        <v>6.39</v>
      </c>
      <c r="I52" s="5">
        <v>0.61</v>
      </c>
    </row>
    <row r="53">
      <c r="A53" s="4" t="s">
        <v>1422</v>
      </c>
      <c r="B53" s="5">
        <v>1386.0</v>
      </c>
      <c r="C53" s="5">
        <v>16.4</v>
      </c>
      <c r="D53" s="5">
        <v>9.1</v>
      </c>
      <c r="G53" s="5">
        <v>8.92</v>
      </c>
      <c r="I53" s="5">
        <v>1.05</v>
      </c>
    </row>
    <row r="54">
      <c r="A54" s="4" t="s">
        <v>73</v>
      </c>
      <c r="B54" s="5">
        <v>1391.0</v>
      </c>
      <c r="C54" s="5">
        <v>14.8</v>
      </c>
      <c r="D54" s="5">
        <v>11.2</v>
      </c>
      <c r="G54" s="5">
        <v>10.13</v>
      </c>
      <c r="I54" s="5">
        <v>0.75</v>
      </c>
    </row>
    <row r="55">
      <c r="A55" s="4" t="s">
        <v>1226</v>
      </c>
      <c r="B55" s="5">
        <v>1394.0</v>
      </c>
      <c r="C55" s="5">
        <v>21.7</v>
      </c>
      <c r="D55" s="5">
        <v>14.2</v>
      </c>
      <c r="G55" s="5">
        <v>13.08</v>
      </c>
      <c r="I55" s="5">
        <v>1.56</v>
      </c>
    </row>
    <row r="56">
      <c r="A56" s="4" t="s">
        <v>1425</v>
      </c>
      <c r="B56" s="5">
        <v>1389.0</v>
      </c>
      <c r="C56" s="5">
        <v>15.8</v>
      </c>
      <c r="D56" s="5">
        <v>10.3</v>
      </c>
      <c r="G56" s="5">
        <v>9.97</v>
      </c>
      <c r="I56" s="5">
        <v>0.95</v>
      </c>
    </row>
    <row r="57">
      <c r="A57" s="4" t="s">
        <v>59</v>
      </c>
      <c r="B57" s="5">
        <v>1392.0</v>
      </c>
      <c r="C57" s="5">
        <v>20.7</v>
      </c>
      <c r="D57" s="5">
        <v>13.5</v>
      </c>
      <c r="G57" s="5">
        <v>7.17</v>
      </c>
      <c r="I57" s="5">
        <v>0.29</v>
      </c>
    </row>
    <row r="58">
      <c r="A58" s="4" t="s">
        <v>61</v>
      </c>
      <c r="B58" s="5">
        <v>1390.0</v>
      </c>
      <c r="C58" s="5">
        <v>12.8</v>
      </c>
      <c r="D58" s="5">
        <v>9.5</v>
      </c>
      <c r="G58" s="5">
        <v>5.93</v>
      </c>
      <c r="I58" s="5">
        <v>0.3</v>
      </c>
    </row>
    <row r="59">
      <c r="A59" s="4" t="s">
        <v>84</v>
      </c>
      <c r="B59" s="5">
        <v>1377.0</v>
      </c>
      <c r="C59" s="5">
        <v>16.5</v>
      </c>
      <c r="D59" s="5">
        <v>11.2</v>
      </c>
      <c r="G59" s="5">
        <v>7.71</v>
      </c>
      <c r="I59" s="5">
        <v>0.82</v>
      </c>
    </row>
    <row r="60">
      <c r="A60" s="4" t="s">
        <v>68</v>
      </c>
      <c r="B60" s="5">
        <v>1381.0</v>
      </c>
      <c r="C60" s="5">
        <v>18.9</v>
      </c>
      <c r="D60" s="5">
        <v>15.3</v>
      </c>
      <c r="G60" s="5">
        <v>7.02</v>
      </c>
      <c r="I60" s="5">
        <v>0.48</v>
      </c>
    </row>
    <row r="61">
      <c r="A61" s="4" t="s">
        <v>1663</v>
      </c>
      <c r="B61" s="5">
        <v>1379.0</v>
      </c>
      <c r="C61" s="5">
        <v>11.5</v>
      </c>
      <c r="D61" s="5">
        <v>7.2</v>
      </c>
      <c r="G61" s="5">
        <v>4.43</v>
      </c>
      <c r="I61" s="5">
        <v>0.21</v>
      </c>
    </row>
    <row r="62">
      <c r="A62" s="4" t="s">
        <v>1665</v>
      </c>
      <c r="B62" s="5">
        <v>1385.0</v>
      </c>
      <c r="C62" s="5">
        <v>9.3</v>
      </c>
      <c r="D62" s="5">
        <v>9.5</v>
      </c>
      <c r="G62" s="5">
        <v>4.75</v>
      </c>
      <c r="I62" s="5">
        <v>0.22</v>
      </c>
    </row>
    <row r="63">
      <c r="A63" s="4" t="s">
        <v>1994</v>
      </c>
      <c r="B63" s="5">
        <v>1383.0</v>
      </c>
      <c r="C63" s="5">
        <v>14.4</v>
      </c>
      <c r="D63" s="5">
        <v>10.9</v>
      </c>
      <c r="G63" s="5">
        <v>6.05</v>
      </c>
      <c r="I63" s="5">
        <v>0.44</v>
      </c>
    </row>
    <row r="64">
      <c r="A64" s="4" t="s">
        <v>78</v>
      </c>
      <c r="B64" s="5">
        <v>1378.0</v>
      </c>
      <c r="C64" s="5">
        <v>22.0</v>
      </c>
      <c r="D64" s="5">
        <v>14.5</v>
      </c>
      <c r="G64" s="5">
        <v>9.81</v>
      </c>
      <c r="I64" s="5">
        <v>1.37</v>
      </c>
    </row>
    <row r="65">
      <c r="A65" s="4" t="s">
        <v>1427</v>
      </c>
      <c r="B65" s="5">
        <v>1382.0</v>
      </c>
      <c r="C65" s="5">
        <v>12.6</v>
      </c>
      <c r="D65" s="5">
        <v>8.8</v>
      </c>
      <c r="G65" s="5">
        <v>6.31</v>
      </c>
      <c r="I65" s="5">
        <v>0.29</v>
      </c>
    </row>
    <row r="66">
      <c r="A66" s="4" t="s">
        <v>1667</v>
      </c>
      <c r="B66" s="5">
        <v>1376.0</v>
      </c>
      <c r="C66" s="5">
        <v>11.4</v>
      </c>
      <c r="D66" s="5">
        <v>8.8</v>
      </c>
      <c r="G66" s="5">
        <v>4.26</v>
      </c>
      <c r="I66" s="5">
        <v>0.16</v>
      </c>
    </row>
    <row r="67">
      <c r="A67" s="4"/>
    </row>
    <row r="68">
      <c r="A68" s="4" t="s">
        <v>93</v>
      </c>
      <c r="B68" s="5">
        <v>1431.0</v>
      </c>
      <c r="C68" s="5">
        <v>11.9</v>
      </c>
      <c r="D68" s="5">
        <v>13.2</v>
      </c>
      <c r="G68" s="5">
        <v>17.41</v>
      </c>
      <c r="I68" s="5">
        <v>4.86</v>
      </c>
    </row>
    <row r="69">
      <c r="A69" s="4" t="s">
        <v>97</v>
      </c>
      <c r="B69" s="5">
        <v>1430.0</v>
      </c>
      <c r="C69" s="5">
        <v>11.4</v>
      </c>
      <c r="D69" s="5">
        <v>32.8</v>
      </c>
      <c r="E69" s="5">
        <v>18.8</v>
      </c>
      <c r="G69" s="5">
        <v>17.8</v>
      </c>
      <c r="I69" s="5">
        <v>3.06</v>
      </c>
    </row>
    <row r="70">
      <c r="A70" s="4" t="s">
        <v>1231</v>
      </c>
      <c r="B70" s="5">
        <v>1429.0</v>
      </c>
      <c r="C70" s="5">
        <v>25.4</v>
      </c>
      <c r="D70" s="5">
        <v>16.8</v>
      </c>
      <c r="G70" s="5">
        <v>18.28</v>
      </c>
      <c r="I70" s="5">
        <v>3.3</v>
      </c>
    </row>
    <row r="71">
      <c r="A71" s="4" t="s">
        <v>1232</v>
      </c>
      <c r="B71" s="5">
        <v>1428.0</v>
      </c>
      <c r="C71" s="5">
        <v>25.7</v>
      </c>
      <c r="D71" s="5">
        <v>33.2</v>
      </c>
      <c r="E71" s="5">
        <v>23.2</v>
      </c>
      <c r="G71" s="5">
        <v>11.84</v>
      </c>
      <c r="I71" s="5">
        <v>1.33</v>
      </c>
    </row>
    <row r="72">
      <c r="A72" s="4" t="s">
        <v>1428</v>
      </c>
      <c r="B72" s="5">
        <v>1433.0</v>
      </c>
      <c r="C72" s="5">
        <v>34.8</v>
      </c>
      <c r="D72" s="5">
        <v>26.9</v>
      </c>
      <c r="G72" s="5">
        <v>13.54</v>
      </c>
      <c r="I72" s="5">
        <v>1.93</v>
      </c>
    </row>
    <row r="73">
      <c r="A73" s="4" t="s">
        <v>104</v>
      </c>
      <c r="B73" s="5">
        <v>1424.0</v>
      </c>
      <c r="C73" s="5">
        <v>26.8</v>
      </c>
      <c r="D73" s="5">
        <v>18.1</v>
      </c>
      <c r="G73" s="5">
        <v>13.72</v>
      </c>
      <c r="I73" s="5">
        <v>2.97</v>
      </c>
    </row>
    <row r="74">
      <c r="A74" s="4" t="s">
        <v>105</v>
      </c>
      <c r="B74" s="5">
        <v>1421.0</v>
      </c>
      <c r="C74" s="5">
        <v>29.1</v>
      </c>
      <c r="D74" s="5">
        <v>16.6</v>
      </c>
      <c r="G74" s="5">
        <v>13.03</v>
      </c>
      <c r="I74" s="5">
        <v>2.84</v>
      </c>
    </row>
    <row r="75">
      <c r="A75" s="4" t="s">
        <v>95</v>
      </c>
      <c r="B75" s="25">
        <v>1423.0</v>
      </c>
      <c r="C75" s="5">
        <v>30.3</v>
      </c>
      <c r="D75" s="5">
        <v>21.7</v>
      </c>
      <c r="G75" s="5">
        <v>11.34</v>
      </c>
    </row>
    <row r="76">
      <c r="A76" s="4" t="s">
        <v>1233</v>
      </c>
      <c r="B76" s="25">
        <v>1423.0</v>
      </c>
      <c r="C76" s="5">
        <v>28.9</v>
      </c>
      <c r="D76" s="5">
        <v>20.0</v>
      </c>
      <c r="G76" s="5">
        <v>15.2</v>
      </c>
    </row>
    <row r="77">
      <c r="A77" s="4" t="s">
        <v>1234</v>
      </c>
      <c r="B77" s="5">
        <v>1415.0</v>
      </c>
      <c r="C77" s="5">
        <v>26.9</v>
      </c>
      <c r="D77" s="5">
        <v>16.7</v>
      </c>
      <c r="G77" s="5">
        <v>13.59</v>
      </c>
      <c r="I77" s="5">
        <v>1.58</v>
      </c>
    </row>
    <row r="78">
      <c r="A78" s="4" t="s">
        <v>1236</v>
      </c>
      <c r="B78" s="5">
        <v>1420.0</v>
      </c>
      <c r="C78" s="5">
        <v>26.4</v>
      </c>
      <c r="D78" s="5">
        <v>18.7</v>
      </c>
      <c r="G78" s="5">
        <v>12.95</v>
      </c>
    </row>
    <row r="79">
      <c r="A79" s="4" t="s">
        <v>1429</v>
      </c>
      <c r="B79" s="5">
        <v>1427.0</v>
      </c>
      <c r="C79" s="5">
        <v>29.4</v>
      </c>
      <c r="D79" s="5">
        <v>17.6</v>
      </c>
      <c r="G79" s="5">
        <v>14.06</v>
      </c>
      <c r="I79" s="5">
        <v>1.6</v>
      </c>
    </row>
    <row r="80">
      <c r="A80" s="4" t="s">
        <v>1851</v>
      </c>
      <c r="B80" s="5">
        <v>1432.0</v>
      </c>
      <c r="C80" s="5">
        <v>33.5</v>
      </c>
      <c r="D80" s="5">
        <v>25.9</v>
      </c>
      <c r="G80" s="5">
        <v>11.1</v>
      </c>
      <c r="I80" s="5">
        <v>0.92</v>
      </c>
    </row>
    <row r="81">
      <c r="A81" s="4" t="s">
        <v>1430</v>
      </c>
      <c r="B81" s="5">
        <v>1418.0</v>
      </c>
      <c r="C81" s="5">
        <v>31.4</v>
      </c>
      <c r="D81" s="5">
        <v>17.1</v>
      </c>
      <c r="G81" s="5">
        <v>10.05</v>
      </c>
      <c r="I81" s="5">
        <v>1.19</v>
      </c>
    </row>
    <row r="82">
      <c r="A82" s="4" t="s">
        <v>101</v>
      </c>
      <c r="B82" s="5">
        <v>1419.0</v>
      </c>
      <c r="C82" s="5">
        <v>22.3</v>
      </c>
      <c r="D82" s="5">
        <v>15.7</v>
      </c>
      <c r="G82" s="5">
        <v>12.82</v>
      </c>
      <c r="I82" s="5">
        <v>0.6</v>
      </c>
    </row>
    <row r="83">
      <c r="A83" s="4" t="s">
        <v>1431</v>
      </c>
      <c r="B83" s="5">
        <v>1416.0</v>
      </c>
      <c r="C83" s="5">
        <v>20.5</v>
      </c>
      <c r="D83" s="5">
        <v>12.2</v>
      </c>
      <c r="G83" s="5">
        <v>14.55</v>
      </c>
      <c r="I83" s="5">
        <v>1.22</v>
      </c>
    </row>
    <row r="84">
      <c r="A84" s="4" t="s">
        <v>1237</v>
      </c>
      <c r="B84" s="5">
        <v>1414.0</v>
      </c>
      <c r="C84" s="5">
        <v>19.1</v>
      </c>
      <c r="D84" s="5">
        <v>12.5</v>
      </c>
      <c r="G84" s="5">
        <v>10.8</v>
      </c>
      <c r="I84" s="5">
        <v>0.82</v>
      </c>
    </row>
    <row r="85">
      <c r="A85" s="4" t="s">
        <v>1853</v>
      </c>
      <c r="B85" s="5">
        <v>1425.0</v>
      </c>
      <c r="C85" s="5">
        <v>25.7</v>
      </c>
      <c r="D85" s="5">
        <v>12.0</v>
      </c>
      <c r="G85" s="5">
        <v>13.48</v>
      </c>
      <c r="I85" s="5">
        <v>0.89</v>
      </c>
    </row>
    <row r="86">
      <c r="A86" s="4" t="s">
        <v>103</v>
      </c>
      <c r="B86" s="5">
        <v>1426.0</v>
      </c>
      <c r="C86" s="5">
        <v>32.7</v>
      </c>
      <c r="D86" s="5">
        <v>18.1</v>
      </c>
      <c r="G86" s="5">
        <v>11.68</v>
      </c>
      <c r="I86" s="5">
        <v>0.91</v>
      </c>
    </row>
    <row r="87">
      <c r="A87" s="4" t="s">
        <v>114</v>
      </c>
      <c r="B87" s="5">
        <v>1410.0</v>
      </c>
      <c r="C87" s="5">
        <v>22.0</v>
      </c>
      <c r="D87" s="5">
        <v>11.0</v>
      </c>
      <c r="G87" s="5">
        <v>9.07</v>
      </c>
      <c r="I87" s="5">
        <v>1.97</v>
      </c>
    </row>
    <row r="88">
      <c r="A88" s="4" t="s">
        <v>1235</v>
      </c>
      <c r="B88" s="5">
        <v>1407.0</v>
      </c>
      <c r="C88" s="5">
        <v>20.3</v>
      </c>
      <c r="D88" s="5">
        <v>14.0</v>
      </c>
      <c r="G88" s="5">
        <v>9.82</v>
      </c>
      <c r="I88" s="5">
        <v>1.12</v>
      </c>
    </row>
    <row r="89">
      <c r="A89" s="4" t="s">
        <v>1238</v>
      </c>
      <c r="B89" s="5">
        <v>1405.0</v>
      </c>
      <c r="C89" s="5">
        <v>16.7</v>
      </c>
      <c r="D89" s="5">
        <v>10.0</v>
      </c>
      <c r="G89" s="5">
        <v>6.89</v>
      </c>
      <c r="I89" s="5">
        <v>0.69</v>
      </c>
    </row>
    <row r="90">
      <c r="A90" s="4" t="s">
        <v>1435</v>
      </c>
      <c r="B90" s="5">
        <v>1406.0</v>
      </c>
      <c r="C90" s="5">
        <v>19.1</v>
      </c>
      <c r="D90" s="5">
        <v>9.6</v>
      </c>
      <c r="G90" s="5">
        <v>8.35</v>
      </c>
      <c r="I90" s="5">
        <v>1.11</v>
      </c>
    </row>
    <row r="91">
      <c r="A91" s="4" t="s">
        <v>109</v>
      </c>
      <c r="B91" s="5">
        <v>1413.0</v>
      </c>
      <c r="C91" s="5">
        <v>19.9</v>
      </c>
      <c r="D91" s="5">
        <v>13.5</v>
      </c>
      <c r="G91" s="5">
        <v>6.78</v>
      </c>
      <c r="I91" s="5">
        <v>0.32</v>
      </c>
    </row>
    <row r="92">
      <c r="A92" s="4" t="s">
        <v>1439</v>
      </c>
      <c r="B92" s="5">
        <v>1411.0</v>
      </c>
      <c r="C92" s="5">
        <v>16.5</v>
      </c>
      <c r="D92" s="5">
        <v>13.0</v>
      </c>
      <c r="G92" s="5">
        <v>6.8</v>
      </c>
      <c r="I92" s="5">
        <v>0.54</v>
      </c>
    </row>
    <row r="93">
      <c r="A93" s="4" t="s">
        <v>1432</v>
      </c>
      <c r="B93" s="5">
        <v>1409.0</v>
      </c>
      <c r="C93" s="5">
        <v>17.9</v>
      </c>
      <c r="D93" s="5">
        <v>13.5</v>
      </c>
      <c r="G93" s="5">
        <v>7.85</v>
      </c>
      <c r="I93" s="5">
        <v>0.73</v>
      </c>
    </row>
    <row r="94">
      <c r="A94" s="4" t="s">
        <v>113</v>
      </c>
      <c r="B94" s="5">
        <v>1412.0</v>
      </c>
      <c r="C94" s="5">
        <v>18.8</v>
      </c>
      <c r="D94" s="5">
        <v>13.1</v>
      </c>
      <c r="G94" s="5">
        <v>8.58</v>
      </c>
      <c r="I94" s="5">
        <v>0.69</v>
      </c>
    </row>
    <row r="95">
      <c r="A95" s="4" t="s">
        <v>1854</v>
      </c>
      <c r="B95" s="5">
        <v>0.82</v>
      </c>
      <c r="C95" s="5">
        <v>21.1</v>
      </c>
      <c r="D95" s="5">
        <v>13.9</v>
      </c>
      <c r="G95" s="5">
        <v>8.14</v>
      </c>
    </row>
    <row r="96">
      <c r="A96" s="4" t="s">
        <v>118</v>
      </c>
      <c r="B96" s="5">
        <v>1408.0</v>
      </c>
      <c r="C96" s="5">
        <v>17.1</v>
      </c>
      <c r="D96" s="5">
        <v>9.7</v>
      </c>
      <c r="G96" s="5">
        <v>8.19</v>
      </c>
      <c r="I96" s="5">
        <v>1.08</v>
      </c>
    </row>
    <row r="97">
      <c r="A97" s="9" t="s">
        <v>1236</v>
      </c>
      <c r="B97" s="5">
        <v>1420.0</v>
      </c>
      <c r="C97" s="5">
        <v>26.4</v>
      </c>
      <c r="D97" s="5">
        <v>18.7</v>
      </c>
      <c r="G97" s="5">
        <v>12.95</v>
      </c>
    </row>
    <row r="98">
      <c r="A98" s="4"/>
    </row>
    <row r="99">
      <c r="A99" s="4" t="s">
        <v>128</v>
      </c>
      <c r="B99" s="5">
        <v>1455.0</v>
      </c>
      <c r="C99" s="5">
        <v>22.0</v>
      </c>
      <c r="D99" s="5">
        <v>13.4</v>
      </c>
      <c r="G99" s="5">
        <v>14.82</v>
      </c>
      <c r="I99" s="5">
        <v>1.42</v>
      </c>
    </row>
    <row r="100">
      <c r="A100" s="4" t="s">
        <v>129</v>
      </c>
      <c r="B100" s="5">
        <v>1454.0</v>
      </c>
      <c r="C100" s="5">
        <v>28.0</v>
      </c>
      <c r="D100" s="5">
        <v>21.2</v>
      </c>
      <c r="G100" s="5">
        <v>10.74</v>
      </c>
      <c r="I100" s="5">
        <v>1.78</v>
      </c>
    </row>
    <row r="101">
      <c r="A101" s="4" t="s">
        <v>136</v>
      </c>
      <c r="B101" s="5">
        <v>1453.0</v>
      </c>
      <c r="C101" s="5">
        <v>24.6</v>
      </c>
      <c r="D101" s="5">
        <v>17.2</v>
      </c>
      <c r="G101" s="5">
        <v>10.56</v>
      </c>
      <c r="I101" s="5">
        <v>1.26</v>
      </c>
    </row>
    <row r="102">
      <c r="A102" s="4" t="s">
        <v>137</v>
      </c>
      <c r="B102" s="5">
        <v>1452.0</v>
      </c>
      <c r="C102" s="5">
        <v>18.7</v>
      </c>
      <c r="D102" s="5">
        <v>12.8</v>
      </c>
      <c r="G102" s="5">
        <v>10.35</v>
      </c>
      <c r="I102" s="5">
        <v>1.42</v>
      </c>
    </row>
    <row r="103">
      <c r="A103" s="4" t="s">
        <v>139</v>
      </c>
      <c r="B103" s="5">
        <v>1451.0</v>
      </c>
      <c r="C103" s="5">
        <v>17.5</v>
      </c>
      <c r="D103" s="5">
        <v>12.2</v>
      </c>
      <c r="G103" s="5">
        <v>6.46</v>
      </c>
      <c r="I103" s="5">
        <v>0.66</v>
      </c>
    </row>
    <row r="104">
      <c r="A104" s="4"/>
    </row>
    <row r="105">
      <c r="A105" s="4" t="s">
        <v>162</v>
      </c>
      <c r="B105" s="5">
        <v>1450.0</v>
      </c>
      <c r="C105" s="5">
        <v>29.9</v>
      </c>
      <c r="D105" s="5">
        <v>15.2</v>
      </c>
      <c r="G105" s="5">
        <v>13.98</v>
      </c>
      <c r="I105" s="5">
        <v>2.0</v>
      </c>
    </row>
    <row r="106">
      <c r="A106" s="4" t="s">
        <v>163</v>
      </c>
      <c r="B106" s="5">
        <v>1447.0</v>
      </c>
      <c r="C106" s="5">
        <v>28.5</v>
      </c>
      <c r="D106" s="5">
        <v>22.2</v>
      </c>
      <c r="G106" s="5">
        <v>13.45</v>
      </c>
      <c r="I106" s="5">
        <v>2.12</v>
      </c>
    </row>
    <row r="107">
      <c r="A107" s="4" t="s">
        <v>164</v>
      </c>
      <c r="B107" s="5">
        <v>1449.0</v>
      </c>
      <c r="C107" s="5">
        <v>29.9</v>
      </c>
      <c r="D107" s="5">
        <v>22.9</v>
      </c>
      <c r="E107" s="5">
        <v>16.9</v>
      </c>
      <c r="G107" s="5">
        <v>11.88</v>
      </c>
      <c r="I107" s="5">
        <v>0.83</v>
      </c>
    </row>
    <row r="108">
      <c r="A108" s="4" t="s">
        <v>165</v>
      </c>
      <c r="B108" s="5">
        <v>1443.0</v>
      </c>
      <c r="C108" s="5">
        <v>26.7</v>
      </c>
      <c r="D108" s="5">
        <v>16.6</v>
      </c>
      <c r="G108" s="5">
        <v>11.54</v>
      </c>
      <c r="I108" s="5">
        <v>1.61</v>
      </c>
    </row>
    <row r="109">
      <c r="A109" s="4" t="s">
        <v>166</v>
      </c>
      <c r="B109" s="5">
        <v>1444.0</v>
      </c>
      <c r="C109" s="5">
        <v>18.8</v>
      </c>
      <c r="D109" s="5">
        <v>13.1</v>
      </c>
      <c r="G109" s="5">
        <v>11.31</v>
      </c>
      <c r="I109" s="5">
        <v>0.95</v>
      </c>
    </row>
    <row r="110">
      <c r="A110" s="4" t="s">
        <v>1242</v>
      </c>
      <c r="B110" s="5">
        <v>1448.0</v>
      </c>
      <c r="C110" s="5">
        <v>19.2</v>
      </c>
      <c r="D110" s="5">
        <v>16.0</v>
      </c>
      <c r="G110" s="5">
        <v>13.89</v>
      </c>
      <c r="I110" s="5">
        <v>0.58</v>
      </c>
    </row>
    <row r="111">
      <c r="A111" s="4" t="s">
        <v>1243</v>
      </c>
      <c r="B111" s="5">
        <v>1446.0</v>
      </c>
      <c r="C111" s="5">
        <v>16.4</v>
      </c>
      <c r="D111" s="5">
        <v>14.7</v>
      </c>
      <c r="G111" s="5">
        <v>10.84</v>
      </c>
      <c r="I111" s="5">
        <v>0.54</v>
      </c>
    </row>
    <row r="112">
      <c r="A112" s="4" t="s">
        <v>170</v>
      </c>
      <c r="B112" s="5">
        <v>1445.0</v>
      </c>
      <c r="C112" s="5">
        <v>19.4</v>
      </c>
      <c r="D112" s="5">
        <v>12.2</v>
      </c>
      <c r="G112" s="5">
        <v>5.63</v>
      </c>
      <c r="I112" s="5">
        <v>0.43</v>
      </c>
    </row>
    <row r="113">
      <c r="A113" s="4" t="s">
        <v>2016</v>
      </c>
      <c r="B113" s="5">
        <v>1441.0</v>
      </c>
      <c r="C113" s="5">
        <v>20.1</v>
      </c>
      <c r="D113" s="5">
        <v>11.9</v>
      </c>
      <c r="G113" s="5">
        <v>3.98</v>
      </c>
      <c r="I113" s="5">
        <v>0.16</v>
      </c>
    </row>
    <row r="114">
      <c r="A114" s="4" t="s">
        <v>1244</v>
      </c>
      <c r="B114" s="5">
        <v>1442.0</v>
      </c>
      <c r="C114" s="5">
        <v>13.9</v>
      </c>
      <c r="D114" s="5">
        <v>11.0</v>
      </c>
      <c r="G114" s="5">
        <v>6.41</v>
      </c>
      <c r="I114" s="5">
        <v>0.24</v>
      </c>
    </row>
    <row r="115">
      <c r="A115" s="4"/>
    </row>
    <row r="116">
      <c r="A116" s="4" t="s">
        <v>183</v>
      </c>
    </row>
    <row r="117">
      <c r="A117" s="4" t="s">
        <v>184</v>
      </c>
    </row>
    <row r="118">
      <c r="A118" s="4" t="s">
        <v>1458</v>
      </c>
    </row>
    <row r="119">
      <c r="A119" s="4" t="s">
        <v>185</v>
      </c>
    </row>
    <row r="120">
      <c r="A120" s="4" t="s">
        <v>186</v>
      </c>
    </row>
    <row r="121">
      <c r="A121" s="4" t="s">
        <v>1464</v>
      </c>
    </row>
    <row r="122">
      <c r="A122" s="4" t="s">
        <v>1465</v>
      </c>
    </row>
    <row r="123">
      <c r="A123" s="4" t="s">
        <v>195</v>
      </c>
    </row>
    <row r="124">
      <c r="A124" s="4" t="s">
        <v>187</v>
      </c>
    </row>
    <row r="125">
      <c r="A125" s="4" t="s">
        <v>188</v>
      </c>
    </row>
    <row r="126">
      <c r="A126" s="4" t="s">
        <v>193</v>
      </c>
    </row>
    <row r="127">
      <c r="A127" s="4" t="s">
        <v>191</v>
      </c>
    </row>
    <row r="128">
      <c r="A128" s="4" t="s">
        <v>1473</v>
      </c>
    </row>
    <row r="129">
      <c r="A129" s="4"/>
    </row>
    <row r="130">
      <c r="A130" s="4" t="s">
        <v>199</v>
      </c>
      <c r="B130" s="5">
        <v>1440.0</v>
      </c>
      <c r="C130" s="5">
        <v>33.2</v>
      </c>
      <c r="D130" s="5">
        <v>15.8</v>
      </c>
      <c r="G130" s="5">
        <v>15.45</v>
      </c>
      <c r="I130" s="5">
        <v>2.67</v>
      </c>
    </row>
    <row r="131">
      <c r="A131" s="4" t="s">
        <v>1474</v>
      </c>
      <c r="B131" s="5">
        <v>1439.0</v>
      </c>
      <c r="C131" s="5">
        <v>33.2</v>
      </c>
      <c r="D131" s="5">
        <v>23.6</v>
      </c>
      <c r="E131" s="5">
        <v>20.7</v>
      </c>
      <c r="G131" s="5">
        <v>13.92</v>
      </c>
      <c r="I131" s="5">
        <v>0.8</v>
      </c>
    </row>
    <row r="132">
      <c r="A132" s="4" t="s">
        <v>200</v>
      </c>
      <c r="B132" s="5">
        <v>1438.0</v>
      </c>
      <c r="C132" s="5">
        <v>28.6</v>
      </c>
      <c r="D132" s="5">
        <v>20.1</v>
      </c>
      <c r="G132" s="5">
        <v>15.71</v>
      </c>
      <c r="I132" s="5">
        <v>0.88</v>
      </c>
    </row>
    <row r="133">
      <c r="A133" s="4" t="s">
        <v>201</v>
      </c>
      <c r="B133" s="5">
        <v>1437.0</v>
      </c>
      <c r="C133" s="5">
        <v>22.6</v>
      </c>
      <c r="D133" s="5">
        <v>13.6</v>
      </c>
      <c r="G133" s="5">
        <v>10.9</v>
      </c>
      <c r="I133" s="5">
        <v>1.1</v>
      </c>
    </row>
    <row r="134">
      <c r="A134" s="4" t="s">
        <v>1476</v>
      </c>
      <c r="B134" s="5">
        <v>1436.0</v>
      </c>
      <c r="C134" s="5">
        <v>16.4</v>
      </c>
      <c r="D134" s="5">
        <v>14.3</v>
      </c>
      <c r="G134" s="5">
        <v>10.14</v>
      </c>
      <c r="I134" s="5">
        <v>0.6</v>
      </c>
    </row>
    <row r="135">
      <c r="A135" s="4" t="s">
        <v>203</v>
      </c>
      <c r="B135" s="5">
        <v>1434.0</v>
      </c>
      <c r="C135" s="5">
        <v>22.4</v>
      </c>
      <c r="D135" s="5">
        <v>12.2</v>
      </c>
      <c r="G135" s="5">
        <v>11.11</v>
      </c>
      <c r="I135" s="5">
        <v>1.0</v>
      </c>
    </row>
    <row r="136">
      <c r="A136" s="4" t="s">
        <v>1481</v>
      </c>
      <c r="B136" s="5">
        <v>1435.0</v>
      </c>
      <c r="C136" s="5">
        <v>19.2</v>
      </c>
      <c r="D136" s="5">
        <v>17.2</v>
      </c>
      <c r="G136" s="5">
        <v>9.05</v>
      </c>
      <c r="I136" s="5">
        <v>0.65</v>
      </c>
    </row>
    <row r="137">
      <c r="A137" s="4"/>
    </row>
    <row r="138">
      <c r="A138" s="4" t="s">
        <v>1251</v>
      </c>
    </row>
    <row r="139">
      <c r="A139" s="4" t="s">
        <v>1252</v>
      </c>
    </row>
    <row r="140">
      <c r="A140" s="4" t="s">
        <v>1253</v>
      </c>
    </row>
    <row r="141">
      <c r="A141" s="4"/>
    </row>
    <row r="142">
      <c r="A142" s="4" t="s">
        <v>237</v>
      </c>
    </row>
    <row r="143">
      <c r="A143" s="4" t="s">
        <v>238</v>
      </c>
    </row>
    <row r="144">
      <c r="A144" s="4" t="s">
        <v>241</v>
      </c>
    </row>
    <row r="145">
      <c r="A145" s="4"/>
    </row>
    <row r="146">
      <c r="A146" s="4" t="s">
        <v>250</v>
      </c>
    </row>
    <row r="147">
      <c r="A147" s="4" t="s">
        <v>251</v>
      </c>
    </row>
    <row r="148">
      <c r="A148" s="4"/>
    </row>
    <row r="149">
      <c r="A149" s="4" t="s">
        <v>263</v>
      </c>
    </row>
    <row r="150">
      <c r="A150" s="4" t="s">
        <v>264</v>
      </c>
    </row>
    <row r="151">
      <c r="A151" s="4" t="s">
        <v>265</v>
      </c>
    </row>
    <row r="152">
      <c r="A152" s="4" t="s">
        <v>266</v>
      </c>
    </row>
    <row r="153">
      <c r="A153" s="4"/>
    </row>
    <row r="154">
      <c r="A154" s="4" t="s">
        <v>273</v>
      </c>
    </row>
    <row r="155">
      <c r="A155" s="4" t="s">
        <v>274</v>
      </c>
    </row>
    <row r="156">
      <c r="A156" s="4"/>
    </row>
    <row r="157">
      <c r="A157" s="4" t="s">
        <v>1697</v>
      </c>
    </row>
    <row r="158">
      <c r="A158" s="4" t="s">
        <v>1698</v>
      </c>
    </row>
    <row r="159">
      <c r="A159" s="4"/>
    </row>
    <row r="160">
      <c r="A160" s="4" t="s">
        <v>1700</v>
      </c>
    </row>
    <row r="161">
      <c r="A161" s="4" t="s">
        <v>1701</v>
      </c>
    </row>
    <row r="162">
      <c r="A162" s="4"/>
    </row>
    <row r="163">
      <c r="A163" s="4" t="s">
        <v>300</v>
      </c>
    </row>
    <row r="164">
      <c r="A164" s="4"/>
    </row>
    <row r="165">
      <c r="A165" s="4" t="s">
        <v>329</v>
      </c>
      <c r="B165" s="5">
        <v>1672.0</v>
      </c>
      <c r="C165" s="5">
        <v>18.0</v>
      </c>
      <c r="D165" s="5">
        <v>9.5</v>
      </c>
      <c r="G165" s="5">
        <v>16.24</v>
      </c>
      <c r="H165" s="5">
        <v>2.0</v>
      </c>
      <c r="I165" s="5">
        <v>6.42</v>
      </c>
      <c r="K165" s="2" t="s">
        <v>14</v>
      </c>
    </row>
    <row r="166">
      <c r="A166" s="4" t="s">
        <v>330</v>
      </c>
      <c r="B166" s="5">
        <v>1670.0</v>
      </c>
      <c r="C166" s="5">
        <v>16.3</v>
      </c>
      <c r="D166" s="5">
        <v>14.4</v>
      </c>
      <c r="G166" s="5">
        <v>15.65</v>
      </c>
      <c r="I166" s="5">
        <v>3.47</v>
      </c>
      <c r="K166" s="18">
        <f>counta(I165:I280)</f>
        <v>71</v>
      </c>
    </row>
    <row r="167">
      <c r="A167" s="4" t="s">
        <v>1256</v>
      </c>
      <c r="B167" s="5">
        <v>1671.0</v>
      </c>
      <c r="C167" s="5">
        <v>12.8</v>
      </c>
      <c r="D167" s="5">
        <v>14.2</v>
      </c>
      <c r="G167" s="5">
        <v>10.34</v>
      </c>
      <c r="I167" s="5">
        <v>1.9</v>
      </c>
      <c r="K167" s="6">
        <f>sum(I165:I280)/K166</f>
        <v>1.264084507</v>
      </c>
    </row>
    <row r="168">
      <c r="A168" s="4" t="s">
        <v>331</v>
      </c>
      <c r="B168" s="5">
        <v>1666.0</v>
      </c>
      <c r="C168" s="5">
        <v>26.7</v>
      </c>
      <c r="D168" s="5">
        <v>18.2</v>
      </c>
      <c r="G168" s="5">
        <v>19.44</v>
      </c>
      <c r="I168" s="5">
        <v>2.54</v>
      </c>
    </row>
    <row r="169">
      <c r="A169" s="4" t="s">
        <v>333</v>
      </c>
      <c r="B169" s="5">
        <v>1667.0</v>
      </c>
      <c r="C169" s="5">
        <v>35.5</v>
      </c>
      <c r="D169" s="5">
        <v>25.3</v>
      </c>
      <c r="G169" s="5">
        <v>10.41</v>
      </c>
      <c r="I169" s="5">
        <v>1.52</v>
      </c>
    </row>
    <row r="170">
      <c r="A170" s="4" t="s">
        <v>1258</v>
      </c>
      <c r="B170" s="5">
        <v>1668.0</v>
      </c>
      <c r="C170" s="5">
        <v>29.2</v>
      </c>
      <c r="D170" s="5">
        <v>28.6</v>
      </c>
      <c r="G170" s="5">
        <v>11.98</v>
      </c>
      <c r="I170" s="5">
        <v>1.91</v>
      </c>
    </row>
    <row r="171">
      <c r="A171" s="4" t="s">
        <v>1257</v>
      </c>
      <c r="B171" s="5">
        <v>1669.0</v>
      </c>
      <c r="C171" s="5">
        <v>24.2</v>
      </c>
      <c r="D171" s="5">
        <v>20.2</v>
      </c>
      <c r="G171" s="5">
        <v>13.17</v>
      </c>
      <c r="I171" s="5">
        <v>1.8</v>
      </c>
    </row>
    <row r="172">
      <c r="A172" s="4" t="s">
        <v>332</v>
      </c>
      <c r="B172" s="5">
        <v>1662.0</v>
      </c>
      <c r="C172" s="5">
        <v>26.9</v>
      </c>
      <c r="D172" s="5">
        <v>18.1</v>
      </c>
      <c r="G172" s="5">
        <v>11.44</v>
      </c>
      <c r="I172" s="5">
        <v>1.72</v>
      </c>
    </row>
    <row r="173">
      <c r="A173" s="4" t="s">
        <v>345</v>
      </c>
      <c r="B173" s="5">
        <v>1654.0</v>
      </c>
      <c r="C173" s="5">
        <v>20.3</v>
      </c>
      <c r="D173" s="5">
        <v>17.3</v>
      </c>
      <c r="G173" s="5">
        <v>8.39</v>
      </c>
      <c r="I173" s="5">
        <v>1.24</v>
      </c>
    </row>
    <row r="174">
      <c r="A174" s="4" t="s">
        <v>337</v>
      </c>
      <c r="B174" s="5">
        <v>1661.0</v>
      </c>
      <c r="C174" s="5">
        <v>32.6</v>
      </c>
      <c r="D174" s="5">
        <v>20.3</v>
      </c>
      <c r="G174" s="5">
        <v>9.84</v>
      </c>
      <c r="I174" s="5">
        <v>1.5</v>
      </c>
    </row>
    <row r="175">
      <c r="A175" s="4" t="s">
        <v>338</v>
      </c>
      <c r="B175" s="5">
        <v>1660.0</v>
      </c>
      <c r="C175" s="5">
        <v>22.1</v>
      </c>
      <c r="D175" s="5">
        <v>17.1</v>
      </c>
      <c r="G175" s="5">
        <v>9.81</v>
      </c>
      <c r="I175" s="5">
        <v>1.63</v>
      </c>
    </row>
    <row r="176">
      <c r="A176" s="4" t="s">
        <v>1263</v>
      </c>
      <c r="B176" s="5">
        <v>1664.0</v>
      </c>
      <c r="C176" s="5">
        <v>25.1</v>
      </c>
      <c r="D176" s="5">
        <v>16.2</v>
      </c>
      <c r="G176" s="5">
        <v>9.15</v>
      </c>
      <c r="I176" s="5">
        <v>1.19</v>
      </c>
    </row>
    <row r="177">
      <c r="A177" s="4" t="s">
        <v>1269</v>
      </c>
      <c r="B177" s="5">
        <v>1659.0</v>
      </c>
      <c r="C177" s="5">
        <v>21.0</v>
      </c>
      <c r="D177" s="5">
        <v>16.4</v>
      </c>
      <c r="G177" s="5">
        <v>7.98</v>
      </c>
      <c r="I177" s="5">
        <v>1.23</v>
      </c>
    </row>
    <row r="178">
      <c r="A178" s="4" t="s">
        <v>335</v>
      </c>
      <c r="B178" s="5">
        <v>1663.0</v>
      </c>
      <c r="C178" s="5">
        <v>22.4</v>
      </c>
      <c r="D178" s="5">
        <v>21.0</v>
      </c>
      <c r="G178" s="5">
        <v>8.39</v>
      </c>
      <c r="I178" s="5">
        <v>0.95</v>
      </c>
    </row>
    <row r="179">
      <c r="A179" s="4" t="s">
        <v>1264</v>
      </c>
      <c r="B179" s="5">
        <v>1665.0</v>
      </c>
      <c r="C179" s="5">
        <v>24.7</v>
      </c>
      <c r="D179" s="5">
        <v>16.3</v>
      </c>
      <c r="G179" s="5">
        <v>10.04</v>
      </c>
      <c r="I179" s="5">
        <v>1.71</v>
      </c>
    </row>
    <row r="180">
      <c r="A180" s="4" t="s">
        <v>1270</v>
      </c>
      <c r="B180" s="5">
        <v>1656.0</v>
      </c>
      <c r="C180" s="5">
        <v>21.1</v>
      </c>
      <c r="D180" s="5">
        <v>16.2</v>
      </c>
      <c r="G180" s="5">
        <v>10.12</v>
      </c>
      <c r="I180" s="5">
        <v>1.35</v>
      </c>
      <c r="J180" s="5" t="s">
        <v>2086</v>
      </c>
    </row>
    <row r="181">
      <c r="A181" s="4" t="s">
        <v>1271</v>
      </c>
      <c r="J181" s="5" t="s">
        <v>1849</v>
      </c>
    </row>
    <row r="182">
      <c r="A182" s="4" t="s">
        <v>344</v>
      </c>
      <c r="B182" s="5">
        <v>1652.0</v>
      </c>
      <c r="C182" s="5">
        <v>26.2</v>
      </c>
      <c r="D182" s="5">
        <v>17.5</v>
      </c>
      <c r="G182" s="5">
        <v>7.85</v>
      </c>
      <c r="I182" s="5">
        <v>0.87</v>
      </c>
      <c r="J182" s="5" t="s">
        <v>2086</v>
      </c>
    </row>
    <row r="183">
      <c r="A183" s="4" t="s">
        <v>348</v>
      </c>
      <c r="B183" s="5">
        <v>1655.0</v>
      </c>
      <c r="C183" s="5">
        <v>21.2</v>
      </c>
      <c r="D183" s="5">
        <v>13.2</v>
      </c>
      <c r="G183" s="5">
        <v>9.34</v>
      </c>
      <c r="I183" s="5">
        <v>1.28</v>
      </c>
      <c r="J183" s="5" t="s">
        <v>2086</v>
      </c>
    </row>
    <row r="184">
      <c r="A184" s="4" t="s">
        <v>349</v>
      </c>
      <c r="B184" s="5">
        <v>1646.0</v>
      </c>
      <c r="C184" s="5">
        <v>18.9</v>
      </c>
      <c r="D184" s="5">
        <v>12.7</v>
      </c>
      <c r="G184" s="5">
        <v>8.1</v>
      </c>
      <c r="I184" s="5">
        <v>1.01</v>
      </c>
      <c r="J184" s="5" t="s">
        <v>2086</v>
      </c>
    </row>
    <row r="185">
      <c r="A185" s="4" t="s">
        <v>1280</v>
      </c>
      <c r="B185" s="5">
        <v>1647.0</v>
      </c>
      <c r="C185" s="5">
        <v>15.2</v>
      </c>
      <c r="D185" s="5">
        <v>12.2</v>
      </c>
      <c r="G185" s="5">
        <v>7.02</v>
      </c>
      <c r="I185" s="5">
        <v>0.74</v>
      </c>
      <c r="J185" s="5" t="s">
        <v>2086</v>
      </c>
    </row>
    <row r="186">
      <c r="A186" s="17" t="s">
        <v>340</v>
      </c>
      <c r="B186" s="5">
        <v>1658.0</v>
      </c>
      <c r="C186" s="5">
        <v>16.4</v>
      </c>
      <c r="D186" s="5">
        <v>15.1</v>
      </c>
      <c r="G186" s="5">
        <v>8.14</v>
      </c>
      <c r="I186" s="5">
        <v>0.67</v>
      </c>
    </row>
    <row r="187">
      <c r="A187" s="4" t="s">
        <v>1274</v>
      </c>
      <c r="B187" s="5">
        <v>1653.0</v>
      </c>
      <c r="C187" s="5">
        <v>19.3</v>
      </c>
      <c r="D187" s="5">
        <v>11.8</v>
      </c>
      <c r="G187" s="5">
        <v>6.52</v>
      </c>
      <c r="I187" s="5">
        <v>0.76</v>
      </c>
      <c r="J187" s="5" t="s">
        <v>2086</v>
      </c>
    </row>
    <row r="188">
      <c r="A188" s="4" t="s">
        <v>1491</v>
      </c>
      <c r="B188" s="5">
        <v>1643.0</v>
      </c>
      <c r="C188" s="5">
        <v>24.2</v>
      </c>
      <c r="D188" s="5">
        <v>16.5</v>
      </c>
      <c r="G188" s="5">
        <v>6.42</v>
      </c>
      <c r="I188" s="5">
        <v>0.57</v>
      </c>
      <c r="J188" s="5" t="s">
        <v>2086</v>
      </c>
    </row>
    <row r="189">
      <c r="A189" s="4" t="s">
        <v>2087</v>
      </c>
      <c r="B189" s="5">
        <v>1642.0</v>
      </c>
      <c r="C189" s="5">
        <v>15.2</v>
      </c>
      <c r="D189" s="5">
        <v>12.5</v>
      </c>
      <c r="G189" s="5">
        <v>4.67</v>
      </c>
      <c r="I189" s="5">
        <v>0.35</v>
      </c>
      <c r="J189" s="5" t="s">
        <v>2086</v>
      </c>
    </row>
    <row r="190">
      <c r="A190" s="4" t="s">
        <v>1490</v>
      </c>
      <c r="B190" s="5">
        <v>1651.0</v>
      </c>
      <c r="C190" s="5">
        <v>13.0</v>
      </c>
      <c r="D190" s="5">
        <v>11.1</v>
      </c>
      <c r="G190" s="5">
        <v>4.82</v>
      </c>
      <c r="I190" s="5">
        <v>0.33</v>
      </c>
      <c r="J190" s="5" t="s">
        <v>2086</v>
      </c>
    </row>
    <row r="191">
      <c r="A191" s="4" t="s">
        <v>2088</v>
      </c>
      <c r="B191" s="5">
        <v>1648.0</v>
      </c>
      <c r="C191" s="5">
        <v>21.5</v>
      </c>
      <c r="D191" s="5">
        <v>14.5</v>
      </c>
      <c r="G191" s="5">
        <v>4.64</v>
      </c>
      <c r="I191" s="5">
        <v>0.33</v>
      </c>
      <c r="J191" s="5" t="s">
        <v>2086</v>
      </c>
    </row>
    <row r="192">
      <c r="A192" s="4" t="s">
        <v>1708</v>
      </c>
      <c r="B192" s="5">
        <v>1645.0</v>
      </c>
      <c r="C192" s="5">
        <v>14.5</v>
      </c>
      <c r="D192" s="5">
        <v>9.9</v>
      </c>
      <c r="G192" s="5">
        <v>5.47</v>
      </c>
      <c r="I192" s="5">
        <v>0.26</v>
      </c>
      <c r="J192" s="5" t="s">
        <v>2086</v>
      </c>
    </row>
    <row r="193">
      <c r="A193" s="4" t="s">
        <v>346</v>
      </c>
      <c r="B193" s="5">
        <v>1657.0</v>
      </c>
      <c r="C193" s="5">
        <v>14.6</v>
      </c>
      <c r="D193" s="5">
        <v>11.8</v>
      </c>
      <c r="G193" s="5">
        <v>4.91</v>
      </c>
      <c r="J193" s="5">
        <v>0.21</v>
      </c>
    </row>
    <row r="194">
      <c r="A194" s="4" t="s">
        <v>1494</v>
      </c>
      <c r="B194" s="5">
        <v>1644.0</v>
      </c>
      <c r="C194" s="5">
        <v>13.1</v>
      </c>
      <c r="D194" s="5">
        <v>10.7</v>
      </c>
      <c r="G194" s="5">
        <v>5.2</v>
      </c>
      <c r="I194" s="5">
        <v>0.39</v>
      </c>
      <c r="J194" s="5" t="s">
        <v>2086</v>
      </c>
    </row>
    <row r="195">
      <c r="A195" s="4" t="s">
        <v>1275</v>
      </c>
      <c r="J195" s="5" t="s">
        <v>1849</v>
      </c>
    </row>
    <row r="196">
      <c r="A196" s="4" t="s">
        <v>347</v>
      </c>
      <c r="B196" s="5">
        <v>1650.0</v>
      </c>
      <c r="C196" s="5">
        <v>16.0</v>
      </c>
      <c r="D196" s="5">
        <v>12.1</v>
      </c>
      <c r="G196" s="5">
        <v>5.49</v>
      </c>
      <c r="I196" s="5">
        <v>0.51</v>
      </c>
      <c r="J196" s="5" t="s">
        <v>2086</v>
      </c>
    </row>
    <row r="197">
      <c r="A197" s="4" t="s">
        <v>1276</v>
      </c>
      <c r="B197" s="5">
        <v>1549.0</v>
      </c>
      <c r="C197" s="5">
        <v>17.4</v>
      </c>
      <c r="D197" s="5">
        <v>11.5</v>
      </c>
      <c r="G197" s="5">
        <v>5.73</v>
      </c>
      <c r="J197" s="5" t="s">
        <v>2086</v>
      </c>
    </row>
    <row r="198">
      <c r="A198" s="4"/>
    </row>
    <row r="199">
      <c r="A199" s="4" t="s">
        <v>356</v>
      </c>
    </row>
    <row r="200">
      <c r="A200" s="4" t="s">
        <v>357</v>
      </c>
    </row>
    <row r="201">
      <c r="A201" s="4" t="s">
        <v>358</v>
      </c>
    </row>
    <row r="202">
      <c r="A202" s="4" t="s">
        <v>359</v>
      </c>
    </row>
    <row r="203">
      <c r="A203" s="4" t="s">
        <v>1281</v>
      </c>
    </row>
    <row r="204">
      <c r="A204" s="4" t="s">
        <v>1495</v>
      </c>
    </row>
    <row r="205">
      <c r="A205" s="4" t="s">
        <v>362</v>
      </c>
    </row>
    <row r="206">
      <c r="A206" s="4" t="s">
        <v>375</v>
      </c>
    </row>
    <row r="207">
      <c r="A207" s="4" t="s">
        <v>1284</v>
      </c>
    </row>
    <row r="208">
      <c r="A208" s="4" t="s">
        <v>1285</v>
      </c>
    </row>
    <row r="209">
      <c r="A209" s="4" t="s">
        <v>1496</v>
      </c>
    </row>
    <row r="210">
      <c r="A210" s="4" t="s">
        <v>366</v>
      </c>
    </row>
    <row r="211">
      <c r="A211" s="4" t="s">
        <v>368</v>
      </c>
    </row>
    <row r="212">
      <c r="A212" s="4" t="s">
        <v>1283</v>
      </c>
    </row>
    <row r="213">
      <c r="A213" s="4" t="s">
        <v>1289</v>
      </c>
    </row>
    <row r="214">
      <c r="A214" s="4" t="s">
        <v>1293</v>
      </c>
    </row>
    <row r="215">
      <c r="A215" s="4" t="s">
        <v>1290</v>
      </c>
    </row>
    <row r="216">
      <c r="A216" s="4" t="s">
        <v>1498</v>
      </c>
    </row>
    <row r="217">
      <c r="A217" s="4" t="s">
        <v>365</v>
      </c>
    </row>
    <row r="218">
      <c r="A218" s="4" t="s">
        <v>1497</v>
      </c>
    </row>
    <row r="219">
      <c r="A219" s="4" t="s">
        <v>367</v>
      </c>
    </row>
    <row r="220">
      <c r="A220" s="4" t="s">
        <v>372</v>
      </c>
    </row>
    <row r="221">
      <c r="A221" s="4" t="s">
        <v>2089</v>
      </c>
    </row>
    <row r="222">
      <c r="A222" s="4" t="s">
        <v>381</v>
      </c>
    </row>
    <row r="223">
      <c r="A223" s="4" t="s">
        <v>1503</v>
      </c>
    </row>
    <row r="224">
      <c r="A224" s="4" t="s">
        <v>1294</v>
      </c>
    </row>
    <row r="225">
      <c r="A225" s="4" t="s">
        <v>371</v>
      </c>
    </row>
    <row r="226">
      <c r="A226" s="4" t="s">
        <v>369</v>
      </c>
    </row>
    <row r="227">
      <c r="A227" s="4" t="s">
        <v>1499</v>
      </c>
    </row>
    <row r="228">
      <c r="A228" s="4" t="s">
        <v>382</v>
      </c>
    </row>
    <row r="229">
      <c r="A229" s="4" t="s">
        <v>2090</v>
      </c>
    </row>
    <row r="230">
      <c r="A230" s="4" t="s">
        <v>1500</v>
      </c>
    </row>
    <row r="231">
      <c r="A231" s="4" t="s">
        <v>1292</v>
      </c>
    </row>
    <row r="232">
      <c r="A232" s="4"/>
    </row>
    <row r="233">
      <c r="A233" s="4" t="s">
        <v>2091</v>
      </c>
      <c r="B233" s="5">
        <v>1687.0</v>
      </c>
      <c r="C233" s="5">
        <v>8.2</v>
      </c>
      <c r="G233" s="5">
        <v>14.19</v>
      </c>
      <c r="I233" s="5">
        <v>6.23</v>
      </c>
    </row>
    <row r="234">
      <c r="A234" s="4" t="s">
        <v>2092</v>
      </c>
      <c r="B234" s="5">
        <v>1686.0</v>
      </c>
      <c r="C234" s="5">
        <v>25.9</v>
      </c>
      <c r="D234" s="5">
        <v>18.1</v>
      </c>
      <c r="G234" s="5">
        <v>12.5</v>
      </c>
      <c r="I234" s="5">
        <v>2.41</v>
      </c>
    </row>
    <row r="235">
      <c r="A235" s="4" t="s">
        <v>2093</v>
      </c>
      <c r="B235" s="5">
        <v>1682.0</v>
      </c>
      <c r="C235" s="5">
        <v>26.0</v>
      </c>
      <c r="D235" s="5">
        <v>21.5</v>
      </c>
      <c r="G235" s="5">
        <v>10.32</v>
      </c>
      <c r="I235" s="5">
        <v>1.83</v>
      </c>
    </row>
    <row r="236">
      <c r="A236" s="4" t="s">
        <v>389</v>
      </c>
      <c r="B236" s="5">
        <v>1684.0</v>
      </c>
      <c r="C236" s="5">
        <v>30.6</v>
      </c>
      <c r="D236" s="5">
        <v>23.4</v>
      </c>
      <c r="G236" s="5">
        <v>13.32</v>
      </c>
      <c r="I236" s="5">
        <v>1.75</v>
      </c>
    </row>
    <row r="237">
      <c r="A237" s="4" t="s">
        <v>2094</v>
      </c>
      <c r="B237" s="5">
        <v>1675.0</v>
      </c>
      <c r="C237" s="5">
        <v>25.1</v>
      </c>
      <c r="D237" s="5">
        <v>16.5</v>
      </c>
      <c r="G237" s="5">
        <v>8.04</v>
      </c>
      <c r="I237" s="5">
        <v>1.29</v>
      </c>
      <c r="J237" s="5" t="s">
        <v>2095</v>
      </c>
    </row>
    <row r="238">
      <c r="A238" s="4" t="s">
        <v>393</v>
      </c>
      <c r="B238" s="5">
        <v>1683.0</v>
      </c>
      <c r="C238" s="5">
        <v>27.7</v>
      </c>
      <c r="D238" s="5">
        <v>18.5</v>
      </c>
      <c r="G238" s="5">
        <v>10.25</v>
      </c>
      <c r="I238" s="5">
        <v>2.12</v>
      </c>
    </row>
    <row r="239">
      <c r="A239" s="4" t="s">
        <v>2096</v>
      </c>
      <c r="B239" s="5">
        <v>1680.0</v>
      </c>
      <c r="C239" s="5">
        <v>19.6</v>
      </c>
      <c r="D239" s="5">
        <v>14.1</v>
      </c>
      <c r="G239" s="5">
        <v>7.49</v>
      </c>
      <c r="I239" s="5">
        <v>0.76</v>
      </c>
      <c r="J239" s="5" t="s">
        <v>2095</v>
      </c>
    </row>
    <row r="240">
      <c r="A240" s="4" t="s">
        <v>2097</v>
      </c>
      <c r="B240" s="5">
        <v>1674.0</v>
      </c>
      <c r="C240" s="5">
        <v>26.8</v>
      </c>
      <c r="D240" s="5">
        <v>19.5</v>
      </c>
      <c r="G240" s="5">
        <v>8.89</v>
      </c>
      <c r="I240" s="5">
        <v>0.58</v>
      </c>
      <c r="J240" s="5" t="s">
        <v>2095</v>
      </c>
    </row>
    <row r="241">
      <c r="A241" s="4" t="s">
        <v>396</v>
      </c>
      <c r="B241" s="5">
        <v>1681.0</v>
      </c>
      <c r="C241" s="5">
        <v>23.7</v>
      </c>
      <c r="D241" s="5">
        <v>13.6</v>
      </c>
      <c r="G241" s="5">
        <v>8.31</v>
      </c>
      <c r="I241" s="5">
        <v>1.41</v>
      </c>
      <c r="J241" s="5" t="s">
        <v>2095</v>
      </c>
    </row>
    <row r="242">
      <c r="A242" s="4" t="s">
        <v>2098</v>
      </c>
      <c r="B242" s="5">
        <v>1685.0</v>
      </c>
      <c r="C242" s="5">
        <v>24.5</v>
      </c>
      <c r="D242" s="5">
        <v>21.0</v>
      </c>
      <c r="G242" s="5">
        <v>7.52</v>
      </c>
      <c r="I242" s="5">
        <v>0.46</v>
      </c>
    </row>
    <row r="243">
      <c r="A243" s="4" t="s">
        <v>404</v>
      </c>
      <c r="B243" s="5">
        <v>1676.0</v>
      </c>
      <c r="C243" s="5">
        <v>15.4</v>
      </c>
      <c r="D243" s="5">
        <v>11.3</v>
      </c>
      <c r="G243" s="5">
        <v>4.52</v>
      </c>
      <c r="I243" s="5">
        <v>0.3</v>
      </c>
      <c r="J243" s="5" t="s">
        <v>2095</v>
      </c>
    </row>
    <row r="244">
      <c r="A244" s="4" t="s">
        <v>395</v>
      </c>
      <c r="B244" s="5">
        <v>1679.0</v>
      </c>
      <c r="C244" s="5">
        <v>16.5</v>
      </c>
      <c r="D244" s="5">
        <v>13.3</v>
      </c>
      <c r="G244" s="5">
        <v>6.57</v>
      </c>
      <c r="I244" s="5">
        <v>0.89</v>
      </c>
      <c r="J244" s="5" t="s">
        <v>2095</v>
      </c>
    </row>
    <row r="245">
      <c r="A245" s="4" t="s">
        <v>2099</v>
      </c>
      <c r="J245" s="5" t="s">
        <v>1840</v>
      </c>
    </row>
    <row r="246">
      <c r="A246" s="4" t="s">
        <v>2100</v>
      </c>
      <c r="B246" s="5">
        <v>1678.0</v>
      </c>
      <c r="C246" s="5">
        <v>17.9</v>
      </c>
      <c r="D246" s="5">
        <v>13.1</v>
      </c>
      <c r="G246" s="5">
        <v>3.75</v>
      </c>
      <c r="I246" s="5">
        <v>0.19</v>
      </c>
      <c r="J246" s="5" t="s">
        <v>2095</v>
      </c>
    </row>
    <row r="247">
      <c r="A247" s="4" t="s">
        <v>2101</v>
      </c>
      <c r="B247" s="5">
        <v>1673.0</v>
      </c>
      <c r="C247" s="5">
        <v>16.1</v>
      </c>
      <c r="D247" s="5">
        <v>14.5</v>
      </c>
      <c r="G247" s="5">
        <v>4.51</v>
      </c>
      <c r="I247" s="5">
        <v>0.31</v>
      </c>
      <c r="J247" s="5" t="s">
        <v>2095</v>
      </c>
    </row>
    <row r="248">
      <c r="A248" s="4"/>
    </row>
    <row r="249">
      <c r="A249" s="4" t="s">
        <v>406</v>
      </c>
      <c r="B249" s="5">
        <v>1696.0</v>
      </c>
      <c r="C249" s="5">
        <v>27.6</v>
      </c>
      <c r="D249" s="5">
        <v>25.4</v>
      </c>
      <c r="G249" s="5">
        <v>14.12</v>
      </c>
      <c r="I249" s="5">
        <v>2.15</v>
      </c>
    </row>
    <row r="250">
      <c r="A250" s="4" t="s">
        <v>407</v>
      </c>
      <c r="B250" s="5">
        <v>1695.0</v>
      </c>
      <c r="C250" s="5">
        <v>30.2</v>
      </c>
      <c r="D250" s="5">
        <v>21.2</v>
      </c>
      <c r="G250" s="5">
        <v>9.63</v>
      </c>
      <c r="I250" s="5">
        <v>1.74</v>
      </c>
    </row>
    <row r="251">
      <c r="A251" s="4" t="s">
        <v>408</v>
      </c>
      <c r="B251" s="5">
        <v>1691.0</v>
      </c>
      <c r="C251" s="5">
        <v>26.1</v>
      </c>
      <c r="D251" s="5">
        <v>19.2</v>
      </c>
      <c r="G251" s="5">
        <v>8.77</v>
      </c>
      <c r="I251" s="5">
        <v>1.75</v>
      </c>
    </row>
    <row r="252">
      <c r="A252" s="4" t="s">
        <v>409</v>
      </c>
      <c r="B252" s="5">
        <v>1694.0</v>
      </c>
      <c r="C252" s="5">
        <v>34.1</v>
      </c>
      <c r="D252" s="5">
        <v>28.1</v>
      </c>
      <c r="G252" s="5">
        <v>8.25</v>
      </c>
      <c r="I252" s="5">
        <v>1.03</v>
      </c>
    </row>
    <row r="253">
      <c r="A253" s="4" t="s">
        <v>411</v>
      </c>
      <c r="B253" s="5">
        <v>1690.0</v>
      </c>
      <c r="C253" s="5">
        <v>20.5</v>
      </c>
      <c r="D253" s="5">
        <v>14.1</v>
      </c>
      <c r="G253" s="5">
        <v>8.02</v>
      </c>
      <c r="I253" s="5">
        <v>1.21</v>
      </c>
      <c r="J253" s="5" t="s">
        <v>2095</v>
      </c>
    </row>
    <row r="254">
      <c r="A254" s="4" t="s">
        <v>410</v>
      </c>
      <c r="B254" s="5">
        <v>1693.0</v>
      </c>
      <c r="C254" s="5">
        <v>23.1</v>
      </c>
      <c r="D254" s="5">
        <v>18.0</v>
      </c>
      <c r="G254" s="5">
        <v>9.63</v>
      </c>
      <c r="I254" s="5">
        <v>0.96</v>
      </c>
    </row>
    <row r="255">
      <c r="A255" s="4" t="s">
        <v>415</v>
      </c>
      <c r="B255" s="5">
        <v>1689.0</v>
      </c>
      <c r="C255" s="5">
        <v>16.6</v>
      </c>
      <c r="D255" s="5">
        <v>13.1</v>
      </c>
      <c r="G255" s="5">
        <v>4.36</v>
      </c>
      <c r="I255" s="5">
        <v>0.54</v>
      </c>
    </row>
    <row r="256">
      <c r="A256" s="4" t="s">
        <v>413</v>
      </c>
      <c r="B256" s="5">
        <v>1688.0</v>
      </c>
      <c r="C256" s="5">
        <v>22.2</v>
      </c>
      <c r="D256" s="5">
        <v>18.6</v>
      </c>
      <c r="G256" s="5">
        <v>5.03</v>
      </c>
      <c r="I256" s="5">
        <v>0.35</v>
      </c>
      <c r="J256" s="5" t="s">
        <v>2095</v>
      </c>
    </row>
    <row r="257">
      <c r="A257" s="4" t="s">
        <v>412</v>
      </c>
      <c r="B257" s="5">
        <v>1692.0</v>
      </c>
      <c r="C257" s="5">
        <v>19.2</v>
      </c>
      <c r="D257" s="5">
        <v>14.2</v>
      </c>
      <c r="G257" s="5">
        <v>6.25</v>
      </c>
      <c r="I257" s="5">
        <v>0.49</v>
      </c>
    </row>
    <row r="258">
      <c r="A258" s="4"/>
    </row>
    <row r="259">
      <c r="A259" s="4" t="s">
        <v>425</v>
      </c>
      <c r="B259" s="5">
        <v>1706.0</v>
      </c>
      <c r="C259" s="5">
        <v>28.9</v>
      </c>
      <c r="D259" s="5">
        <v>25.1</v>
      </c>
      <c r="G259" s="5">
        <v>12.52</v>
      </c>
      <c r="I259" s="5">
        <v>2.33</v>
      </c>
    </row>
    <row r="260">
      <c r="A260" s="4" t="s">
        <v>426</v>
      </c>
      <c r="B260" s="5">
        <v>1705.0</v>
      </c>
      <c r="C260" s="5">
        <v>30.5</v>
      </c>
      <c r="D260" s="5">
        <v>20.3</v>
      </c>
      <c r="G260" s="5">
        <v>10.26</v>
      </c>
      <c r="I260" s="5">
        <v>1.76</v>
      </c>
    </row>
    <row r="261">
      <c r="B261" s="5">
        <v>1704.0</v>
      </c>
      <c r="C261" s="5">
        <v>25.6</v>
      </c>
      <c r="D261" s="5">
        <v>15.7</v>
      </c>
      <c r="G261" s="5">
        <v>8.16</v>
      </c>
      <c r="I261" s="5">
        <v>1.28</v>
      </c>
      <c r="J261" s="5" t="s">
        <v>2102</v>
      </c>
    </row>
    <row r="262">
      <c r="A262" s="4" t="s">
        <v>427</v>
      </c>
      <c r="B262" s="5">
        <v>1702.0</v>
      </c>
      <c r="C262" s="5">
        <v>22.8</v>
      </c>
      <c r="D262" s="5">
        <v>14.3</v>
      </c>
      <c r="G262" s="5">
        <v>7.97</v>
      </c>
    </row>
    <row r="263">
      <c r="A263" s="4" t="s">
        <v>1316</v>
      </c>
      <c r="B263" s="5">
        <v>1701.0</v>
      </c>
      <c r="C263" s="5">
        <v>33.1</v>
      </c>
      <c r="D263" s="5">
        <v>24.4</v>
      </c>
      <c r="G263" s="5">
        <v>10.95</v>
      </c>
      <c r="I263" s="5">
        <v>1.39</v>
      </c>
    </row>
    <row r="264">
      <c r="A264" s="4" t="s">
        <v>1322</v>
      </c>
      <c r="B264" s="5">
        <v>1699.0</v>
      </c>
      <c r="C264" s="5">
        <v>25.4</v>
      </c>
      <c r="D264" s="5">
        <v>16.1</v>
      </c>
      <c r="G264" s="5">
        <v>9.57</v>
      </c>
      <c r="I264" s="5">
        <v>1.13</v>
      </c>
    </row>
    <row r="265">
      <c r="A265" s="4" t="s">
        <v>428</v>
      </c>
      <c r="B265" s="5">
        <v>1697.0</v>
      </c>
      <c r="C265" s="5">
        <v>18.1</v>
      </c>
      <c r="D265" s="5">
        <v>13.2</v>
      </c>
      <c r="G265" s="5">
        <v>4.28</v>
      </c>
      <c r="I265" s="5">
        <v>0.21</v>
      </c>
      <c r="J265" s="5" t="s">
        <v>2095</v>
      </c>
    </row>
    <row r="266">
      <c r="A266" s="4" t="s">
        <v>1325</v>
      </c>
      <c r="B266" s="5">
        <v>1698.0</v>
      </c>
      <c r="C266" s="5">
        <v>20.2</v>
      </c>
      <c r="D266" s="5">
        <v>12.2</v>
      </c>
      <c r="G266" s="5">
        <v>7.7</v>
      </c>
      <c r="I266" s="5">
        <v>0.58</v>
      </c>
    </row>
    <row r="267">
      <c r="A267" s="4" t="s">
        <v>1954</v>
      </c>
      <c r="B267" s="5">
        <v>1700.0</v>
      </c>
      <c r="C267" s="5">
        <v>30.9</v>
      </c>
      <c r="D267" s="5">
        <v>21.1</v>
      </c>
      <c r="G267" s="5">
        <v>7.38</v>
      </c>
      <c r="I267" s="5">
        <v>0.53</v>
      </c>
    </row>
    <row r="268">
      <c r="A268" s="4" t="s">
        <v>429</v>
      </c>
      <c r="B268" s="5">
        <v>1703.0</v>
      </c>
      <c r="C268" s="5">
        <v>25.1</v>
      </c>
      <c r="D268" s="5">
        <v>17.6</v>
      </c>
      <c r="G268" s="5">
        <v>5.57</v>
      </c>
      <c r="I268" s="5">
        <v>0.37</v>
      </c>
    </row>
    <row r="269">
      <c r="A269" s="4"/>
    </row>
    <row r="270">
      <c r="A270" s="4" t="s">
        <v>438</v>
      </c>
      <c r="B270" s="5">
        <v>1712.0</v>
      </c>
      <c r="C270" s="5">
        <v>35.6</v>
      </c>
      <c r="D270" s="5">
        <v>16.1</v>
      </c>
      <c r="G270" s="5">
        <v>11.32</v>
      </c>
      <c r="I270" s="5">
        <v>1.35</v>
      </c>
    </row>
    <row r="271">
      <c r="A271" s="4" t="s">
        <v>439</v>
      </c>
      <c r="B271" s="5">
        <v>1711.0</v>
      </c>
      <c r="C271" s="5">
        <v>22.4</v>
      </c>
      <c r="D271" s="5">
        <v>14.1</v>
      </c>
      <c r="G271" s="5">
        <v>9.34</v>
      </c>
      <c r="I271" s="5">
        <v>1.43</v>
      </c>
    </row>
    <row r="272">
      <c r="A272" s="4" t="s">
        <v>441</v>
      </c>
      <c r="B272" s="5">
        <v>1710.0</v>
      </c>
      <c r="C272" s="5">
        <v>25.9</v>
      </c>
      <c r="D272" s="5">
        <v>17.0</v>
      </c>
      <c r="G272" s="5">
        <v>10.21</v>
      </c>
      <c r="I272" s="5">
        <v>0.28</v>
      </c>
    </row>
    <row r="273">
      <c r="A273" s="4" t="s">
        <v>442</v>
      </c>
      <c r="B273" s="5">
        <v>1709.0</v>
      </c>
      <c r="C273" s="5">
        <v>20.2</v>
      </c>
      <c r="D273" s="5">
        <v>15.2</v>
      </c>
      <c r="G273" s="5">
        <v>7.72</v>
      </c>
      <c r="I273" s="5">
        <v>0.47</v>
      </c>
    </row>
    <row r="274">
      <c r="A274" s="4" t="s">
        <v>443</v>
      </c>
      <c r="B274" s="5">
        <v>1707.0</v>
      </c>
      <c r="C274" s="5">
        <v>28.6</v>
      </c>
      <c r="D274" s="5">
        <v>20.6</v>
      </c>
      <c r="G274" s="5">
        <v>7.29</v>
      </c>
      <c r="I274" s="5">
        <v>0.39</v>
      </c>
    </row>
    <row r="275">
      <c r="A275" s="4" t="s">
        <v>1328</v>
      </c>
      <c r="B275" s="5">
        <v>1798.0</v>
      </c>
      <c r="C275" s="5">
        <v>28.7</v>
      </c>
      <c r="D275" s="5">
        <v>17.2</v>
      </c>
      <c r="G275" s="5">
        <v>8.66</v>
      </c>
      <c r="I275" s="5">
        <v>3.22</v>
      </c>
    </row>
    <row r="276">
      <c r="A276" s="4"/>
    </row>
    <row r="277">
      <c r="A277" s="4" t="s">
        <v>463</v>
      </c>
      <c r="B277" s="5">
        <v>1716.0</v>
      </c>
      <c r="C277" s="5">
        <v>23.6</v>
      </c>
      <c r="D277" s="5">
        <v>27.2</v>
      </c>
      <c r="G277" s="5">
        <v>8.58</v>
      </c>
      <c r="I277" s="5">
        <v>0.74</v>
      </c>
    </row>
    <row r="278">
      <c r="A278" s="4" t="s">
        <v>464</v>
      </c>
      <c r="B278" s="5">
        <v>1715.0</v>
      </c>
      <c r="C278" s="5">
        <v>23.8</v>
      </c>
      <c r="D278" s="5">
        <v>13.6</v>
      </c>
      <c r="G278" s="5">
        <v>10.53</v>
      </c>
      <c r="I278" s="5">
        <v>0.75</v>
      </c>
    </row>
    <row r="279">
      <c r="A279" s="4" t="s">
        <v>465</v>
      </c>
      <c r="B279" s="5">
        <v>1714.0</v>
      </c>
      <c r="C279" s="5">
        <v>23.0</v>
      </c>
      <c r="D279" s="5">
        <v>17.1</v>
      </c>
      <c r="G279" s="5">
        <v>7.91</v>
      </c>
      <c r="I279" s="5">
        <v>0.57</v>
      </c>
    </row>
    <row r="280">
      <c r="A280" s="4" t="s">
        <v>466</v>
      </c>
      <c r="B280" s="5">
        <v>1713.0</v>
      </c>
      <c r="C280" s="5">
        <v>27.7</v>
      </c>
      <c r="D280" s="5">
        <v>15.3</v>
      </c>
      <c r="G280" s="5">
        <v>2.78</v>
      </c>
      <c r="I280" s="5">
        <v>0.07</v>
      </c>
      <c r="J280" s="5" t="s">
        <v>2095</v>
      </c>
    </row>
    <row r="281">
      <c r="A281" s="4"/>
    </row>
    <row r="282">
      <c r="A282" s="4" t="s">
        <v>475</v>
      </c>
    </row>
    <row r="283">
      <c r="A283" s="4" t="s">
        <v>476</v>
      </c>
    </row>
    <row r="284">
      <c r="A284" s="4" t="s">
        <v>478</v>
      </c>
    </row>
    <row r="285">
      <c r="A285" s="4" t="s">
        <v>481</v>
      </c>
    </row>
    <row r="286">
      <c r="A286" s="4"/>
    </row>
    <row r="287">
      <c r="A287" s="4" t="s">
        <v>496</v>
      </c>
    </row>
    <row r="288">
      <c r="A288" s="4"/>
    </row>
    <row r="289">
      <c r="A289" s="4" t="s">
        <v>754</v>
      </c>
      <c r="H289" s="5">
        <v>2.0</v>
      </c>
      <c r="K289" s="2" t="s">
        <v>14</v>
      </c>
    </row>
    <row r="290">
      <c r="A290" s="4" t="s">
        <v>755</v>
      </c>
      <c r="K290" s="6">
        <f>counta(I310:I396)</f>
        <v>81</v>
      </c>
    </row>
    <row r="291">
      <c r="A291" s="4" t="s">
        <v>756</v>
      </c>
      <c r="K291" s="6">
        <f>sum(I310:I396)/81</f>
        <v>1.448148148</v>
      </c>
    </row>
    <row r="292">
      <c r="A292" s="4" t="s">
        <v>757</v>
      </c>
    </row>
    <row r="293">
      <c r="A293" s="4" t="s">
        <v>758</v>
      </c>
    </row>
    <row r="294">
      <c r="A294" s="4" t="s">
        <v>759</v>
      </c>
    </row>
    <row r="295">
      <c r="A295" s="4" t="s">
        <v>760</v>
      </c>
    </row>
    <row r="296">
      <c r="A296" s="4" t="s">
        <v>761</v>
      </c>
    </row>
    <row r="297">
      <c r="A297" s="4" t="s">
        <v>1338</v>
      </c>
    </row>
    <row r="298">
      <c r="A298" s="4" t="s">
        <v>770</v>
      </c>
    </row>
    <row r="299">
      <c r="A299" s="4" t="s">
        <v>762</v>
      </c>
    </row>
    <row r="300">
      <c r="A300" s="4" t="s">
        <v>765</v>
      </c>
    </row>
    <row r="301">
      <c r="A301" s="4" t="s">
        <v>1342</v>
      </c>
    </row>
    <row r="302">
      <c r="A302" s="4" t="s">
        <v>1898</v>
      </c>
    </row>
    <row r="303">
      <c r="A303" s="4" t="s">
        <v>1956</v>
      </c>
    </row>
    <row r="304">
      <c r="A304" s="4" t="s">
        <v>1343</v>
      </c>
    </row>
    <row r="305">
      <c r="A305" s="4" t="s">
        <v>1347</v>
      </c>
    </row>
    <row r="306">
      <c r="A306" s="4" t="s">
        <v>768</v>
      </c>
      <c r="K306" s="18"/>
    </row>
    <row r="307">
      <c r="A307" s="4" t="s">
        <v>2103</v>
      </c>
      <c r="K307" s="18"/>
    </row>
    <row r="308">
      <c r="A308" s="4" t="s">
        <v>1348</v>
      </c>
      <c r="K308" s="18"/>
    </row>
    <row r="309">
      <c r="A309" s="4"/>
    </row>
    <row r="310">
      <c r="A310" s="4" t="s">
        <v>771</v>
      </c>
      <c r="B310" s="5">
        <v>1739.0</v>
      </c>
      <c r="C310" s="5">
        <v>22.2</v>
      </c>
      <c r="D310" s="5">
        <v>10.4</v>
      </c>
      <c r="G310" s="5">
        <v>16.97</v>
      </c>
      <c r="I310" s="5">
        <v>7.2</v>
      </c>
    </row>
    <row r="311">
      <c r="A311" s="4" t="s">
        <v>772</v>
      </c>
      <c r="B311" s="5">
        <v>1737.0</v>
      </c>
      <c r="C311" s="5">
        <v>17.2</v>
      </c>
      <c r="D311" s="5">
        <v>13.5</v>
      </c>
      <c r="G311" s="5">
        <v>15.25</v>
      </c>
      <c r="I311" s="5">
        <v>5.93</v>
      </c>
    </row>
    <row r="312">
      <c r="A312" s="4" t="s">
        <v>773</v>
      </c>
      <c r="B312" s="5">
        <v>1738.0</v>
      </c>
      <c r="C312" s="5">
        <v>13.8</v>
      </c>
      <c r="D312" s="5">
        <v>13.2</v>
      </c>
      <c r="G312" s="5">
        <v>12.08</v>
      </c>
      <c r="I312" s="5">
        <v>1.75</v>
      </c>
    </row>
    <row r="313">
      <c r="A313" s="4" t="s">
        <v>774</v>
      </c>
      <c r="B313" s="5">
        <v>1736.0</v>
      </c>
      <c r="C313" s="5">
        <v>25.4</v>
      </c>
      <c r="D313" s="5">
        <v>16.2</v>
      </c>
      <c r="G313" s="5">
        <v>17.87</v>
      </c>
      <c r="I313" s="5">
        <v>5.89</v>
      </c>
    </row>
    <row r="314">
      <c r="A314" s="4" t="s">
        <v>1353</v>
      </c>
      <c r="B314" s="5">
        <v>1735.0</v>
      </c>
      <c r="C314" s="5">
        <v>28.6</v>
      </c>
      <c r="D314" s="5">
        <v>24.3</v>
      </c>
      <c r="G314" s="5">
        <v>14.61</v>
      </c>
      <c r="I314" s="5">
        <v>2.52</v>
      </c>
    </row>
    <row r="315">
      <c r="A315" s="4" t="s">
        <v>778</v>
      </c>
      <c r="B315" s="5">
        <v>1733.0</v>
      </c>
      <c r="C315" s="5">
        <v>23.2</v>
      </c>
      <c r="D315" s="5">
        <v>19.1</v>
      </c>
      <c r="G315" s="5">
        <v>13.35</v>
      </c>
      <c r="I315" s="5">
        <v>1.98</v>
      </c>
    </row>
    <row r="316">
      <c r="A316" s="4" t="s">
        <v>785</v>
      </c>
      <c r="B316" s="5">
        <v>1731.0</v>
      </c>
      <c r="C316" s="5">
        <v>23.1</v>
      </c>
      <c r="D316" s="5">
        <v>16.6</v>
      </c>
      <c r="G316" s="5">
        <v>11.97</v>
      </c>
      <c r="I316" s="5">
        <v>2.15</v>
      </c>
    </row>
    <row r="317">
      <c r="A317" s="4" t="s">
        <v>1356</v>
      </c>
      <c r="B317" s="5">
        <v>1732.0</v>
      </c>
      <c r="C317" s="5">
        <v>24.2</v>
      </c>
      <c r="D317" s="5">
        <v>16.1</v>
      </c>
      <c r="G317" s="5">
        <v>13.2</v>
      </c>
      <c r="I317" s="5">
        <v>1.99</v>
      </c>
    </row>
    <row r="318">
      <c r="A318" s="4" t="s">
        <v>1359</v>
      </c>
      <c r="B318" s="5">
        <v>1728.0</v>
      </c>
      <c r="C318" s="5">
        <v>20.4</v>
      </c>
      <c r="D318" s="5">
        <v>16.1</v>
      </c>
      <c r="G318" s="5">
        <v>11.59</v>
      </c>
      <c r="I318" s="5">
        <v>1.63</v>
      </c>
    </row>
    <row r="319">
      <c r="A319" s="4" t="s">
        <v>779</v>
      </c>
      <c r="B319" s="5">
        <v>1730.0</v>
      </c>
      <c r="C319" s="5">
        <v>28.4</v>
      </c>
      <c r="D319" s="5">
        <v>20.1</v>
      </c>
      <c r="G319" s="5">
        <v>12.45</v>
      </c>
      <c r="I319" s="5">
        <v>2.07</v>
      </c>
    </row>
    <row r="320">
      <c r="A320" s="4" t="s">
        <v>780</v>
      </c>
      <c r="B320" s="5">
        <v>1725.0</v>
      </c>
      <c r="C320" s="5">
        <v>19.2</v>
      </c>
      <c r="D320" s="5">
        <v>11.6</v>
      </c>
      <c r="G320" s="5">
        <v>11.64</v>
      </c>
      <c r="I320" s="5">
        <v>1.6</v>
      </c>
    </row>
    <row r="321">
      <c r="A321" s="4" t="s">
        <v>2104</v>
      </c>
      <c r="B321" s="5">
        <v>1729.0</v>
      </c>
      <c r="C321" s="5">
        <v>25.5</v>
      </c>
      <c r="D321" s="5">
        <v>14.6</v>
      </c>
      <c r="E321" s="5">
        <v>8.3</v>
      </c>
      <c r="G321" s="5">
        <v>11.34</v>
      </c>
      <c r="I321" s="5">
        <v>1.68</v>
      </c>
    </row>
    <row r="322">
      <c r="A322" s="4" t="s">
        <v>2105</v>
      </c>
      <c r="B322" s="5">
        <v>1721.0</v>
      </c>
      <c r="C322" s="5">
        <v>18.5</v>
      </c>
      <c r="D322" s="5">
        <v>14.9</v>
      </c>
      <c r="G322" s="5">
        <v>10.79</v>
      </c>
      <c r="I322" s="5">
        <v>1.15</v>
      </c>
    </row>
    <row r="323">
      <c r="A323" s="4" t="s">
        <v>1363</v>
      </c>
      <c r="B323" s="5">
        <v>1724.0</v>
      </c>
      <c r="C323" s="5">
        <v>14.9</v>
      </c>
      <c r="D323" s="5">
        <v>12.0</v>
      </c>
      <c r="G323" s="5">
        <v>10.03</v>
      </c>
      <c r="I323" s="5">
        <v>1.24</v>
      </c>
    </row>
    <row r="324">
      <c r="A324" s="4" t="s">
        <v>777</v>
      </c>
      <c r="B324" s="5">
        <v>1734.0</v>
      </c>
      <c r="C324" s="5">
        <v>23.1</v>
      </c>
      <c r="D324" s="5">
        <v>17.0</v>
      </c>
      <c r="G324" s="5">
        <v>11.42</v>
      </c>
      <c r="I324" s="5">
        <v>0.81</v>
      </c>
    </row>
    <row r="325">
      <c r="A325" s="4" t="s">
        <v>786</v>
      </c>
      <c r="B325" s="5">
        <v>1726.0</v>
      </c>
      <c r="C325" s="5">
        <v>20.7</v>
      </c>
      <c r="D325" s="5">
        <v>15.8</v>
      </c>
      <c r="G325" s="5">
        <v>13.25</v>
      </c>
      <c r="I325" s="5">
        <v>1.56</v>
      </c>
    </row>
    <row r="326">
      <c r="A326" s="4" t="s">
        <v>791</v>
      </c>
      <c r="B326" s="5">
        <v>1723.0</v>
      </c>
      <c r="C326" s="5">
        <v>16.0</v>
      </c>
      <c r="D326" s="5">
        <v>12.1</v>
      </c>
      <c r="G326" s="5">
        <v>10.2</v>
      </c>
      <c r="I326" s="5">
        <v>1.04</v>
      </c>
    </row>
    <row r="327">
      <c r="A327" s="4" t="s">
        <v>1810</v>
      </c>
      <c r="B327" s="5">
        <v>1720.0</v>
      </c>
      <c r="C327" s="5">
        <v>14.2</v>
      </c>
      <c r="D327" s="5">
        <v>9.7</v>
      </c>
      <c r="G327" s="5">
        <v>9.09</v>
      </c>
      <c r="I327" s="5">
        <v>0.67</v>
      </c>
    </row>
    <row r="328">
      <c r="A328" s="4" t="s">
        <v>1579</v>
      </c>
      <c r="B328" s="5">
        <v>1722.0</v>
      </c>
      <c r="C328" s="5">
        <v>16.0</v>
      </c>
      <c r="D328" s="5">
        <v>10.9</v>
      </c>
      <c r="G328" s="5">
        <v>7.51</v>
      </c>
      <c r="I328" s="5">
        <v>0.83</v>
      </c>
    </row>
    <row r="329">
      <c r="A329" s="4" t="s">
        <v>2106</v>
      </c>
      <c r="B329" s="5">
        <v>1727.0</v>
      </c>
      <c r="C329" s="5">
        <v>15.8</v>
      </c>
      <c r="D329" s="5">
        <v>17.8</v>
      </c>
      <c r="G329" s="5">
        <v>8.11</v>
      </c>
      <c r="I329" s="5">
        <v>0.37</v>
      </c>
    </row>
    <row r="330">
      <c r="A330" s="4" t="s">
        <v>2107</v>
      </c>
      <c r="B330" s="5">
        <v>1719.0</v>
      </c>
      <c r="C330" s="5">
        <v>17.0</v>
      </c>
      <c r="D330" s="5">
        <v>10.2</v>
      </c>
      <c r="G330" s="5">
        <v>8.62</v>
      </c>
      <c r="I330" s="5">
        <v>0.65</v>
      </c>
    </row>
    <row r="331">
      <c r="A331" s="4" t="s">
        <v>1802</v>
      </c>
      <c r="B331" s="5">
        <v>1718.0</v>
      </c>
      <c r="C331" s="5">
        <v>24.1</v>
      </c>
      <c r="D331" s="5">
        <v>18.3</v>
      </c>
      <c r="G331" s="5">
        <v>8.62</v>
      </c>
      <c r="I331" s="5">
        <v>0.74</v>
      </c>
    </row>
    <row r="332">
      <c r="A332" s="4" t="s">
        <v>1360</v>
      </c>
      <c r="B332" s="5">
        <v>1717.0</v>
      </c>
      <c r="C332" s="5">
        <v>19.2</v>
      </c>
      <c r="D332" s="5">
        <v>12.6</v>
      </c>
      <c r="G332" s="5">
        <v>10.75</v>
      </c>
      <c r="I332" s="5">
        <v>0.94</v>
      </c>
    </row>
    <row r="333">
      <c r="A333" s="4"/>
    </row>
    <row r="334">
      <c r="A334" s="4" t="s">
        <v>796</v>
      </c>
      <c r="B334" s="5">
        <v>1747.0</v>
      </c>
      <c r="C334" s="5">
        <v>22.9</v>
      </c>
      <c r="D334" s="5">
        <v>12.0</v>
      </c>
      <c r="G334" s="5">
        <v>15.9</v>
      </c>
      <c r="I334" s="5">
        <v>1.54</v>
      </c>
    </row>
    <row r="335">
      <c r="A335" s="4" t="s">
        <v>797</v>
      </c>
      <c r="B335" s="5">
        <v>1746.0</v>
      </c>
      <c r="C335" s="5">
        <v>25.4</v>
      </c>
      <c r="D335" s="5">
        <v>18.8</v>
      </c>
      <c r="G335" s="5">
        <v>16.26</v>
      </c>
      <c r="I335" s="5">
        <v>2.61</v>
      </c>
    </row>
    <row r="336">
      <c r="A336" s="4" t="s">
        <v>798</v>
      </c>
      <c r="B336" s="5">
        <v>1745.0</v>
      </c>
      <c r="C336" s="5">
        <v>27.2</v>
      </c>
      <c r="D336" s="5">
        <v>17.6</v>
      </c>
      <c r="G336" s="5">
        <v>17.45</v>
      </c>
      <c r="I336" s="5">
        <v>2.48</v>
      </c>
    </row>
    <row r="337">
      <c r="A337" s="4" t="s">
        <v>800</v>
      </c>
      <c r="B337" s="5">
        <v>1743.0</v>
      </c>
      <c r="C337" s="5">
        <v>21.7</v>
      </c>
      <c r="D337" s="5">
        <v>15.4</v>
      </c>
      <c r="G337" s="5">
        <v>14.31</v>
      </c>
      <c r="I337" s="5">
        <v>1.78</v>
      </c>
    </row>
    <row r="338">
      <c r="A338" s="4" t="s">
        <v>802</v>
      </c>
      <c r="B338" s="5">
        <v>1741.0</v>
      </c>
      <c r="C338" s="5">
        <v>14.4</v>
      </c>
      <c r="D338" s="5">
        <v>12.4</v>
      </c>
      <c r="G338" s="5">
        <v>11.56</v>
      </c>
      <c r="I338" s="5">
        <v>1.25</v>
      </c>
    </row>
    <row r="339">
      <c r="A339" s="4" t="s">
        <v>1819</v>
      </c>
      <c r="B339" s="5">
        <v>1744.0</v>
      </c>
      <c r="C339" s="5">
        <v>17.4</v>
      </c>
      <c r="D339" s="5">
        <v>16.1</v>
      </c>
      <c r="G339" s="5">
        <v>9.7</v>
      </c>
      <c r="I339" s="5">
        <v>0.48</v>
      </c>
    </row>
    <row r="340">
      <c r="A340" s="4" t="s">
        <v>807</v>
      </c>
      <c r="B340" s="5">
        <v>1740.0</v>
      </c>
      <c r="C340" s="5">
        <v>16.7</v>
      </c>
      <c r="D340" s="5">
        <v>11.9</v>
      </c>
      <c r="G340" s="5">
        <v>10.55</v>
      </c>
      <c r="I340" s="5">
        <v>0.82</v>
      </c>
    </row>
    <row r="341">
      <c r="A341" s="4" t="s">
        <v>1823</v>
      </c>
      <c r="B341" s="5">
        <v>1742.0</v>
      </c>
      <c r="C341" s="5">
        <v>16.1</v>
      </c>
      <c r="D341" s="5">
        <v>12.3</v>
      </c>
      <c r="G341" s="5">
        <v>10.08</v>
      </c>
      <c r="I341" s="5">
        <v>0.49</v>
      </c>
    </row>
    <row r="342">
      <c r="A342" s="4"/>
    </row>
    <row r="343">
      <c r="A343" s="4" t="s">
        <v>808</v>
      </c>
      <c r="B343" s="5">
        <v>1761.0</v>
      </c>
      <c r="C343" s="5">
        <v>30.0</v>
      </c>
      <c r="D343" s="5">
        <v>15.4</v>
      </c>
      <c r="G343" s="5">
        <v>12.4</v>
      </c>
      <c r="I343" s="5">
        <v>1.81</v>
      </c>
    </row>
    <row r="344">
      <c r="A344" s="4" t="s">
        <v>809</v>
      </c>
      <c r="B344" s="5">
        <v>1760.0</v>
      </c>
      <c r="C344" s="5">
        <v>27.7</v>
      </c>
      <c r="D344" s="5">
        <v>19.3</v>
      </c>
      <c r="G344" s="5">
        <v>16.89</v>
      </c>
      <c r="I344" s="5">
        <v>2.77</v>
      </c>
    </row>
    <row r="345">
      <c r="A345" s="4" t="s">
        <v>812</v>
      </c>
      <c r="B345" s="5">
        <v>1758.0</v>
      </c>
      <c r="C345" s="5">
        <v>25.2</v>
      </c>
      <c r="D345" s="5">
        <v>20.4</v>
      </c>
      <c r="G345" s="5">
        <v>13.25</v>
      </c>
      <c r="I345" s="5">
        <v>1.54</v>
      </c>
    </row>
    <row r="346">
      <c r="A346" s="4" t="s">
        <v>813</v>
      </c>
      <c r="B346" s="5">
        <v>1757.0</v>
      </c>
      <c r="C346" s="5">
        <v>24.4</v>
      </c>
      <c r="D346" s="5">
        <v>20.7</v>
      </c>
      <c r="G346" s="5">
        <v>11.08</v>
      </c>
      <c r="I346" s="5">
        <v>0.97</v>
      </c>
    </row>
    <row r="347">
      <c r="A347" s="4" t="s">
        <v>810</v>
      </c>
      <c r="B347" s="5">
        <v>1759.0</v>
      </c>
      <c r="C347" s="5">
        <v>26.2</v>
      </c>
      <c r="D347" s="5">
        <v>17.6</v>
      </c>
      <c r="G347" s="5">
        <v>16.16</v>
      </c>
      <c r="I347" s="5">
        <v>1.87</v>
      </c>
    </row>
    <row r="348">
      <c r="A348" s="4" t="s">
        <v>1387</v>
      </c>
      <c r="B348" s="5">
        <v>1755.0</v>
      </c>
      <c r="C348" s="5">
        <v>19.5</v>
      </c>
      <c r="D348" s="5">
        <v>17.4</v>
      </c>
      <c r="G348" s="5">
        <v>10.01</v>
      </c>
      <c r="I348" s="5">
        <v>0.82</v>
      </c>
    </row>
    <row r="349">
      <c r="A349" s="4" t="s">
        <v>816</v>
      </c>
      <c r="B349" s="5">
        <v>1756.0</v>
      </c>
      <c r="C349" s="5">
        <v>18.3</v>
      </c>
      <c r="D349" s="5">
        <v>12.1</v>
      </c>
      <c r="G349" s="5">
        <v>11.07</v>
      </c>
      <c r="I349" s="5">
        <v>0.94</v>
      </c>
    </row>
    <row r="350">
      <c r="A350" s="4" t="s">
        <v>818</v>
      </c>
      <c r="B350" s="5">
        <v>1754.0</v>
      </c>
      <c r="C350" s="5">
        <v>19.9</v>
      </c>
      <c r="D350" s="5">
        <v>11.6</v>
      </c>
      <c r="G350" s="5">
        <v>10.53</v>
      </c>
      <c r="I350" s="5">
        <v>1.48</v>
      </c>
    </row>
    <row r="351">
      <c r="A351" s="4" t="s">
        <v>1386</v>
      </c>
      <c r="B351" s="5">
        <v>1752.0</v>
      </c>
      <c r="C351" s="5">
        <v>18.8</v>
      </c>
      <c r="D351" s="5">
        <v>14.2</v>
      </c>
      <c r="G351" s="5">
        <v>8.63</v>
      </c>
      <c r="I351" s="5">
        <v>0.83</v>
      </c>
    </row>
    <row r="352">
      <c r="A352" s="4" t="s">
        <v>2062</v>
      </c>
      <c r="B352" s="5">
        <v>1748.0</v>
      </c>
      <c r="C352" s="5">
        <v>15.0</v>
      </c>
      <c r="D352" s="5">
        <v>10.3</v>
      </c>
      <c r="G352" s="5">
        <v>8.84</v>
      </c>
      <c r="I352" s="5">
        <v>0.53</v>
      </c>
    </row>
    <row r="353">
      <c r="A353" s="4" t="s">
        <v>2063</v>
      </c>
      <c r="B353" s="5">
        <v>1750.0</v>
      </c>
      <c r="C353" s="5">
        <v>18.1</v>
      </c>
      <c r="D353" s="5">
        <v>13.7</v>
      </c>
      <c r="G353" s="5">
        <v>8.17</v>
      </c>
      <c r="I353" s="5">
        <v>0.38</v>
      </c>
    </row>
    <row r="354">
      <c r="A354" s="4" t="s">
        <v>1389</v>
      </c>
      <c r="B354" s="5">
        <v>1751.0</v>
      </c>
      <c r="C354" s="5">
        <v>16.6</v>
      </c>
      <c r="D354" s="5">
        <v>10.2</v>
      </c>
      <c r="G354" s="5">
        <v>7.8</v>
      </c>
      <c r="I354" s="5">
        <v>0.37</v>
      </c>
    </row>
    <row r="355">
      <c r="A355" s="4" t="s">
        <v>827</v>
      </c>
      <c r="B355" s="5">
        <v>1749.0</v>
      </c>
      <c r="C355" s="5">
        <v>13.6</v>
      </c>
      <c r="D355" s="5">
        <v>10.6</v>
      </c>
      <c r="G355" s="5">
        <v>7.78</v>
      </c>
      <c r="I355" s="5">
        <v>0.45</v>
      </c>
    </row>
    <row r="356">
      <c r="A356" s="4" t="s">
        <v>822</v>
      </c>
      <c r="B356" s="5">
        <v>1753.0</v>
      </c>
      <c r="C356" s="5">
        <v>20.2</v>
      </c>
      <c r="D356" s="5">
        <v>15.1</v>
      </c>
      <c r="G356" s="5">
        <v>9.35</v>
      </c>
      <c r="I356" s="5">
        <v>0.74</v>
      </c>
    </row>
    <row r="357">
      <c r="A357" s="4"/>
    </row>
    <row r="358">
      <c r="A358" s="4" t="s">
        <v>837</v>
      </c>
      <c r="B358" s="5">
        <v>1777.0</v>
      </c>
      <c r="C358" s="5">
        <v>27.5</v>
      </c>
      <c r="D358" s="5">
        <v>16.9</v>
      </c>
      <c r="G358" s="5">
        <v>14.31</v>
      </c>
      <c r="I358" s="5">
        <v>3.73</v>
      </c>
    </row>
    <row r="359">
      <c r="A359" s="4" t="s">
        <v>838</v>
      </c>
      <c r="B359" s="5">
        <v>1776.0</v>
      </c>
      <c r="C359" s="5">
        <v>26.3</v>
      </c>
      <c r="D359" s="5">
        <v>20.3</v>
      </c>
      <c r="H359" s="5">
        <v>13.69</v>
      </c>
      <c r="I359" s="5">
        <v>3.47</v>
      </c>
    </row>
    <row r="360">
      <c r="A360" s="4" t="s">
        <v>1392</v>
      </c>
      <c r="B360" s="5">
        <v>1775.0</v>
      </c>
      <c r="C360" s="5">
        <v>27.1</v>
      </c>
      <c r="D360" s="5">
        <v>24.4</v>
      </c>
      <c r="H360" s="5">
        <v>11.31</v>
      </c>
      <c r="I360" s="5">
        <v>1.78</v>
      </c>
    </row>
    <row r="361">
      <c r="A361" s="4" t="s">
        <v>839</v>
      </c>
      <c r="B361" s="5">
        <v>1773.0</v>
      </c>
      <c r="C361" s="5">
        <v>27.0</v>
      </c>
      <c r="D361" s="5">
        <v>16.3</v>
      </c>
      <c r="H361" s="5">
        <v>11.54</v>
      </c>
      <c r="I361" s="5">
        <v>1.86</v>
      </c>
    </row>
    <row r="362">
      <c r="A362" s="4" t="s">
        <v>1396</v>
      </c>
      <c r="B362" s="5">
        <v>1774.0</v>
      </c>
      <c r="C362" s="5">
        <v>26.1</v>
      </c>
      <c r="D362" s="5">
        <v>16.8</v>
      </c>
      <c r="H362" s="5">
        <v>13.57</v>
      </c>
      <c r="I362" s="5">
        <v>1.39</v>
      </c>
    </row>
    <row r="363">
      <c r="A363" s="4" t="s">
        <v>842</v>
      </c>
      <c r="B363" s="5">
        <v>1771.0</v>
      </c>
      <c r="C363" s="5">
        <v>20.2</v>
      </c>
      <c r="D363" s="5">
        <v>12.1</v>
      </c>
      <c r="H363" s="5">
        <v>10.48</v>
      </c>
      <c r="I363" s="5">
        <v>1.12</v>
      </c>
    </row>
    <row r="364">
      <c r="A364" s="4" t="s">
        <v>1394</v>
      </c>
      <c r="B364" s="5">
        <v>1772.0</v>
      </c>
      <c r="C364" s="5">
        <v>35.0</v>
      </c>
      <c r="D364" s="5">
        <v>17.7</v>
      </c>
      <c r="H364" s="5">
        <v>9.33</v>
      </c>
      <c r="I364" s="5">
        <v>0.97</v>
      </c>
    </row>
    <row r="365">
      <c r="A365" s="4" t="s">
        <v>1400</v>
      </c>
      <c r="B365" s="5">
        <v>1765.0</v>
      </c>
      <c r="C365" s="5">
        <v>21.1</v>
      </c>
      <c r="D365" s="5">
        <v>11.6</v>
      </c>
      <c r="H365" s="5">
        <v>8.7</v>
      </c>
      <c r="I365" s="5">
        <v>0.69</v>
      </c>
    </row>
    <row r="366">
      <c r="A366" s="4" t="s">
        <v>1605</v>
      </c>
      <c r="B366" s="5">
        <v>1767.0</v>
      </c>
      <c r="C366" s="5">
        <v>23.9</v>
      </c>
      <c r="D366" s="5">
        <v>16.3</v>
      </c>
      <c r="H366" s="5">
        <v>9.39</v>
      </c>
      <c r="I366" s="5">
        <v>0.52</v>
      </c>
    </row>
    <row r="367">
      <c r="A367" s="4" t="s">
        <v>846</v>
      </c>
      <c r="B367" s="5">
        <v>1770.0</v>
      </c>
      <c r="C367" s="5">
        <v>17.5</v>
      </c>
      <c r="D367" s="5">
        <v>12.2</v>
      </c>
      <c r="H367" s="5">
        <v>8.67</v>
      </c>
      <c r="I367" s="5">
        <v>0.77</v>
      </c>
    </row>
    <row r="368">
      <c r="A368" s="4" t="s">
        <v>2075</v>
      </c>
      <c r="B368" s="5">
        <v>1762.0</v>
      </c>
      <c r="C368" s="5">
        <v>17.1</v>
      </c>
      <c r="D368" s="5">
        <v>11.0</v>
      </c>
      <c r="H368" s="5">
        <v>7.23</v>
      </c>
      <c r="I368" s="5">
        <v>0.32</v>
      </c>
    </row>
    <row r="369">
      <c r="A369" s="4" t="s">
        <v>845</v>
      </c>
      <c r="B369" s="5">
        <v>1768.0</v>
      </c>
      <c r="C369" s="5">
        <v>21.2</v>
      </c>
      <c r="D369" s="5">
        <v>16.5</v>
      </c>
      <c r="H369" s="5">
        <v>9.18</v>
      </c>
      <c r="I369" s="5">
        <v>0.51</v>
      </c>
    </row>
    <row r="370">
      <c r="A370" s="4" t="s">
        <v>1402</v>
      </c>
      <c r="B370" s="5">
        <v>1763.0</v>
      </c>
      <c r="C370" s="5">
        <v>17.6</v>
      </c>
      <c r="D370" s="5">
        <v>11.4</v>
      </c>
      <c r="H370" s="5">
        <v>8.86</v>
      </c>
      <c r="I370" s="5">
        <v>0.48</v>
      </c>
    </row>
    <row r="371">
      <c r="A371" s="4" t="s">
        <v>1398</v>
      </c>
      <c r="B371" s="5">
        <v>1769.0</v>
      </c>
      <c r="C371" s="5">
        <v>19.6</v>
      </c>
      <c r="D371" s="5">
        <v>12.5</v>
      </c>
      <c r="H371" s="5">
        <v>8.46</v>
      </c>
      <c r="I371" s="5">
        <v>0.81</v>
      </c>
    </row>
    <row r="372">
      <c r="A372" s="4" t="s">
        <v>1606</v>
      </c>
      <c r="B372" s="5">
        <v>1766.0</v>
      </c>
      <c r="C372" s="5">
        <v>16.6</v>
      </c>
      <c r="D372" s="5">
        <v>10.2</v>
      </c>
      <c r="H372" s="5">
        <v>8.3</v>
      </c>
      <c r="I372" s="5">
        <v>0.36</v>
      </c>
    </row>
    <row r="373">
      <c r="A373" s="4" t="s">
        <v>1401</v>
      </c>
      <c r="B373" s="5">
        <v>1764.0</v>
      </c>
      <c r="C373" s="5">
        <v>18.1</v>
      </c>
      <c r="D373" s="5">
        <v>12.8</v>
      </c>
      <c r="H373" s="5">
        <v>9.07</v>
      </c>
      <c r="I373" s="5">
        <v>0.68</v>
      </c>
    </row>
    <row r="374">
      <c r="A374" s="4"/>
    </row>
    <row r="375">
      <c r="A375" s="4" t="s">
        <v>857</v>
      </c>
      <c r="B375" s="5">
        <v>1792.0</v>
      </c>
      <c r="C375" s="5">
        <v>24.1</v>
      </c>
      <c r="D375" s="5">
        <v>17.8</v>
      </c>
      <c r="H375" s="5">
        <v>14.56</v>
      </c>
      <c r="I375" s="5">
        <v>3.96</v>
      </c>
    </row>
    <row r="376">
      <c r="A376" s="4" t="s">
        <v>858</v>
      </c>
      <c r="B376" s="5">
        <v>1789.0</v>
      </c>
      <c r="C376" s="5">
        <v>27.7</v>
      </c>
      <c r="D376" s="5">
        <v>18.8</v>
      </c>
      <c r="H376" s="5">
        <v>12.46</v>
      </c>
      <c r="I376" s="5">
        <v>2.37</v>
      </c>
    </row>
    <row r="377">
      <c r="A377" s="4" t="s">
        <v>861</v>
      </c>
      <c r="B377" s="5">
        <v>1791.0</v>
      </c>
      <c r="C377" s="5">
        <v>33.1</v>
      </c>
      <c r="D377" s="5">
        <v>22.3</v>
      </c>
      <c r="H377" s="5">
        <v>9.58</v>
      </c>
      <c r="I377" s="5">
        <v>0.89</v>
      </c>
    </row>
    <row r="378">
      <c r="A378" s="4" t="s">
        <v>862</v>
      </c>
      <c r="B378" s="5">
        <v>1788.0</v>
      </c>
      <c r="C378" s="5">
        <v>27.1</v>
      </c>
      <c r="D378" s="5">
        <v>20.1</v>
      </c>
      <c r="H378" s="5">
        <v>11.17</v>
      </c>
      <c r="I378" s="5">
        <v>0.97</v>
      </c>
    </row>
    <row r="379">
      <c r="A379" s="4" t="s">
        <v>859</v>
      </c>
      <c r="B379" s="5">
        <v>1785.0</v>
      </c>
      <c r="C379" s="5">
        <v>30.9</v>
      </c>
      <c r="D379" s="5">
        <v>18.5</v>
      </c>
      <c r="H379" s="5">
        <v>12.85</v>
      </c>
      <c r="I379" s="5">
        <v>1.46</v>
      </c>
    </row>
    <row r="380">
      <c r="A380" s="4" t="s">
        <v>863</v>
      </c>
      <c r="B380" s="5">
        <v>1782.0</v>
      </c>
      <c r="C380" s="5">
        <v>22.3</v>
      </c>
      <c r="D380" s="5">
        <v>14.3</v>
      </c>
      <c r="H380" s="5">
        <v>10.78</v>
      </c>
      <c r="I380" s="5">
        <v>0.92</v>
      </c>
    </row>
    <row r="381">
      <c r="A381" s="4" t="s">
        <v>864</v>
      </c>
      <c r="B381" s="5">
        <v>1787.0</v>
      </c>
      <c r="C381" s="5">
        <v>26.2</v>
      </c>
      <c r="D381" s="5">
        <v>20.4</v>
      </c>
      <c r="H381" s="5">
        <v>8.81</v>
      </c>
      <c r="I381" s="5">
        <v>0.52</v>
      </c>
    </row>
    <row r="382">
      <c r="A382" s="4" t="s">
        <v>860</v>
      </c>
      <c r="B382" s="5">
        <v>1790.0</v>
      </c>
      <c r="C382" s="5">
        <v>33.2</v>
      </c>
      <c r="D382" s="5">
        <v>24.3</v>
      </c>
      <c r="H382" s="5">
        <v>6.41</v>
      </c>
      <c r="I382" s="5">
        <v>0.8</v>
      </c>
    </row>
    <row r="383">
      <c r="A383" s="4" t="s">
        <v>866</v>
      </c>
      <c r="B383" s="5">
        <v>1786.0</v>
      </c>
      <c r="C383" s="5">
        <v>20.4</v>
      </c>
      <c r="D383" s="5">
        <v>16.5</v>
      </c>
      <c r="H383" s="5">
        <v>10.98</v>
      </c>
      <c r="I383" s="5">
        <v>0.91</v>
      </c>
    </row>
    <row r="384">
      <c r="A384" s="4" t="s">
        <v>865</v>
      </c>
      <c r="B384" s="5">
        <v>1784.0</v>
      </c>
      <c r="C384" s="5">
        <v>18.0</v>
      </c>
      <c r="D384" s="5">
        <v>16.6</v>
      </c>
      <c r="H384" s="5">
        <v>11.25</v>
      </c>
      <c r="I384" s="5">
        <v>1.07</v>
      </c>
    </row>
    <row r="385">
      <c r="A385" s="4" t="s">
        <v>873</v>
      </c>
      <c r="B385" s="5">
        <v>1781.0</v>
      </c>
      <c r="C385" s="5">
        <v>22.6</v>
      </c>
      <c r="D385" s="5">
        <v>16.1</v>
      </c>
      <c r="H385" s="5">
        <v>11.46</v>
      </c>
      <c r="I385" s="5">
        <v>0.95</v>
      </c>
    </row>
    <row r="386">
      <c r="A386" s="4" t="s">
        <v>867</v>
      </c>
      <c r="B386" s="5">
        <v>1779.0</v>
      </c>
      <c r="C386" s="5">
        <v>30.0</v>
      </c>
      <c r="D386" s="5">
        <v>19.2</v>
      </c>
      <c r="H386" s="5">
        <v>9.59</v>
      </c>
      <c r="I386" s="5">
        <v>0.7</v>
      </c>
    </row>
    <row r="387">
      <c r="A387" s="4" t="s">
        <v>869</v>
      </c>
      <c r="B387" s="5">
        <v>1778.0</v>
      </c>
      <c r="C387" s="5">
        <v>20.1</v>
      </c>
      <c r="D387" s="5">
        <v>15.2</v>
      </c>
      <c r="H387" s="5">
        <v>9.13</v>
      </c>
      <c r="I387" s="5">
        <v>0.56</v>
      </c>
    </row>
    <row r="388">
      <c r="A388" s="4" t="s">
        <v>872</v>
      </c>
      <c r="B388" s="5">
        <v>1783.0</v>
      </c>
      <c r="C388" s="5">
        <v>21.8</v>
      </c>
      <c r="D388" s="5">
        <v>18.4</v>
      </c>
      <c r="H388" s="5">
        <v>9.96</v>
      </c>
      <c r="I388" s="5">
        <v>0.61</v>
      </c>
    </row>
    <row r="389">
      <c r="A389" s="4" t="s">
        <v>871</v>
      </c>
      <c r="B389" s="5">
        <v>1780.0</v>
      </c>
      <c r="C389" s="5">
        <v>19.0</v>
      </c>
      <c r="D389" s="5">
        <v>14.3</v>
      </c>
      <c r="H389" s="5">
        <v>8.38</v>
      </c>
      <c r="I389" s="5">
        <v>0.72</v>
      </c>
    </row>
    <row r="390">
      <c r="A390" s="4"/>
    </row>
    <row r="391">
      <c r="A391" s="4" t="s">
        <v>882</v>
      </c>
      <c r="B391" s="5">
        <v>1798.0</v>
      </c>
      <c r="C391" s="5">
        <v>26.9</v>
      </c>
      <c r="D391" s="5">
        <v>17.5</v>
      </c>
      <c r="H391" s="5">
        <v>16.46</v>
      </c>
    </row>
    <row r="392">
      <c r="A392" s="4" t="s">
        <v>883</v>
      </c>
      <c r="B392" s="5">
        <v>1797.0</v>
      </c>
      <c r="C392" s="5">
        <v>25.6</v>
      </c>
      <c r="D392" s="5">
        <v>20.3</v>
      </c>
      <c r="H392" s="5">
        <v>12.91</v>
      </c>
      <c r="I392" s="5">
        <v>2.31</v>
      </c>
    </row>
    <row r="393">
      <c r="A393" s="4" t="s">
        <v>884</v>
      </c>
      <c r="B393" s="5">
        <v>1796.0</v>
      </c>
      <c r="C393" s="5">
        <v>26.2</v>
      </c>
      <c r="D393" s="5">
        <v>16.6</v>
      </c>
      <c r="H393" s="5">
        <v>11.09</v>
      </c>
      <c r="I393" s="5">
        <v>1.94</v>
      </c>
    </row>
    <row r="394">
      <c r="A394" s="4" t="s">
        <v>886</v>
      </c>
      <c r="B394" s="5">
        <v>1795.0</v>
      </c>
      <c r="C394" s="5">
        <v>21.1</v>
      </c>
      <c r="D394" s="5">
        <v>16.6</v>
      </c>
      <c r="H394" s="5">
        <v>11.94</v>
      </c>
      <c r="I394" s="5">
        <v>1.32</v>
      </c>
    </row>
    <row r="395">
      <c r="A395" s="4" t="s">
        <v>1620</v>
      </c>
      <c r="B395" s="5">
        <v>1793.0</v>
      </c>
      <c r="C395" s="5">
        <v>28.1</v>
      </c>
      <c r="D395" s="5">
        <v>18.0</v>
      </c>
      <c r="H395" s="5">
        <v>10.16</v>
      </c>
      <c r="I395" s="5">
        <v>0.64</v>
      </c>
    </row>
    <row r="396">
      <c r="A396" s="4" t="s">
        <v>891</v>
      </c>
      <c r="B396" s="5">
        <v>1794.0</v>
      </c>
      <c r="C396" s="5">
        <v>19.6</v>
      </c>
      <c r="D396" s="5">
        <v>13.6</v>
      </c>
      <c r="H396" s="5">
        <v>10.34</v>
      </c>
      <c r="I396" s="5">
        <v>0.88</v>
      </c>
    </row>
    <row r="397">
      <c r="A397" s="4"/>
    </row>
    <row r="398">
      <c r="A398" s="4" t="s">
        <v>895</v>
      </c>
    </row>
    <row r="399">
      <c r="A399" s="4" t="s">
        <v>896</v>
      </c>
    </row>
    <row r="400">
      <c r="A400" s="4" t="s">
        <v>1412</v>
      </c>
    </row>
    <row r="401">
      <c r="A401" s="4" t="s">
        <v>897</v>
      </c>
    </row>
    <row r="402">
      <c r="A402" s="4" t="s">
        <v>2082</v>
      </c>
    </row>
    <row r="403">
      <c r="A403" s="4" t="s">
        <v>898</v>
      </c>
    </row>
    <row r="404">
      <c r="A404" s="4"/>
    </row>
    <row r="405">
      <c r="A405" s="4" t="s">
        <v>915</v>
      </c>
    </row>
    <row r="406">
      <c r="A406" s="4" t="s">
        <v>916</v>
      </c>
    </row>
    <row r="407">
      <c r="A407" s="4" t="s">
        <v>917</v>
      </c>
    </row>
    <row r="408">
      <c r="A408" s="4" t="s">
        <v>920</v>
      </c>
    </row>
    <row r="409">
      <c r="A409" s="4" t="s">
        <v>918</v>
      </c>
    </row>
    <row r="410">
      <c r="A410" s="4" t="s">
        <v>919</v>
      </c>
    </row>
    <row r="411">
      <c r="A411" s="4"/>
    </row>
    <row r="412">
      <c r="A412" s="4" t="s">
        <v>930</v>
      </c>
    </row>
    <row r="413">
      <c r="A413" s="4" t="s">
        <v>931</v>
      </c>
    </row>
    <row r="414">
      <c r="A414" s="4" t="s">
        <v>932</v>
      </c>
    </row>
    <row r="415">
      <c r="A415" s="4" t="s">
        <v>934</v>
      </c>
    </row>
    <row r="416">
      <c r="A416" s="4"/>
    </row>
    <row r="417">
      <c r="A417" s="4" t="s">
        <v>961</v>
      </c>
    </row>
    <row r="418">
      <c r="A418" s="4" t="s">
        <v>962</v>
      </c>
    </row>
    <row r="419">
      <c r="A419" s="4" t="s">
        <v>963</v>
      </c>
    </row>
    <row r="420">
      <c r="A420" s="4"/>
    </row>
    <row r="421">
      <c r="A421" s="4" t="s">
        <v>983</v>
      </c>
    </row>
    <row r="422">
      <c r="A422" s="4"/>
    </row>
    <row r="423">
      <c r="A423" s="4" t="s">
        <v>1010</v>
      </c>
    </row>
    <row r="424">
      <c r="A424" s="4"/>
    </row>
    <row r="425">
      <c r="A425" s="4" t="s">
        <v>1025</v>
      </c>
    </row>
    <row r="426">
      <c r="A426" s="4"/>
    </row>
    <row r="427">
      <c r="A427" s="4" t="s">
        <v>1040</v>
      </c>
    </row>
    <row r="428">
      <c r="A428" s="4"/>
    </row>
    <row r="429">
      <c r="A429" s="4" t="s">
        <v>1065</v>
      </c>
    </row>
    <row r="430">
      <c r="A430" s="4"/>
    </row>
    <row r="431">
      <c r="A431" s="4" t="s">
        <v>1082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1416</v>
      </c>
      <c r="G1" s="2" t="s">
        <v>5</v>
      </c>
      <c r="H1" s="2" t="s">
        <v>6</v>
      </c>
      <c r="I1" s="2" t="s">
        <v>7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A2" s="4" t="s">
        <v>8</v>
      </c>
      <c r="B2" s="5">
        <v>1882.0</v>
      </c>
      <c r="C2" s="5">
        <v>19.4</v>
      </c>
      <c r="D2" s="5">
        <v>12.0</v>
      </c>
      <c r="G2" s="5">
        <v>17.21</v>
      </c>
      <c r="H2" s="26">
        <v>4.0</v>
      </c>
      <c r="I2" s="5">
        <v>6.67</v>
      </c>
    </row>
    <row r="3">
      <c r="A3" s="4" t="s">
        <v>9</v>
      </c>
      <c r="B3" s="5">
        <v>1880.0</v>
      </c>
      <c r="C3" s="5">
        <v>21.5</v>
      </c>
      <c r="D3" s="5">
        <v>15.1</v>
      </c>
      <c r="G3" s="5">
        <v>16.18</v>
      </c>
      <c r="I3" s="5">
        <v>4.95</v>
      </c>
      <c r="K3" s="2" t="s">
        <v>10</v>
      </c>
    </row>
    <row r="4">
      <c r="A4" s="4" t="s">
        <v>11</v>
      </c>
      <c r="B4" s="5">
        <v>1879.0</v>
      </c>
      <c r="C4" s="5">
        <v>19.8</v>
      </c>
      <c r="D4" s="5">
        <v>20.1</v>
      </c>
      <c r="G4" s="5">
        <v>13.06</v>
      </c>
      <c r="I4" s="5">
        <v>2.99</v>
      </c>
      <c r="K4" s="6">
        <f>counta(I2:I1002)</f>
        <v>173</v>
      </c>
    </row>
    <row r="5">
      <c r="A5" s="4" t="s">
        <v>13</v>
      </c>
      <c r="B5" s="5">
        <v>1881.0</v>
      </c>
      <c r="C5" s="5">
        <v>16.1</v>
      </c>
      <c r="D5" s="5">
        <v>20.5</v>
      </c>
      <c r="G5" s="5">
        <v>16.48</v>
      </c>
      <c r="I5" s="5">
        <v>4.86</v>
      </c>
    </row>
    <row r="6">
      <c r="A6" s="4" t="s">
        <v>17</v>
      </c>
      <c r="B6" s="5">
        <v>1876.0</v>
      </c>
      <c r="C6" s="5">
        <v>21.5</v>
      </c>
      <c r="D6" s="5">
        <v>19.6</v>
      </c>
      <c r="G6" s="5">
        <v>11.64</v>
      </c>
      <c r="I6" s="5">
        <v>2.17</v>
      </c>
      <c r="K6" s="2" t="s">
        <v>14</v>
      </c>
    </row>
    <row r="7">
      <c r="A7" s="4" t="s">
        <v>15</v>
      </c>
      <c r="B7" s="5">
        <v>1874.0</v>
      </c>
      <c r="C7" s="5">
        <v>23.9</v>
      </c>
      <c r="D7" s="5">
        <v>18.4</v>
      </c>
      <c r="G7" s="5">
        <v>9.23</v>
      </c>
      <c r="I7" s="5">
        <v>1.43</v>
      </c>
      <c r="K7" s="6">
        <f>counta(I2:I84)</f>
        <v>47</v>
      </c>
    </row>
    <row r="8">
      <c r="A8" s="4" t="s">
        <v>1631</v>
      </c>
      <c r="B8" s="5">
        <v>1878.0</v>
      </c>
      <c r="C8" s="5">
        <v>6.6</v>
      </c>
      <c r="D8" s="5">
        <v>8.9</v>
      </c>
      <c r="G8" s="5">
        <v>9.42</v>
      </c>
      <c r="I8" s="5">
        <v>0.72</v>
      </c>
      <c r="K8" s="6">
        <f>sum(I2:I84)/K7</f>
        <v>1.573617021</v>
      </c>
    </row>
    <row r="9">
      <c r="A9" s="4" t="s">
        <v>1633</v>
      </c>
      <c r="B9" s="5">
        <v>1873.0</v>
      </c>
      <c r="C9" s="5">
        <v>15.8</v>
      </c>
      <c r="D9" s="5">
        <v>21.0</v>
      </c>
      <c r="G9" s="5">
        <v>9.01</v>
      </c>
      <c r="I9" s="5">
        <v>0.45</v>
      </c>
    </row>
    <row r="10">
      <c r="A10" s="4" t="s">
        <v>30</v>
      </c>
      <c r="B10" s="5">
        <v>1867.0</v>
      </c>
      <c r="C10" s="5">
        <v>17.2</v>
      </c>
      <c r="D10" s="5">
        <v>15.4</v>
      </c>
      <c r="G10" s="5">
        <v>11.11</v>
      </c>
      <c r="I10" s="5">
        <v>1.18</v>
      </c>
    </row>
    <row r="11">
      <c r="A11" s="4" t="s">
        <v>1632</v>
      </c>
      <c r="B11" s="5">
        <v>1877.0</v>
      </c>
      <c r="C11" s="5">
        <v>21.8</v>
      </c>
      <c r="D11" s="5">
        <v>15.0</v>
      </c>
      <c r="G11" s="5">
        <v>10.86</v>
      </c>
      <c r="I11" s="5">
        <v>0.97</v>
      </c>
    </row>
    <row r="12">
      <c r="A12" s="4" t="s">
        <v>24</v>
      </c>
      <c r="B12" s="5">
        <v>1875.0</v>
      </c>
      <c r="C12" s="5">
        <v>23.2</v>
      </c>
      <c r="D12" s="5">
        <v>14.5</v>
      </c>
      <c r="G12" s="5">
        <v>9.35</v>
      </c>
      <c r="I12" s="5">
        <v>1.28</v>
      </c>
    </row>
    <row r="13">
      <c r="A13" s="4" t="s">
        <v>1634</v>
      </c>
      <c r="B13" s="5">
        <v>1872.0</v>
      </c>
      <c r="C13" s="5">
        <v>18.3</v>
      </c>
      <c r="D13" s="5">
        <v>16.5</v>
      </c>
      <c r="G13" s="5">
        <v>8.9</v>
      </c>
      <c r="I13" s="5">
        <v>0.59</v>
      </c>
    </row>
    <row r="14">
      <c r="A14" s="4" t="s">
        <v>1207</v>
      </c>
      <c r="B14" s="5">
        <v>1866.0</v>
      </c>
      <c r="C14" s="5">
        <v>9.3</v>
      </c>
      <c r="D14" s="5">
        <v>10.2</v>
      </c>
      <c r="G14" s="5">
        <v>4.39</v>
      </c>
      <c r="I14" s="5">
        <v>0.29</v>
      </c>
    </row>
    <row r="15">
      <c r="A15" s="4" t="s">
        <v>34</v>
      </c>
      <c r="B15" s="5">
        <v>1869.0</v>
      </c>
      <c r="C15" s="5">
        <v>14.0</v>
      </c>
      <c r="D15" s="5">
        <v>10.1</v>
      </c>
      <c r="G15" s="5">
        <v>8.8</v>
      </c>
      <c r="I15" s="5">
        <v>0.99</v>
      </c>
    </row>
    <row r="16">
      <c r="A16" s="4" t="s">
        <v>1638</v>
      </c>
      <c r="B16" s="5">
        <v>1871.0</v>
      </c>
      <c r="C16" s="5">
        <v>10.2</v>
      </c>
      <c r="D16" s="5">
        <v>10.9</v>
      </c>
      <c r="G16" s="5">
        <v>6.39</v>
      </c>
      <c r="I16" s="5">
        <v>0.49</v>
      </c>
    </row>
    <row r="17">
      <c r="A17" s="4" t="s">
        <v>48</v>
      </c>
      <c r="B17" s="5">
        <v>1868.0</v>
      </c>
      <c r="C17" s="5">
        <v>5.3</v>
      </c>
      <c r="D17" s="5">
        <v>7.0</v>
      </c>
      <c r="I17" s="5">
        <v>0.19</v>
      </c>
    </row>
    <row r="18">
      <c r="A18" s="4" t="s">
        <v>1644</v>
      </c>
      <c r="B18" s="5">
        <v>1870.0</v>
      </c>
      <c r="C18" s="5">
        <v>5.4</v>
      </c>
      <c r="D18" s="5">
        <v>7.1</v>
      </c>
      <c r="G18" s="5">
        <v>3.87</v>
      </c>
      <c r="I18" s="5">
        <v>0.11</v>
      </c>
    </row>
    <row r="19">
      <c r="A19" s="4"/>
    </row>
    <row r="20">
      <c r="A20" s="4" t="s">
        <v>50</v>
      </c>
    </row>
    <row r="21">
      <c r="A21" s="4" t="s">
        <v>51</v>
      </c>
    </row>
    <row r="22">
      <c r="A22" s="4" t="s">
        <v>52</v>
      </c>
    </row>
    <row r="23">
      <c r="A23" s="4"/>
    </row>
    <row r="24">
      <c r="A24" s="4" t="s">
        <v>93</v>
      </c>
      <c r="B24" s="5">
        <v>1891.0</v>
      </c>
      <c r="C24" s="5">
        <v>20.2</v>
      </c>
      <c r="D24" s="5">
        <v>20.6</v>
      </c>
      <c r="G24" s="5">
        <v>15.08</v>
      </c>
      <c r="I24" s="5">
        <v>3.71</v>
      </c>
    </row>
    <row r="25">
      <c r="A25" s="4" t="s">
        <v>1231</v>
      </c>
      <c r="B25" s="5">
        <v>1888.0</v>
      </c>
      <c r="C25" s="5">
        <v>24.6</v>
      </c>
      <c r="D25" s="5">
        <v>19.6</v>
      </c>
      <c r="G25" s="5">
        <v>11.34</v>
      </c>
      <c r="I25" s="5">
        <v>1.83</v>
      </c>
    </row>
    <row r="26">
      <c r="A26" s="4" t="s">
        <v>97</v>
      </c>
      <c r="B26" s="5">
        <v>1889.0</v>
      </c>
      <c r="C26" s="5">
        <v>18.3</v>
      </c>
      <c r="D26" s="5">
        <v>18.5</v>
      </c>
      <c r="G26" s="5">
        <v>9.71</v>
      </c>
      <c r="I26" s="5">
        <v>0.69</v>
      </c>
    </row>
    <row r="27">
      <c r="A27" s="4" t="s">
        <v>104</v>
      </c>
      <c r="B27" s="5">
        <v>1887.0</v>
      </c>
      <c r="C27" s="5">
        <v>15.9</v>
      </c>
      <c r="D27" s="5">
        <v>15.6</v>
      </c>
      <c r="G27" s="5">
        <v>6.1</v>
      </c>
      <c r="I27" s="5">
        <v>0.48</v>
      </c>
    </row>
    <row r="28">
      <c r="A28" s="4" t="s">
        <v>1233</v>
      </c>
      <c r="B28" s="5">
        <v>1885.0</v>
      </c>
      <c r="C28" s="5">
        <v>20.2</v>
      </c>
      <c r="D28" s="5">
        <v>14.2</v>
      </c>
      <c r="G28" s="5">
        <v>6.69</v>
      </c>
      <c r="I28" s="5">
        <v>0.78</v>
      </c>
    </row>
    <row r="29">
      <c r="A29" s="4" t="s">
        <v>1428</v>
      </c>
      <c r="B29" s="5">
        <v>1890.0</v>
      </c>
      <c r="C29" s="5">
        <v>15.1</v>
      </c>
      <c r="D29" s="5">
        <v>18.3</v>
      </c>
      <c r="G29" s="5">
        <v>9.08</v>
      </c>
      <c r="I29" s="5">
        <v>0.66</v>
      </c>
    </row>
    <row r="30">
      <c r="A30" s="4" t="s">
        <v>105</v>
      </c>
      <c r="B30" s="5">
        <v>1886.0</v>
      </c>
      <c r="C30" s="5">
        <v>12.1</v>
      </c>
      <c r="D30" s="5">
        <v>8.7</v>
      </c>
      <c r="G30" s="5">
        <v>7.71</v>
      </c>
      <c r="I30" s="5">
        <v>0.7</v>
      </c>
    </row>
    <row r="31">
      <c r="A31" s="4" t="s">
        <v>1234</v>
      </c>
      <c r="B31" s="5">
        <v>1884.0</v>
      </c>
      <c r="C31" s="5">
        <v>12.2</v>
      </c>
      <c r="D31" s="5">
        <v>12.8</v>
      </c>
      <c r="G31" s="5">
        <v>7.37</v>
      </c>
      <c r="I31" s="5">
        <v>0.76</v>
      </c>
    </row>
    <row r="32">
      <c r="A32" s="4" t="s">
        <v>1235</v>
      </c>
      <c r="B32" s="5">
        <v>1883.0</v>
      </c>
      <c r="C32" s="5">
        <v>7.1</v>
      </c>
      <c r="D32" s="5">
        <v>8.1</v>
      </c>
      <c r="G32" s="5">
        <v>5.15</v>
      </c>
      <c r="I32" s="5">
        <v>0.18</v>
      </c>
    </row>
    <row r="33">
      <c r="A33" s="4"/>
    </row>
    <row r="34">
      <c r="A34" s="4" t="s">
        <v>128</v>
      </c>
      <c r="B34" s="5">
        <v>1898.0</v>
      </c>
      <c r="C34" s="5">
        <v>20.4</v>
      </c>
      <c r="D34" s="5">
        <v>16.4</v>
      </c>
      <c r="G34" s="5">
        <v>18.22</v>
      </c>
      <c r="I34" s="5">
        <v>6.1</v>
      </c>
    </row>
    <row r="35">
      <c r="A35" s="4" t="s">
        <v>129</v>
      </c>
      <c r="B35" s="5">
        <v>1897.0</v>
      </c>
      <c r="C35" s="5">
        <v>26.4</v>
      </c>
      <c r="D35" s="5">
        <v>24.0</v>
      </c>
      <c r="G35" s="5">
        <v>11.77</v>
      </c>
      <c r="I35" s="5">
        <v>3.29</v>
      </c>
    </row>
    <row r="36">
      <c r="A36" s="4" t="s">
        <v>136</v>
      </c>
      <c r="B36" s="5">
        <v>1894.0</v>
      </c>
      <c r="C36" s="5">
        <v>26.6</v>
      </c>
      <c r="D36" s="5">
        <v>18.1</v>
      </c>
      <c r="G36" s="5">
        <v>8.62</v>
      </c>
      <c r="I36" s="5">
        <v>1.19</v>
      </c>
    </row>
    <row r="37">
      <c r="A37" s="4" t="s">
        <v>137</v>
      </c>
      <c r="B37" s="5">
        <v>1893.0</v>
      </c>
      <c r="C37" s="5">
        <v>15.7</v>
      </c>
      <c r="D37" s="5">
        <v>13.6</v>
      </c>
      <c r="G37" s="5">
        <v>7.11</v>
      </c>
      <c r="I37" s="5">
        <v>0.75</v>
      </c>
    </row>
    <row r="38">
      <c r="A38" s="4" t="s">
        <v>1239</v>
      </c>
      <c r="B38" s="5">
        <v>1896.0</v>
      </c>
      <c r="C38" s="5">
        <v>17.1</v>
      </c>
      <c r="D38" s="5">
        <v>19.4</v>
      </c>
      <c r="G38" s="5">
        <v>8.35</v>
      </c>
      <c r="I38" s="5">
        <v>0.56</v>
      </c>
    </row>
    <row r="39">
      <c r="A39" s="4" t="s">
        <v>139</v>
      </c>
      <c r="B39" s="5">
        <v>1892.0</v>
      </c>
      <c r="C39" s="5">
        <v>12.3</v>
      </c>
      <c r="D39" s="5">
        <v>11.6</v>
      </c>
      <c r="G39" s="5">
        <v>5.93</v>
      </c>
      <c r="I39" s="5">
        <v>0.62</v>
      </c>
    </row>
    <row r="40">
      <c r="A40" s="4" t="s">
        <v>1240</v>
      </c>
      <c r="B40" s="5">
        <v>1895.0</v>
      </c>
      <c r="C40" s="5">
        <v>17.4</v>
      </c>
      <c r="D40" s="5">
        <v>10.6</v>
      </c>
      <c r="G40" s="5">
        <v>8.13</v>
      </c>
    </row>
    <row r="41">
      <c r="A41" s="4"/>
    </row>
    <row r="42">
      <c r="A42" s="4" t="s">
        <v>162</v>
      </c>
      <c r="B42" s="5">
        <v>1903.0</v>
      </c>
      <c r="C42" s="5">
        <v>24.2</v>
      </c>
      <c r="D42" s="5">
        <v>13.8</v>
      </c>
      <c r="G42" s="5">
        <v>17.32</v>
      </c>
      <c r="I42" s="5">
        <v>5.12</v>
      </c>
    </row>
    <row r="43">
      <c r="A43" s="4" t="s">
        <v>163</v>
      </c>
      <c r="B43" s="5">
        <v>1902.0</v>
      </c>
      <c r="C43" s="5">
        <v>25.6</v>
      </c>
      <c r="D43" s="5">
        <v>25.0</v>
      </c>
      <c r="G43" s="5">
        <v>11.91</v>
      </c>
      <c r="I43" s="5">
        <v>0.72</v>
      </c>
    </row>
    <row r="44">
      <c r="A44" s="4" t="s">
        <v>165</v>
      </c>
      <c r="B44" s="5">
        <v>1901.0</v>
      </c>
      <c r="C44" s="5">
        <v>23.7</v>
      </c>
      <c r="D44" s="5">
        <v>18.2</v>
      </c>
      <c r="G44" s="5">
        <v>6.73</v>
      </c>
    </row>
    <row r="45">
      <c r="A45" s="4" t="s">
        <v>166</v>
      </c>
      <c r="B45" s="5">
        <v>1900.0</v>
      </c>
      <c r="C45" s="5">
        <v>17.9</v>
      </c>
      <c r="D45" s="5">
        <v>13.3</v>
      </c>
      <c r="G45" s="5">
        <v>8.21</v>
      </c>
      <c r="I45" s="5">
        <v>1.1</v>
      </c>
    </row>
    <row r="46">
      <c r="A46" s="4" t="s">
        <v>170</v>
      </c>
      <c r="B46" s="5">
        <v>1899.0</v>
      </c>
      <c r="C46" s="5">
        <v>11.1</v>
      </c>
      <c r="D46" s="5">
        <v>10.7</v>
      </c>
      <c r="G46" s="5">
        <v>7.05</v>
      </c>
      <c r="I46" s="5">
        <v>0.54</v>
      </c>
    </row>
    <row r="47">
      <c r="A47" s="4"/>
    </row>
    <row r="48">
      <c r="A48" s="4" t="s">
        <v>183</v>
      </c>
      <c r="B48" s="5">
        <v>1911.0</v>
      </c>
      <c r="C48" s="5">
        <v>19.8</v>
      </c>
      <c r="D48" s="5">
        <v>14.2</v>
      </c>
      <c r="G48" s="5">
        <v>12.52</v>
      </c>
      <c r="I48" s="5">
        <v>4.67</v>
      </c>
    </row>
    <row r="49">
      <c r="A49" s="4" t="s">
        <v>184</v>
      </c>
      <c r="B49" s="5">
        <v>1910.0</v>
      </c>
      <c r="C49" s="5">
        <v>23.7</v>
      </c>
      <c r="D49" s="5">
        <v>27.2</v>
      </c>
      <c r="G49" s="5">
        <v>10.73</v>
      </c>
      <c r="I49" s="5">
        <v>2.57</v>
      </c>
    </row>
    <row r="50">
      <c r="A50" s="4" t="s">
        <v>185</v>
      </c>
      <c r="B50" s="5">
        <v>1909.0</v>
      </c>
      <c r="C50" s="5">
        <v>24.8</v>
      </c>
      <c r="D50" s="5">
        <v>18.6</v>
      </c>
      <c r="G50" s="5">
        <v>9.89</v>
      </c>
      <c r="I50" s="5">
        <v>1.43</v>
      </c>
    </row>
    <row r="51">
      <c r="A51" s="9" t="s">
        <v>2108</v>
      </c>
      <c r="B51" s="5">
        <v>1908.0</v>
      </c>
      <c r="C51" s="5">
        <v>19.7</v>
      </c>
      <c r="D51" s="5">
        <v>13.5</v>
      </c>
      <c r="G51" s="5">
        <v>7.76</v>
      </c>
      <c r="I51" s="5">
        <v>0.88</v>
      </c>
    </row>
    <row r="52">
      <c r="A52" s="4" t="s">
        <v>186</v>
      </c>
      <c r="B52" s="5">
        <v>1906.0</v>
      </c>
      <c r="C52" s="5">
        <v>16.7</v>
      </c>
      <c r="D52" s="5">
        <v>22.3</v>
      </c>
      <c r="G52" s="5">
        <v>8.38</v>
      </c>
      <c r="I52" s="5">
        <v>0.64</v>
      </c>
    </row>
    <row r="53">
      <c r="A53" s="4" t="s">
        <v>195</v>
      </c>
      <c r="B53" s="5">
        <v>1907.0</v>
      </c>
      <c r="C53" s="5">
        <v>11.7</v>
      </c>
      <c r="D53" s="5">
        <v>10.1</v>
      </c>
      <c r="G53" s="5">
        <v>7.2</v>
      </c>
      <c r="I53" s="5">
        <v>0.53</v>
      </c>
    </row>
    <row r="54">
      <c r="A54" s="9" t="s">
        <v>191</v>
      </c>
      <c r="B54" s="5">
        <v>1905.0</v>
      </c>
      <c r="C54" s="5">
        <v>18.9</v>
      </c>
      <c r="D54" s="5">
        <v>12.8</v>
      </c>
      <c r="G54" s="5">
        <v>9.17</v>
      </c>
      <c r="I54" s="5">
        <v>0.77</v>
      </c>
    </row>
    <row r="55">
      <c r="A55" s="4" t="s">
        <v>193</v>
      </c>
      <c r="B55" s="5">
        <v>1904.0</v>
      </c>
      <c r="C55" s="5">
        <v>14.4</v>
      </c>
      <c r="D55" s="5">
        <v>13.2</v>
      </c>
      <c r="G55" s="5">
        <v>6.88</v>
      </c>
      <c r="I55" s="5">
        <v>0.43</v>
      </c>
    </row>
    <row r="56">
      <c r="A56" s="4"/>
    </row>
    <row r="57">
      <c r="A57" s="4" t="s">
        <v>199</v>
      </c>
    </row>
    <row r="58">
      <c r="A58" s="4" t="s">
        <v>200</v>
      </c>
    </row>
    <row r="59">
      <c r="A59" s="4" t="s">
        <v>201</v>
      </c>
    </row>
    <row r="60">
      <c r="A60" s="4"/>
    </row>
    <row r="61">
      <c r="A61" s="4" t="s">
        <v>1251</v>
      </c>
      <c r="B61" s="5">
        <v>1914.0</v>
      </c>
      <c r="C61" s="5">
        <v>23.8</v>
      </c>
      <c r="D61" s="5">
        <v>13.6</v>
      </c>
      <c r="G61" s="5">
        <v>8.31</v>
      </c>
      <c r="I61" s="5">
        <v>0.65</v>
      </c>
    </row>
    <row r="62">
      <c r="A62" s="4" t="s">
        <v>1252</v>
      </c>
      <c r="B62" s="5">
        <v>1913.0</v>
      </c>
      <c r="C62" s="5">
        <v>18.7</v>
      </c>
      <c r="D62" s="5">
        <v>15.9</v>
      </c>
      <c r="G62" s="5">
        <v>8.8</v>
      </c>
      <c r="I62" s="5">
        <v>0.61</v>
      </c>
    </row>
    <row r="63">
      <c r="A63" s="4" t="s">
        <v>1253</v>
      </c>
      <c r="B63" s="5">
        <v>1912.0</v>
      </c>
      <c r="C63" s="5">
        <v>16.2</v>
      </c>
      <c r="D63" s="5">
        <v>13.6</v>
      </c>
      <c r="G63" s="5">
        <v>10.23</v>
      </c>
      <c r="I63" s="5">
        <v>0.67</v>
      </c>
    </row>
    <row r="64">
      <c r="A64" s="4"/>
    </row>
    <row r="65">
      <c r="A65" s="4" t="s">
        <v>237</v>
      </c>
    </row>
    <row r="66">
      <c r="A66" s="4" t="s">
        <v>238</v>
      </c>
    </row>
    <row r="67">
      <c r="A67" s="4" t="s">
        <v>241</v>
      </c>
    </row>
    <row r="68">
      <c r="A68" s="4"/>
    </row>
    <row r="69">
      <c r="A69" s="4" t="s">
        <v>250</v>
      </c>
    </row>
    <row r="70">
      <c r="A70" s="4" t="s">
        <v>251</v>
      </c>
    </row>
    <row r="71">
      <c r="A71" s="4"/>
    </row>
    <row r="72">
      <c r="A72" s="4" t="s">
        <v>2109</v>
      </c>
    </row>
    <row r="73">
      <c r="A73" s="4" t="s">
        <v>2110</v>
      </c>
    </row>
    <row r="74">
      <c r="A74" s="4" t="s">
        <v>2111</v>
      </c>
    </row>
    <row r="75">
      <c r="A75" s="4"/>
    </row>
    <row r="76">
      <c r="A76" s="4" t="s">
        <v>273</v>
      </c>
    </row>
    <row r="77">
      <c r="A77" s="4" t="s">
        <v>274</v>
      </c>
    </row>
    <row r="78">
      <c r="A78" s="4"/>
    </row>
    <row r="79">
      <c r="A79" s="4" t="s">
        <v>1697</v>
      </c>
    </row>
    <row r="80">
      <c r="A80" s="4" t="s">
        <v>1698</v>
      </c>
    </row>
    <row r="81">
      <c r="A81" s="4"/>
    </row>
    <row r="82">
      <c r="A82" s="4" t="s">
        <v>1700</v>
      </c>
    </row>
    <row r="83">
      <c r="A83" s="4"/>
    </row>
    <row r="84">
      <c r="A84" s="4" t="s">
        <v>300</v>
      </c>
    </row>
    <row r="85">
      <c r="A85" s="4"/>
    </row>
    <row r="86">
      <c r="A86" s="4" t="s">
        <v>329</v>
      </c>
      <c r="B86" s="5">
        <v>1943.0</v>
      </c>
      <c r="C86" s="5">
        <v>22.4</v>
      </c>
      <c r="D86" s="5">
        <v>9.8</v>
      </c>
      <c r="G86" s="5">
        <v>23.98</v>
      </c>
      <c r="H86" s="5">
        <v>2.0</v>
      </c>
      <c r="I86" s="5">
        <v>11.89</v>
      </c>
      <c r="K86" s="2" t="s">
        <v>14</v>
      </c>
    </row>
    <row r="87">
      <c r="A87" s="4" t="s">
        <v>330</v>
      </c>
      <c r="B87" s="5">
        <v>1939.0</v>
      </c>
      <c r="C87" s="5">
        <v>17.6</v>
      </c>
      <c r="D87" s="5">
        <v>12.2</v>
      </c>
      <c r="G87" s="5">
        <v>16.83</v>
      </c>
      <c r="I87" s="5">
        <v>6.04</v>
      </c>
      <c r="K87" s="6">
        <f>counta(I86:I154)</f>
        <v>65</v>
      </c>
    </row>
    <row r="88">
      <c r="A88" s="4" t="s">
        <v>331</v>
      </c>
      <c r="B88" s="5">
        <v>1938.0</v>
      </c>
      <c r="C88" s="5">
        <v>25.2</v>
      </c>
      <c r="D88" s="5">
        <v>20.3</v>
      </c>
      <c r="G88" s="5">
        <v>12.41</v>
      </c>
      <c r="I88" s="5">
        <v>2.89</v>
      </c>
      <c r="K88" s="6">
        <f>sum(I86:I154)/K87</f>
        <v>1.673384615</v>
      </c>
    </row>
    <row r="89">
      <c r="A89" s="4" t="s">
        <v>1259</v>
      </c>
      <c r="B89" s="5">
        <v>1936.0</v>
      </c>
      <c r="C89" s="5">
        <v>24.1</v>
      </c>
      <c r="D89" s="5">
        <v>23.6</v>
      </c>
      <c r="G89" s="5">
        <v>9.93</v>
      </c>
      <c r="I89" s="5">
        <v>0.8</v>
      </c>
    </row>
    <row r="90">
      <c r="A90" s="4" t="s">
        <v>1258</v>
      </c>
      <c r="B90" s="5">
        <v>1941.0</v>
      </c>
      <c r="C90" s="5">
        <v>26.1</v>
      </c>
      <c r="D90" s="5">
        <v>27.2</v>
      </c>
      <c r="G90" s="5">
        <v>14.9</v>
      </c>
      <c r="I90" s="5">
        <v>3.72</v>
      </c>
    </row>
    <row r="91">
      <c r="A91" s="4" t="s">
        <v>332</v>
      </c>
      <c r="B91" s="5">
        <v>1930.0</v>
      </c>
      <c r="C91" s="5">
        <v>26.9</v>
      </c>
      <c r="D91" s="5">
        <v>18.6</v>
      </c>
      <c r="G91" s="5">
        <v>8.82</v>
      </c>
      <c r="I91" s="5">
        <v>1.74</v>
      </c>
    </row>
    <row r="92">
      <c r="A92" s="4" t="s">
        <v>1261</v>
      </c>
      <c r="B92" s="5">
        <v>1932.0</v>
      </c>
      <c r="C92" s="5">
        <v>21.2</v>
      </c>
      <c r="D92" s="5">
        <v>18.8</v>
      </c>
      <c r="G92" s="5">
        <v>10.75</v>
      </c>
      <c r="I92" s="5">
        <v>0.66</v>
      </c>
    </row>
    <row r="93">
      <c r="A93" s="4" t="s">
        <v>1263</v>
      </c>
      <c r="B93" s="5">
        <v>1933.0</v>
      </c>
      <c r="C93" s="5">
        <v>26.0</v>
      </c>
      <c r="D93" s="5">
        <v>18.2</v>
      </c>
      <c r="G93" s="5">
        <v>11.56</v>
      </c>
      <c r="I93" s="5">
        <v>1.99</v>
      </c>
    </row>
    <row r="94">
      <c r="A94" s="4" t="s">
        <v>336</v>
      </c>
      <c r="B94" s="5">
        <v>1940.0</v>
      </c>
      <c r="C94" s="5">
        <v>20.3</v>
      </c>
      <c r="D94" s="5">
        <v>27.4</v>
      </c>
      <c r="G94" s="5">
        <v>8.05</v>
      </c>
      <c r="I94" s="5">
        <v>0.68</v>
      </c>
    </row>
    <row r="95">
      <c r="A95" s="4" t="s">
        <v>345</v>
      </c>
      <c r="B95" s="5">
        <v>1927.0</v>
      </c>
      <c r="C95" s="5">
        <v>21.1</v>
      </c>
      <c r="D95" s="5">
        <v>17.0</v>
      </c>
      <c r="G95" s="5">
        <v>8.72</v>
      </c>
      <c r="I95" s="5">
        <v>1.1</v>
      </c>
    </row>
    <row r="96">
      <c r="A96" s="4" t="s">
        <v>337</v>
      </c>
      <c r="B96" s="5">
        <v>1931.0</v>
      </c>
      <c r="C96" s="5">
        <v>21.1</v>
      </c>
      <c r="D96" s="5">
        <v>22.6</v>
      </c>
      <c r="G96" s="5">
        <v>8.26</v>
      </c>
      <c r="I96" s="5">
        <v>0.71</v>
      </c>
    </row>
    <row r="97">
      <c r="A97" s="4" t="s">
        <v>333</v>
      </c>
      <c r="B97" s="5">
        <v>1937.0</v>
      </c>
      <c r="C97" s="5">
        <v>9.2</v>
      </c>
      <c r="D97" s="5">
        <v>19.9</v>
      </c>
      <c r="G97" s="5">
        <v>9.99</v>
      </c>
      <c r="I97" s="5">
        <v>0.73</v>
      </c>
    </row>
    <row r="98">
      <c r="A98" s="4" t="s">
        <v>1267</v>
      </c>
      <c r="B98" s="5">
        <v>1926.0</v>
      </c>
      <c r="C98" s="5">
        <v>20.1</v>
      </c>
      <c r="D98" s="5">
        <v>16.3</v>
      </c>
      <c r="G98" s="5">
        <v>8.67</v>
      </c>
      <c r="I98" s="5">
        <v>0.46</v>
      </c>
    </row>
    <row r="99">
      <c r="A99" s="4" t="s">
        <v>341</v>
      </c>
      <c r="B99" s="5">
        <v>1935.0</v>
      </c>
      <c r="C99" s="5">
        <v>22.1</v>
      </c>
      <c r="D99" s="5">
        <v>15.7</v>
      </c>
      <c r="G99" s="5">
        <v>9.73</v>
      </c>
      <c r="I99" s="5">
        <v>1.21</v>
      </c>
    </row>
    <row r="100">
      <c r="A100" s="4" t="s">
        <v>1269</v>
      </c>
      <c r="B100" s="5">
        <v>1921.0</v>
      </c>
      <c r="C100" s="5">
        <v>22.2</v>
      </c>
      <c r="D100" s="5">
        <v>18.4</v>
      </c>
      <c r="G100" s="5">
        <v>8.12</v>
      </c>
      <c r="I100" s="5">
        <v>10.7</v>
      </c>
    </row>
    <row r="101">
      <c r="A101" s="4" t="s">
        <v>335</v>
      </c>
      <c r="B101" s="5">
        <v>1934.0</v>
      </c>
      <c r="C101" s="5">
        <v>17.5</v>
      </c>
      <c r="D101" s="5">
        <v>23.2</v>
      </c>
      <c r="G101" s="5">
        <v>8.57</v>
      </c>
      <c r="I101" s="5">
        <v>0.67</v>
      </c>
    </row>
    <row r="102">
      <c r="A102" s="4" t="s">
        <v>1271</v>
      </c>
      <c r="B102" s="5">
        <v>1925.0</v>
      </c>
      <c r="C102" s="5">
        <v>14.7</v>
      </c>
      <c r="D102" s="5">
        <v>13.9</v>
      </c>
      <c r="G102" s="5">
        <v>7.21</v>
      </c>
      <c r="I102" s="5">
        <v>0.47</v>
      </c>
    </row>
    <row r="103">
      <c r="A103" s="4" t="s">
        <v>1280</v>
      </c>
      <c r="B103" s="5">
        <v>1916.0</v>
      </c>
      <c r="C103" s="5">
        <v>17.2</v>
      </c>
      <c r="D103" s="5">
        <v>12.7</v>
      </c>
      <c r="G103" s="5">
        <v>8.25</v>
      </c>
      <c r="I103" s="5">
        <v>0.64</v>
      </c>
    </row>
    <row r="104">
      <c r="A104" s="4" t="s">
        <v>340</v>
      </c>
      <c r="B104" s="5">
        <v>1929.0</v>
      </c>
      <c r="C104" s="5">
        <v>17.3</v>
      </c>
      <c r="D104" s="5">
        <v>13.1</v>
      </c>
      <c r="G104" s="5">
        <v>7.03</v>
      </c>
      <c r="I104" s="5">
        <v>0.49</v>
      </c>
    </row>
    <row r="105">
      <c r="A105" s="4" t="s">
        <v>343</v>
      </c>
      <c r="B105" s="5">
        <v>1928.0</v>
      </c>
      <c r="C105" s="5">
        <v>19.4</v>
      </c>
      <c r="D105" s="5">
        <v>15.7</v>
      </c>
      <c r="G105" s="5">
        <v>9.15</v>
      </c>
      <c r="I105" s="5">
        <v>1.1</v>
      </c>
    </row>
    <row r="106">
      <c r="A106" s="4" t="s">
        <v>1273</v>
      </c>
      <c r="B106" s="5">
        <v>1923.0</v>
      </c>
      <c r="C106" s="5">
        <v>13.2</v>
      </c>
      <c r="D106" s="5">
        <v>13.0</v>
      </c>
      <c r="G106" s="5">
        <v>6.73</v>
      </c>
      <c r="I106" s="5">
        <v>0.44</v>
      </c>
    </row>
    <row r="107">
      <c r="A107" s="4" t="s">
        <v>348</v>
      </c>
      <c r="B107" s="5">
        <v>1924.0</v>
      </c>
      <c r="C107" s="5">
        <v>15.2</v>
      </c>
      <c r="D107" s="5">
        <v>14.4</v>
      </c>
      <c r="G107" s="5">
        <v>7.58</v>
      </c>
      <c r="I107" s="5">
        <v>0.43</v>
      </c>
    </row>
    <row r="108">
      <c r="A108" s="4" t="s">
        <v>1275</v>
      </c>
      <c r="B108" s="5">
        <v>1917.0</v>
      </c>
      <c r="C108" s="5">
        <v>9.9</v>
      </c>
      <c r="D108" s="5">
        <v>9.8</v>
      </c>
      <c r="G108" s="5">
        <v>5.53</v>
      </c>
      <c r="I108" s="5">
        <v>0.27</v>
      </c>
    </row>
    <row r="109">
      <c r="A109" s="4" t="s">
        <v>1276</v>
      </c>
      <c r="B109" s="5">
        <v>1922.0</v>
      </c>
      <c r="C109" s="5">
        <v>10.7</v>
      </c>
      <c r="D109" s="5">
        <v>8.9</v>
      </c>
      <c r="G109" s="5">
        <v>4.7</v>
      </c>
      <c r="I109" s="5">
        <v>0.16</v>
      </c>
    </row>
    <row r="110">
      <c r="A110" s="4" t="s">
        <v>1708</v>
      </c>
      <c r="B110" s="5">
        <v>1915.0</v>
      </c>
      <c r="C110" s="5">
        <v>11.1</v>
      </c>
      <c r="D110" s="5">
        <v>10.2</v>
      </c>
      <c r="G110" s="5">
        <v>5.3</v>
      </c>
      <c r="I110" s="5">
        <v>0.3</v>
      </c>
    </row>
    <row r="111">
      <c r="A111" s="4" t="s">
        <v>346</v>
      </c>
      <c r="B111" s="5">
        <v>1920.0</v>
      </c>
      <c r="C111" s="5">
        <v>12.1</v>
      </c>
      <c r="D111" s="5">
        <v>11.4</v>
      </c>
      <c r="G111" s="5">
        <v>5.68</v>
      </c>
      <c r="I111" s="5">
        <v>0.26</v>
      </c>
    </row>
    <row r="112">
      <c r="A112" s="4" t="s">
        <v>2112</v>
      </c>
      <c r="B112" s="5">
        <v>1942.0</v>
      </c>
      <c r="C112" s="5">
        <v>5.0</v>
      </c>
      <c r="G112" s="5">
        <v>6.37</v>
      </c>
      <c r="I112" s="5">
        <v>0.34</v>
      </c>
    </row>
    <row r="113">
      <c r="A113" s="4"/>
    </row>
    <row r="114">
      <c r="A114" s="4" t="s">
        <v>356</v>
      </c>
      <c r="B114" s="5">
        <v>1965.0</v>
      </c>
      <c r="C114" s="5">
        <v>19.2</v>
      </c>
      <c r="D114" s="5">
        <v>12.2</v>
      </c>
      <c r="G114" s="5">
        <v>16.94</v>
      </c>
      <c r="I114" s="5">
        <v>10.79</v>
      </c>
    </row>
    <row r="115">
      <c r="A115" s="4" t="s">
        <v>357</v>
      </c>
      <c r="B115" s="5">
        <v>1964.0</v>
      </c>
      <c r="C115" s="5">
        <v>17.1</v>
      </c>
      <c r="D115" s="5">
        <v>15.2</v>
      </c>
      <c r="G115" s="5">
        <v>14.45</v>
      </c>
      <c r="I115" s="5">
        <v>6.19</v>
      </c>
    </row>
    <row r="116">
      <c r="A116" s="4" t="s">
        <v>1495</v>
      </c>
      <c r="B116" s="5">
        <v>1961.0</v>
      </c>
      <c r="C116" s="5">
        <v>23.9</v>
      </c>
      <c r="D116" s="5">
        <v>22.7</v>
      </c>
      <c r="G116" s="5">
        <v>11.39</v>
      </c>
      <c r="I116" s="5">
        <v>2.47</v>
      </c>
    </row>
    <row r="117">
      <c r="A117" s="4" t="s">
        <v>359</v>
      </c>
      <c r="B117" s="5">
        <v>1963.0</v>
      </c>
      <c r="C117" s="5">
        <v>26.2</v>
      </c>
      <c r="D117" s="5">
        <v>18.5</v>
      </c>
      <c r="G117" s="5">
        <v>14.22</v>
      </c>
      <c r="I117" s="5">
        <v>3.0</v>
      </c>
    </row>
    <row r="118">
      <c r="A118" s="4" t="s">
        <v>1496</v>
      </c>
      <c r="B118" s="5">
        <v>1951.0</v>
      </c>
      <c r="C118" s="5">
        <v>27.9</v>
      </c>
      <c r="D118" s="5">
        <v>19.9</v>
      </c>
      <c r="G118" s="5">
        <v>8.94</v>
      </c>
      <c r="I118" s="5">
        <v>1.24</v>
      </c>
    </row>
    <row r="119">
      <c r="A119" s="4" t="s">
        <v>1915</v>
      </c>
      <c r="B119" s="5">
        <v>1956.0</v>
      </c>
      <c r="C119" s="5">
        <v>26.8</v>
      </c>
      <c r="D119" s="5">
        <v>23.3</v>
      </c>
      <c r="G119" s="5">
        <v>6.83</v>
      </c>
      <c r="I119" s="5">
        <v>0.53</v>
      </c>
    </row>
    <row r="120">
      <c r="A120" s="4" t="s">
        <v>1841</v>
      </c>
      <c r="B120" s="5">
        <v>1959.0</v>
      </c>
      <c r="C120" s="5">
        <v>34.3</v>
      </c>
      <c r="D120" s="5">
        <v>28.6</v>
      </c>
      <c r="G120" s="5">
        <v>8.91</v>
      </c>
      <c r="I120" s="5">
        <v>0.74</v>
      </c>
    </row>
    <row r="121">
      <c r="A121" s="4" t="s">
        <v>375</v>
      </c>
      <c r="B121" s="5">
        <v>1962.0</v>
      </c>
      <c r="C121" s="5">
        <v>28.6</v>
      </c>
      <c r="D121" s="5">
        <v>18.3</v>
      </c>
      <c r="G121" s="5">
        <v>9.57</v>
      </c>
      <c r="I121" s="5">
        <v>1.28</v>
      </c>
    </row>
    <row r="122">
      <c r="A122" s="4" t="s">
        <v>1283</v>
      </c>
      <c r="B122" s="5">
        <v>1949.0</v>
      </c>
      <c r="C122" s="5">
        <v>19.4</v>
      </c>
      <c r="D122" s="5">
        <v>14.9</v>
      </c>
      <c r="G122" s="5">
        <v>7.85</v>
      </c>
      <c r="I122" s="5">
        <v>0.85</v>
      </c>
    </row>
    <row r="123">
      <c r="A123" s="4" t="s">
        <v>1281</v>
      </c>
      <c r="B123" s="5">
        <v>1957.0</v>
      </c>
      <c r="C123" s="5">
        <v>20.1</v>
      </c>
      <c r="D123" s="5">
        <v>27.2</v>
      </c>
      <c r="G123" s="5">
        <v>8.13</v>
      </c>
      <c r="I123" s="5">
        <v>0.62</v>
      </c>
    </row>
    <row r="124">
      <c r="A124" s="4" t="s">
        <v>1497</v>
      </c>
      <c r="B124" s="5">
        <v>1947.0</v>
      </c>
      <c r="C124" s="5">
        <v>22.3</v>
      </c>
      <c r="D124" s="5">
        <v>19.6</v>
      </c>
      <c r="G124" s="5">
        <v>7.15</v>
      </c>
      <c r="I124" s="5">
        <v>0.67</v>
      </c>
    </row>
    <row r="125">
      <c r="A125" s="4" t="s">
        <v>367</v>
      </c>
      <c r="B125" s="5">
        <v>1954.0</v>
      </c>
      <c r="C125" s="5">
        <v>19.0</v>
      </c>
      <c r="D125" s="5">
        <v>25.0</v>
      </c>
      <c r="G125" s="5">
        <v>6.49</v>
      </c>
      <c r="I125" s="5">
        <v>0.55</v>
      </c>
    </row>
    <row r="126">
      <c r="A126" s="4" t="s">
        <v>1918</v>
      </c>
      <c r="B126" s="5">
        <v>1955.0</v>
      </c>
      <c r="C126" s="5">
        <v>22.0</v>
      </c>
      <c r="D126" s="5">
        <v>19.9</v>
      </c>
      <c r="G126" s="5">
        <v>8.68</v>
      </c>
      <c r="I126" s="5">
        <v>0.72</v>
      </c>
    </row>
    <row r="127">
      <c r="A127" s="4" t="s">
        <v>1842</v>
      </c>
      <c r="B127" s="5">
        <v>1958.0</v>
      </c>
      <c r="C127" s="5">
        <v>26.4</v>
      </c>
      <c r="D127" s="5">
        <v>17.6</v>
      </c>
      <c r="G127" s="5">
        <v>6.91</v>
      </c>
      <c r="I127" s="5">
        <v>0.64</v>
      </c>
    </row>
    <row r="128">
      <c r="A128" s="4" t="s">
        <v>1499</v>
      </c>
      <c r="B128" s="5">
        <v>1946.0</v>
      </c>
      <c r="C128" s="5">
        <v>14.1</v>
      </c>
      <c r="D128" s="5">
        <v>15.6</v>
      </c>
      <c r="G128" s="5">
        <v>8.28</v>
      </c>
      <c r="I128" s="5">
        <v>0.71</v>
      </c>
    </row>
    <row r="129">
      <c r="A129" s="4" t="s">
        <v>1923</v>
      </c>
      <c r="B129" s="5">
        <v>1950.0</v>
      </c>
      <c r="C129" s="5">
        <v>17.2</v>
      </c>
      <c r="D129" s="5">
        <v>15.4</v>
      </c>
      <c r="G129" s="5">
        <v>6.53</v>
      </c>
      <c r="I129" s="5">
        <v>0.45</v>
      </c>
    </row>
    <row r="130">
      <c r="A130" s="4" t="s">
        <v>369</v>
      </c>
      <c r="B130" s="5">
        <v>1953.0</v>
      </c>
      <c r="C130" s="5">
        <v>14.6</v>
      </c>
      <c r="D130" s="5">
        <v>14.8</v>
      </c>
      <c r="G130" s="5">
        <v>7.1</v>
      </c>
      <c r="I130" s="5">
        <v>0.4</v>
      </c>
    </row>
    <row r="131">
      <c r="A131" s="4" t="s">
        <v>1289</v>
      </c>
      <c r="B131" s="5">
        <v>1944.0</v>
      </c>
      <c r="C131" s="5">
        <v>14.7</v>
      </c>
      <c r="D131" s="5">
        <v>14.1</v>
      </c>
      <c r="G131" s="5">
        <v>7.04</v>
      </c>
      <c r="I131" s="5">
        <v>0.64</v>
      </c>
    </row>
    <row r="132">
      <c r="A132" s="4" t="s">
        <v>1285</v>
      </c>
      <c r="B132" s="5">
        <v>1952.0</v>
      </c>
      <c r="C132" s="5">
        <v>8.3</v>
      </c>
      <c r="D132" s="5">
        <v>14.5</v>
      </c>
      <c r="G132" s="5">
        <v>6.21</v>
      </c>
      <c r="I132" s="5">
        <v>0.45</v>
      </c>
    </row>
    <row r="133">
      <c r="A133" s="4" t="s">
        <v>1284</v>
      </c>
      <c r="B133" s="5">
        <v>1960.0</v>
      </c>
      <c r="C133" s="5">
        <v>20.9</v>
      </c>
      <c r="D133" s="5">
        <v>22.0</v>
      </c>
      <c r="G133" s="5">
        <v>7.59</v>
      </c>
      <c r="I133" s="5">
        <v>0.6</v>
      </c>
    </row>
    <row r="134">
      <c r="A134" s="4" t="s">
        <v>1498</v>
      </c>
      <c r="B134" s="5">
        <v>1945.0</v>
      </c>
      <c r="C134" s="5">
        <v>14.0</v>
      </c>
      <c r="D134" s="5">
        <v>11.9</v>
      </c>
      <c r="G134" s="5">
        <v>6.77</v>
      </c>
      <c r="I134" s="5">
        <v>0.29</v>
      </c>
    </row>
    <row r="135">
      <c r="A135" s="4"/>
    </row>
    <row r="136">
      <c r="A136" s="4" t="s">
        <v>386</v>
      </c>
      <c r="B136" s="5">
        <v>1973.0</v>
      </c>
      <c r="C136" s="5">
        <v>24.8</v>
      </c>
      <c r="D136" s="5">
        <v>18.8</v>
      </c>
      <c r="G136" s="5">
        <v>18.86</v>
      </c>
      <c r="I136" s="5">
        <v>9.01</v>
      </c>
    </row>
    <row r="137">
      <c r="A137" s="4" t="s">
        <v>387</v>
      </c>
      <c r="B137" s="5">
        <v>1972.0</v>
      </c>
      <c r="C137" s="5">
        <v>26.7</v>
      </c>
      <c r="D137" s="5">
        <v>23.7</v>
      </c>
      <c r="G137" s="5">
        <v>13.08</v>
      </c>
      <c r="I137" s="5">
        <v>2.93</v>
      </c>
    </row>
    <row r="138">
      <c r="A138" s="4" t="s">
        <v>388</v>
      </c>
      <c r="B138" s="5">
        <v>1970.0</v>
      </c>
      <c r="C138" s="5">
        <v>25.1</v>
      </c>
      <c r="D138" s="5">
        <v>25.6</v>
      </c>
      <c r="G138" s="5">
        <v>7.91</v>
      </c>
      <c r="I138" s="5">
        <v>0.94</v>
      </c>
    </row>
    <row r="139">
      <c r="A139" s="4" t="s">
        <v>390</v>
      </c>
      <c r="B139" s="5">
        <v>1969.0</v>
      </c>
      <c r="C139" s="5">
        <v>16.2</v>
      </c>
      <c r="D139" s="5">
        <v>13.7</v>
      </c>
      <c r="G139" s="5">
        <v>6.51</v>
      </c>
      <c r="I139" s="5">
        <v>0.76</v>
      </c>
    </row>
    <row r="140">
      <c r="A140" s="4" t="s">
        <v>2113</v>
      </c>
      <c r="B140" s="5">
        <v>1971.0</v>
      </c>
      <c r="C140" s="5">
        <v>11.7</v>
      </c>
      <c r="D140" s="5">
        <v>6.6</v>
      </c>
      <c r="G140" s="5">
        <v>8.73</v>
      </c>
      <c r="I140" s="5">
        <v>0.54</v>
      </c>
    </row>
    <row r="141">
      <c r="A141" s="4" t="s">
        <v>391</v>
      </c>
      <c r="B141" s="5">
        <v>1968.0</v>
      </c>
      <c r="C141" s="5">
        <v>16.9</v>
      </c>
      <c r="D141" s="5">
        <v>20.7</v>
      </c>
      <c r="G141" s="5">
        <v>8.39</v>
      </c>
      <c r="I141" s="5">
        <v>0.44</v>
      </c>
    </row>
    <row r="142">
      <c r="A142" s="4" t="s">
        <v>400</v>
      </c>
      <c r="B142" s="5">
        <v>1966.0</v>
      </c>
      <c r="C142" s="5">
        <v>14.6</v>
      </c>
      <c r="D142" s="5">
        <v>11.5</v>
      </c>
      <c r="G142" s="5">
        <v>6.18</v>
      </c>
      <c r="I142" s="5">
        <v>0.46</v>
      </c>
    </row>
    <row r="143">
      <c r="A143" s="4" t="s">
        <v>397</v>
      </c>
      <c r="B143" s="5">
        <v>1967.0</v>
      </c>
      <c r="C143" s="5">
        <v>14.8</v>
      </c>
      <c r="D143" s="5">
        <v>12.3</v>
      </c>
      <c r="G143" s="5">
        <v>7.56</v>
      </c>
      <c r="I143" s="5">
        <v>0.34</v>
      </c>
    </row>
    <row r="144">
      <c r="A144" s="4" t="s">
        <v>2114</v>
      </c>
      <c r="B144" s="5">
        <v>1971.0</v>
      </c>
      <c r="C144" s="5">
        <v>14.4</v>
      </c>
      <c r="D144" s="5">
        <v>10.2</v>
      </c>
      <c r="G144" s="5">
        <v>7.31</v>
      </c>
      <c r="I144" s="5">
        <v>0.66</v>
      </c>
    </row>
    <row r="145">
      <c r="A145" s="9"/>
    </row>
    <row r="146">
      <c r="A146" s="4" t="s">
        <v>2115</v>
      </c>
      <c r="B146" s="5">
        <v>1976.0</v>
      </c>
      <c r="C146" s="5">
        <v>24.5</v>
      </c>
      <c r="D146" s="5">
        <v>26.6</v>
      </c>
      <c r="E146" s="5">
        <v>16.6</v>
      </c>
      <c r="G146" s="5">
        <v>11.36</v>
      </c>
      <c r="I146" s="5">
        <v>1.87</v>
      </c>
    </row>
    <row r="147">
      <c r="A147" s="4" t="s">
        <v>2116</v>
      </c>
      <c r="B147" s="5">
        <v>1975.0</v>
      </c>
      <c r="C147" s="5">
        <v>23.9</v>
      </c>
      <c r="D147" s="5">
        <v>17.2</v>
      </c>
      <c r="G147" s="5">
        <v>10.2</v>
      </c>
      <c r="I147" s="5">
        <v>0.96</v>
      </c>
    </row>
    <row r="148">
      <c r="A148" s="4" t="s">
        <v>2117</v>
      </c>
      <c r="B148" s="5">
        <v>1974.0</v>
      </c>
      <c r="C148" s="5">
        <v>16.2</v>
      </c>
      <c r="D148" s="5">
        <v>11.3</v>
      </c>
      <c r="G148" s="5">
        <v>6.89</v>
      </c>
      <c r="I148" s="5">
        <v>0.49</v>
      </c>
    </row>
    <row r="149">
      <c r="A149" s="4"/>
    </row>
    <row r="150">
      <c r="A150" s="4" t="s">
        <v>425</v>
      </c>
      <c r="B150" s="5">
        <v>1981.0</v>
      </c>
      <c r="C150" s="5">
        <v>17.3</v>
      </c>
      <c r="D150" s="5">
        <v>20.6</v>
      </c>
      <c r="G150" s="5">
        <v>9.33</v>
      </c>
      <c r="I150" s="5">
        <v>1.6</v>
      </c>
    </row>
    <row r="151">
      <c r="A151" s="4" t="s">
        <v>426</v>
      </c>
      <c r="B151" s="5">
        <v>1980.0</v>
      </c>
      <c r="C151" s="5">
        <v>19.6</v>
      </c>
      <c r="D151" s="5">
        <v>18.2</v>
      </c>
      <c r="G151" s="5">
        <v>8.07</v>
      </c>
      <c r="I151" s="5">
        <v>0.87</v>
      </c>
    </row>
    <row r="152">
      <c r="A152" s="4" t="s">
        <v>1318</v>
      </c>
      <c r="B152" s="5">
        <v>1978.0</v>
      </c>
      <c r="C152" s="5">
        <v>23.1</v>
      </c>
      <c r="D152" s="5">
        <v>14.7</v>
      </c>
      <c r="G152" s="5">
        <v>10.77</v>
      </c>
      <c r="I152" s="5">
        <v>0.71</v>
      </c>
    </row>
    <row r="153">
      <c r="A153" s="4" t="s">
        <v>427</v>
      </c>
      <c r="B153" s="5">
        <v>1979.0</v>
      </c>
      <c r="C153" s="5">
        <v>19.7</v>
      </c>
      <c r="D153" s="5">
        <v>14.3</v>
      </c>
      <c r="G153" s="5">
        <v>8.42</v>
      </c>
      <c r="I153" s="5">
        <v>0.63</v>
      </c>
    </row>
    <row r="154">
      <c r="A154" s="4" t="s">
        <v>1320</v>
      </c>
      <c r="B154" s="5">
        <v>1977.0</v>
      </c>
      <c r="C154" s="5">
        <v>23.8</v>
      </c>
      <c r="D154" s="5">
        <v>14.1</v>
      </c>
      <c r="G154" s="5">
        <v>9.56</v>
      </c>
      <c r="I154" s="5">
        <v>0.84</v>
      </c>
    </row>
    <row r="155">
      <c r="A155" s="4"/>
    </row>
    <row r="156">
      <c r="A156" s="21" t="s">
        <v>754</v>
      </c>
      <c r="B156" s="5">
        <v>1994.0</v>
      </c>
      <c r="C156" s="5">
        <v>26.0</v>
      </c>
      <c r="D156" s="5">
        <v>9.5</v>
      </c>
      <c r="G156" s="5">
        <v>21.14</v>
      </c>
      <c r="H156" s="5">
        <v>3.0</v>
      </c>
      <c r="I156" s="5">
        <v>10.6</v>
      </c>
      <c r="K156" s="2" t="s">
        <v>14</v>
      </c>
    </row>
    <row r="157">
      <c r="A157" s="21" t="s">
        <v>755</v>
      </c>
      <c r="B157" s="5">
        <v>1991.0</v>
      </c>
      <c r="C157" s="5">
        <v>21.1</v>
      </c>
      <c r="D157" s="5">
        <v>14.1</v>
      </c>
      <c r="G157" s="5">
        <v>13.33</v>
      </c>
      <c r="I157" s="5">
        <v>4.43</v>
      </c>
      <c r="K157" s="6">
        <f>counta(I156:I268)</f>
        <v>61</v>
      </c>
    </row>
    <row r="158">
      <c r="A158" s="21" t="s">
        <v>756</v>
      </c>
      <c r="B158" s="5">
        <v>1985.0</v>
      </c>
      <c r="C158" s="5">
        <v>20.9</v>
      </c>
      <c r="D158" s="5">
        <v>18.1</v>
      </c>
      <c r="G158" s="5">
        <v>10.8</v>
      </c>
      <c r="I158" s="5">
        <v>3.35</v>
      </c>
      <c r="J158" s="5" t="s">
        <v>1913</v>
      </c>
      <c r="K158" s="6">
        <f>sum(I156:I268)/K157</f>
        <v>1.621147541</v>
      </c>
    </row>
    <row r="159">
      <c r="A159" s="21" t="s">
        <v>757</v>
      </c>
      <c r="B159" s="5">
        <v>1993.0</v>
      </c>
      <c r="C159" s="5">
        <v>25.1</v>
      </c>
      <c r="D159" s="5">
        <v>22.9</v>
      </c>
      <c r="G159" s="5">
        <v>9.3</v>
      </c>
      <c r="I159" s="5">
        <v>1.08</v>
      </c>
    </row>
    <row r="160">
      <c r="A160" s="21" t="s">
        <v>758</v>
      </c>
      <c r="B160" s="5">
        <v>1984.0</v>
      </c>
      <c r="C160" s="5">
        <v>22.1</v>
      </c>
      <c r="D160" s="5">
        <v>14.4</v>
      </c>
      <c r="G160" s="5">
        <v>10.66</v>
      </c>
      <c r="I160" s="5">
        <v>2.07</v>
      </c>
      <c r="J160" s="5" t="s">
        <v>1913</v>
      </c>
    </row>
    <row r="161">
      <c r="A161" s="21" t="s">
        <v>759</v>
      </c>
      <c r="B161" s="5">
        <v>1988.0</v>
      </c>
      <c r="C161" s="5">
        <v>18.9</v>
      </c>
      <c r="D161" s="5">
        <v>25.3</v>
      </c>
      <c r="G161" s="5">
        <v>8.81</v>
      </c>
      <c r="I161" s="5">
        <v>0.91</v>
      </c>
    </row>
    <row r="162">
      <c r="A162" s="21" t="s">
        <v>760</v>
      </c>
      <c r="B162" s="5">
        <v>1990.0</v>
      </c>
      <c r="C162" s="5">
        <v>22.1</v>
      </c>
      <c r="D162" s="5">
        <v>17.2</v>
      </c>
      <c r="G162" s="5">
        <v>8.85</v>
      </c>
      <c r="I162" s="5">
        <v>1.15</v>
      </c>
    </row>
    <row r="163">
      <c r="A163" s="21" t="s">
        <v>1338</v>
      </c>
      <c r="B163" s="5">
        <v>1983.0</v>
      </c>
      <c r="C163" s="5">
        <v>21.0</v>
      </c>
      <c r="D163" s="5">
        <v>13.2</v>
      </c>
      <c r="G163" s="5">
        <v>7.5</v>
      </c>
      <c r="I163" s="5">
        <v>1.31</v>
      </c>
      <c r="J163" s="5" t="s">
        <v>1913</v>
      </c>
    </row>
    <row r="164">
      <c r="A164" s="21" t="s">
        <v>764</v>
      </c>
      <c r="B164" s="5">
        <v>1987.0</v>
      </c>
      <c r="C164" s="5">
        <v>16.4</v>
      </c>
      <c r="D164" s="5">
        <v>14.6</v>
      </c>
      <c r="G164" s="5">
        <v>9.18</v>
      </c>
      <c r="I164" s="5">
        <v>0.97</v>
      </c>
    </row>
    <row r="165">
      <c r="A165" s="21" t="s">
        <v>762</v>
      </c>
      <c r="B165" s="5">
        <v>1989.0</v>
      </c>
      <c r="C165" s="5">
        <v>18.7</v>
      </c>
      <c r="D165" s="5">
        <v>13.2</v>
      </c>
      <c r="G165" s="5">
        <v>8.74</v>
      </c>
      <c r="I165" s="5">
        <v>1.15</v>
      </c>
    </row>
    <row r="166">
      <c r="A166" s="21" t="s">
        <v>761</v>
      </c>
      <c r="B166" s="5">
        <v>1992.0</v>
      </c>
      <c r="C166" s="5">
        <v>23.8</v>
      </c>
      <c r="D166" s="5">
        <v>21.6</v>
      </c>
      <c r="G166" s="5">
        <v>8.73</v>
      </c>
      <c r="I166" s="5">
        <v>1.05</v>
      </c>
    </row>
    <row r="167">
      <c r="A167" s="21" t="s">
        <v>1342</v>
      </c>
      <c r="B167" s="5">
        <v>1982.0</v>
      </c>
      <c r="C167" s="5">
        <v>12.6</v>
      </c>
      <c r="D167" s="5">
        <v>9.9</v>
      </c>
      <c r="G167" s="5">
        <v>5.51</v>
      </c>
      <c r="I167" s="5">
        <v>0.86</v>
      </c>
      <c r="J167" s="5" t="s">
        <v>1913</v>
      </c>
    </row>
    <row r="168">
      <c r="A168" s="21" t="s">
        <v>766</v>
      </c>
      <c r="B168" s="5">
        <v>1986.0</v>
      </c>
      <c r="C168" s="5">
        <v>9.3</v>
      </c>
      <c r="D168" s="5">
        <v>10.1</v>
      </c>
      <c r="G168" s="5">
        <v>6.24</v>
      </c>
      <c r="I168" s="5">
        <v>0.45</v>
      </c>
    </row>
    <row r="169">
      <c r="A169" s="4"/>
    </row>
    <row r="170">
      <c r="A170" s="21" t="s">
        <v>771</v>
      </c>
      <c r="B170" s="5">
        <v>2207.0</v>
      </c>
      <c r="C170" s="5">
        <v>21.7</v>
      </c>
      <c r="D170" s="5">
        <v>10.8</v>
      </c>
      <c r="G170" s="5">
        <v>14.15</v>
      </c>
      <c r="I170" s="5">
        <v>8.06</v>
      </c>
    </row>
    <row r="171">
      <c r="A171" s="21" t="s">
        <v>772</v>
      </c>
      <c r="B171" s="5">
        <v>2206.0</v>
      </c>
      <c r="C171" s="5">
        <v>14.7</v>
      </c>
      <c r="D171" s="5">
        <v>14.6</v>
      </c>
      <c r="G171" s="5">
        <v>16.5</v>
      </c>
      <c r="I171" s="5">
        <v>4.95</v>
      </c>
    </row>
    <row r="172">
      <c r="A172" s="21" t="s">
        <v>1354</v>
      </c>
      <c r="B172" s="5">
        <v>2203.0</v>
      </c>
      <c r="C172" s="5">
        <v>25.1</v>
      </c>
      <c r="D172" s="5">
        <v>26.2</v>
      </c>
      <c r="G172" s="5">
        <v>9.09</v>
      </c>
      <c r="I172" s="5">
        <v>1.88</v>
      </c>
    </row>
    <row r="173">
      <c r="A173" s="21" t="s">
        <v>774</v>
      </c>
      <c r="B173" s="5">
        <v>2205.0</v>
      </c>
      <c r="C173" s="5">
        <v>26.7</v>
      </c>
      <c r="D173" s="5">
        <v>21.8</v>
      </c>
      <c r="G173" s="5">
        <v>9.05</v>
      </c>
      <c r="I173" s="5">
        <v>3.47</v>
      </c>
    </row>
    <row r="174">
      <c r="A174" s="21" t="s">
        <v>779</v>
      </c>
      <c r="B174" s="5">
        <v>2000.0</v>
      </c>
      <c r="C174" s="5">
        <v>25.2</v>
      </c>
      <c r="D174" s="5">
        <v>17.6</v>
      </c>
      <c r="G174" s="5">
        <v>8.62</v>
      </c>
      <c r="I174" s="5">
        <v>1.86</v>
      </c>
      <c r="J174" s="5" t="s">
        <v>1913</v>
      </c>
    </row>
    <row r="175">
      <c r="A175" s="21" t="s">
        <v>1794</v>
      </c>
      <c r="B175" s="5">
        <v>2204.0</v>
      </c>
      <c r="C175" s="5">
        <v>23.4</v>
      </c>
      <c r="D175" s="5">
        <v>21.6</v>
      </c>
      <c r="G175" s="5">
        <v>8.3</v>
      </c>
      <c r="I175" s="5">
        <v>0.72</v>
      </c>
    </row>
    <row r="176">
      <c r="A176" s="21" t="s">
        <v>1355</v>
      </c>
      <c r="B176" s="5">
        <v>1998.0</v>
      </c>
      <c r="C176" s="5">
        <v>23.1</v>
      </c>
      <c r="D176" s="5">
        <v>18.6</v>
      </c>
      <c r="G176" s="5">
        <v>8.01</v>
      </c>
      <c r="I176" s="5">
        <v>1.14</v>
      </c>
      <c r="J176" s="5" t="s">
        <v>1913</v>
      </c>
    </row>
    <row r="177">
      <c r="A177" s="21" t="s">
        <v>780</v>
      </c>
      <c r="B177" s="5">
        <v>1999.0</v>
      </c>
      <c r="C177" s="5">
        <v>16.8</v>
      </c>
      <c r="D177" s="5">
        <v>13.2</v>
      </c>
      <c r="G177" s="5">
        <v>8.57</v>
      </c>
      <c r="I177" s="5">
        <v>1.34</v>
      </c>
      <c r="J177" s="5" t="s">
        <v>1913</v>
      </c>
    </row>
    <row r="178">
      <c r="A178" s="21" t="s">
        <v>1798</v>
      </c>
      <c r="B178" s="5">
        <v>2202.0</v>
      </c>
      <c r="C178" s="5">
        <v>20.3</v>
      </c>
      <c r="D178" s="5">
        <v>13.2</v>
      </c>
      <c r="G178" s="5">
        <v>7.58</v>
      </c>
      <c r="I178" s="5">
        <v>0.8</v>
      </c>
    </row>
    <row r="179">
      <c r="A179" s="21" t="s">
        <v>1357</v>
      </c>
      <c r="B179" s="5">
        <v>1997.0</v>
      </c>
      <c r="C179" s="5">
        <v>17.9</v>
      </c>
      <c r="D179" s="5">
        <v>13.2</v>
      </c>
      <c r="G179" s="5">
        <v>6.06</v>
      </c>
      <c r="I179" s="5">
        <v>0.8</v>
      </c>
      <c r="J179" s="5" t="s">
        <v>1913</v>
      </c>
    </row>
    <row r="180">
      <c r="A180" s="21" t="s">
        <v>1360</v>
      </c>
      <c r="B180" s="5">
        <v>1996.0</v>
      </c>
      <c r="C180" s="5">
        <v>11.2</v>
      </c>
      <c r="D180" s="5">
        <v>9.7</v>
      </c>
      <c r="G180" s="5">
        <v>6.3</v>
      </c>
      <c r="I180" s="5">
        <v>0.69</v>
      </c>
      <c r="J180" s="5" t="s">
        <v>1913</v>
      </c>
    </row>
    <row r="181">
      <c r="A181" s="21" t="s">
        <v>1803</v>
      </c>
      <c r="B181" s="5">
        <v>2201.0</v>
      </c>
      <c r="C181" s="5">
        <v>14.4</v>
      </c>
      <c r="D181" s="5">
        <v>13.6</v>
      </c>
      <c r="G181" s="5">
        <v>7.53</v>
      </c>
      <c r="I181" s="5">
        <v>0.6</v>
      </c>
    </row>
    <row r="182">
      <c r="A182" s="4" t="s">
        <v>1361</v>
      </c>
      <c r="B182" s="5">
        <v>1995.0</v>
      </c>
      <c r="C182" s="5">
        <v>10.0</v>
      </c>
      <c r="D182" s="5">
        <v>9.3</v>
      </c>
      <c r="G182" s="5">
        <v>4.9</v>
      </c>
      <c r="I182" s="5">
        <v>0.23</v>
      </c>
      <c r="J182" s="5" t="s">
        <v>1913</v>
      </c>
    </row>
    <row r="183">
      <c r="A183" s="4"/>
    </row>
    <row r="184">
      <c r="A184" s="21" t="s">
        <v>796</v>
      </c>
      <c r="B184" s="5">
        <v>2220.0</v>
      </c>
      <c r="C184" s="5">
        <v>19.9</v>
      </c>
      <c r="D184" s="5">
        <v>4.5</v>
      </c>
      <c r="G184" s="5">
        <v>13.43</v>
      </c>
      <c r="I184" s="5">
        <v>4.36</v>
      </c>
    </row>
    <row r="185">
      <c r="A185" s="21" t="s">
        <v>797</v>
      </c>
      <c r="B185" s="5">
        <v>2218.0</v>
      </c>
      <c r="C185" s="5">
        <v>24.7</v>
      </c>
      <c r="D185" s="5">
        <v>25.7</v>
      </c>
      <c r="G185" s="5">
        <v>11.3</v>
      </c>
      <c r="I185" s="5">
        <v>3.17</v>
      </c>
    </row>
    <row r="186">
      <c r="A186" s="21" t="s">
        <v>1366</v>
      </c>
      <c r="B186" s="5">
        <v>2219.0</v>
      </c>
      <c r="C186" s="5">
        <v>19.0</v>
      </c>
      <c r="D186" s="5">
        <v>20.6</v>
      </c>
      <c r="G186" s="5">
        <v>13.54</v>
      </c>
      <c r="I186" s="5">
        <v>2.87</v>
      </c>
    </row>
    <row r="187">
      <c r="A187" s="21" t="s">
        <v>798</v>
      </c>
      <c r="B187" s="5">
        <v>2215.0</v>
      </c>
      <c r="C187" s="5">
        <v>27.1</v>
      </c>
      <c r="D187" s="5">
        <v>18.8</v>
      </c>
      <c r="G187" s="5">
        <v>9.99</v>
      </c>
      <c r="I187" s="5">
        <v>1.78</v>
      </c>
    </row>
    <row r="188">
      <c r="A188" s="21" t="s">
        <v>1369</v>
      </c>
      <c r="B188" s="5">
        <v>2214.0</v>
      </c>
      <c r="C188" s="5">
        <v>25.6</v>
      </c>
      <c r="D188" s="5">
        <v>21.7</v>
      </c>
      <c r="G188" s="5">
        <v>8.6</v>
      </c>
      <c r="I188" s="5">
        <v>1.56</v>
      </c>
    </row>
    <row r="189">
      <c r="A189" s="21" t="s">
        <v>800</v>
      </c>
      <c r="B189" s="5">
        <v>2210.0</v>
      </c>
      <c r="C189" s="5">
        <v>19.4</v>
      </c>
      <c r="D189" s="5">
        <v>14.7</v>
      </c>
      <c r="G189" s="5">
        <v>7.42</v>
      </c>
      <c r="I189" s="5">
        <v>0.88</v>
      </c>
    </row>
    <row r="190">
      <c r="A190" s="21" t="s">
        <v>1373</v>
      </c>
      <c r="B190" s="5">
        <v>2213.0</v>
      </c>
      <c r="C190" s="5">
        <v>20.1</v>
      </c>
      <c r="D190" s="5">
        <v>18.8</v>
      </c>
      <c r="G190" s="5">
        <v>8.77</v>
      </c>
      <c r="I190" s="5">
        <v>1.08</v>
      </c>
    </row>
    <row r="191">
      <c r="A191" s="21" t="s">
        <v>799</v>
      </c>
      <c r="B191" s="5">
        <v>2217.0</v>
      </c>
      <c r="C191" s="5">
        <v>16.1</v>
      </c>
      <c r="D191" s="5">
        <v>15.2</v>
      </c>
      <c r="G191" s="5">
        <v>10.18</v>
      </c>
      <c r="I191" s="5">
        <v>0.94</v>
      </c>
    </row>
    <row r="192">
      <c r="A192" s="21" t="s">
        <v>802</v>
      </c>
      <c r="B192" s="5">
        <v>2209.0</v>
      </c>
      <c r="C192" s="5">
        <v>13.1</v>
      </c>
      <c r="D192" s="5">
        <v>10.3</v>
      </c>
      <c r="G192" s="5">
        <v>7.23</v>
      </c>
      <c r="I192" s="5">
        <v>0.97</v>
      </c>
    </row>
    <row r="193">
      <c r="A193" s="21" t="s">
        <v>801</v>
      </c>
      <c r="B193" s="5">
        <v>2216.0</v>
      </c>
      <c r="C193" s="5">
        <v>14.7</v>
      </c>
      <c r="D193" s="5">
        <v>16.8</v>
      </c>
      <c r="G193" s="5">
        <v>7.59</v>
      </c>
      <c r="I193" s="5">
        <v>0.74</v>
      </c>
    </row>
    <row r="194">
      <c r="A194" s="21" t="s">
        <v>1378</v>
      </c>
      <c r="B194" s="5">
        <v>2212.0</v>
      </c>
      <c r="C194" s="5">
        <v>13.3</v>
      </c>
      <c r="D194" s="5">
        <v>8.6</v>
      </c>
      <c r="G194" s="5">
        <v>9.18</v>
      </c>
      <c r="I194" s="5">
        <v>1.08</v>
      </c>
    </row>
    <row r="195">
      <c r="A195" s="4" t="s">
        <v>807</v>
      </c>
      <c r="B195" s="5">
        <v>2208.0</v>
      </c>
      <c r="C195" s="5">
        <v>11.2</v>
      </c>
      <c r="D195" s="5">
        <v>7.3</v>
      </c>
      <c r="G195" s="5">
        <v>5.54</v>
      </c>
      <c r="I195" s="5">
        <v>0.35</v>
      </c>
    </row>
    <row r="196">
      <c r="A196" s="4" t="s">
        <v>1381</v>
      </c>
      <c r="B196" s="5">
        <v>2211.0</v>
      </c>
      <c r="C196" s="5">
        <v>7.8</v>
      </c>
      <c r="D196" s="5">
        <v>9.1</v>
      </c>
      <c r="G196" s="5">
        <v>5.65</v>
      </c>
      <c r="I196" s="5">
        <v>0.31</v>
      </c>
    </row>
    <row r="197">
      <c r="A197" s="4"/>
    </row>
    <row r="198">
      <c r="A198" s="21" t="s">
        <v>808</v>
      </c>
    </row>
    <row r="199">
      <c r="A199" s="21" t="s">
        <v>809</v>
      </c>
    </row>
    <row r="200">
      <c r="A200" s="4"/>
    </row>
    <row r="201">
      <c r="A201" s="21" t="s">
        <v>837</v>
      </c>
      <c r="B201" s="5">
        <v>2229.0</v>
      </c>
      <c r="C201" s="5">
        <v>22.2</v>
      </c>
      <c r="D201" s="5">
        <v>6.8</v>
      </c>
      <c r="G201" s="5">
        <v>15.57</v>
      </c>
      <c r="I201" s="5">
        <v>3.97</v>
      </c>
    </row>
    <row r="202">
      <c r="A202" s="21" t="s">
        <v>1392</v>
      </c>
      <c r="B202" s="5">
        <v>2228.0</v>
      </c>
      <c r="C202" s="5">
        <v>17.5</v>
      </c>
      <c r="D202" s="5">
        <v>20.7</v>
      </c>
      <c r="G202" s="5">
        <v>10.64</v>
      </c>
      <c r="I202" s="5">
        <v>0.77</v>
      </c>
    </row>
    <row r="203">
      <c r="A203" s="21" t="s">
        <v>838</v>
      </c>
      <c r="B203" s="5">
        <v>2225.0</v>
      </c>
      <c r="C203" s="5">
        <v>26.0</v>
      </c>
      <c r="D203" s="5">
        <v>23.8</v>
      </c>
      <c r="G203" s="5">
        <v>11.58</v>
      </c>
      <c r="I203" s="5">
        <v>2.36</v>
      </c>
    </row>
    <row r="204">
      <c r="A204" s="21" t="s">
        <v>1396</v>
      </c>
      <c r="B204" s="5">
        <v>2227.0</v>
      </c>
      <c r="C204" s="5">
        <v>17.5</v>
      </c>
      <c r="D204" s="5">
        <v>20.1</v>
      </c>
      <c r="G204" s="5">
        <v>8.07</v>
      </c>
      <c r="I204" s="5">
        <v>0.58</v>
      </c>
    </row>
    <row r="205">
      <c r="A205" s="21" t="s">
        <v>839</v>
      </c>
      <c r="B205" s="5">
        <v>2223.0</v>
      </c>
      <c r="C205" s="5">
        <v>26.8</v>
      </c>
      <c r="D205" s="5">
        <v>16.4</v>
      </c>
      <c r="G205" s="5">
        <v>6.71</v>
      </c>
      <c r="I205" s="5">
        <v>0.96</v>
      </c>
    </row>
    <row r="206">
      <c r="A206" s="21" t="s">
        <v>1400</v>
      </c>
      <c r="B206" s="5">
        <v>2226.0</v>
      </c>
      <c r="C206" s="5">
        <v>17.8</v>
      </c>
      <c r="D206" s="5">
        <v>13.2</v>
      </c>
      <c r="G206" s="5">
        <v>6.38</v>
      </c>
      <c r="I206" s="5">
        <v>0.54</v>
      </c>
    </row>
    <row r="207">
      <c r="A207" s="21" t="s">
        <v>842</v>
      </c>
      <c r="B207" s="5">
        <v>2224.0</v>
      </c>
      <c r="C207" s="5">
        <v>17.1</v>
      </c>
      <c r="D207" s="5">
        <v>11.6</v>
      </c>
      <c r="G207" s="5">
        <v>7.2</v>
      </c>
      <c r="I207" s="5">
        <v>0.58</v>
      </c>
    </row>
    <row r="208">
      <c r="A208" s="21" t="s">
        <v>1401</v>
      </c>
      <c r="B208" s="5">
        <v>2222.0</v>
      </c>
      <c r="C208" s="5">
        <v>13.2</v>
      </c>
      <c r="D208" s="5">
        <v>14.1</v>
      </c>
      <c r="G208" s="5">
        <v>6.88</v>
      </c>
      <c r="I208" s="5">
        <v>0.49</v>
      </c>
    </row>
    <row r="209">
      <c r="A209" s="4" t="s">
        <v>846</v>
      </c>
      <c r="B209" s="5">
        <v>2221.0</v>
      </c>
      <c r="C209" s="5">
        <v>15.2</v>
      </c>
      <c r="D209" s="5">
        <v>10.2</v>
      </c>
      <c r="G209" s="5">
        <v>6.47</v>
      </c>
      <c r="I209" s="5">
        <v>0.5</v>
      </c>
    </row>
    <row r="210">
      <c r="A210" s="4"/>
    </row>
    <row r="211">
      <c r="A211" s="21" t="s">
        <v>857</v>
      </c>
    </row>
    <row r="212">
      <c r="A212" s="21" t="s">
        <v>858</v>
      </c>
    </row>
    <row r="213">
      <c r="A213" s="21" t="s">
        <v>859</v>
      </c>
    </row>
    <row r="214">
      <c r="A214" s="21" t="s">
        <v>863</v>
      </c>
    </row>
    <row r="215">
      <c r="A215" s="4" t="s">
        <v>873</v>
      </c>
    </row>
    <row r="216">
      <c r="A216" s="4"/>
    </row>
    <row r="217">
      <c r="A217" s="21" t="s">
        <v>882</v>
      </c>
      <c r="B217" s="5">
        <v>2237.0</v>
      </c>
      <c r="C217" s="5">
        <v>22.1</v>
      </c>
      <c r="D217" s="5">
        <v>11.1</v>
      </c>
      <c r="G217" s="5">
        <v>11.89</v>
      </c>
      <c r="I217" s="5">
        <v>2.81</v>
      </c>
    </row>
    <row r="218">
      <c r="A218" s="21" t="s">
        <v>885</v>
      </c>
      <c r="B218" s="5">
        <v>2233.0</v>
      </c>
      <c r="C218" s="5">
        <v>24.6</v>
      </c>
      <c r="D218" s="5">
        <v>23.0</v>
      </c>
      <c r="G218" s="5">
        <v>8.23</v>
      </c>
      <c r="I218" s="5">
        <v>1.18</v>
      </c>
    </row>
    <row r="219">
      <c r="A219" s="21" t="s">
        <v>883</v>
      </c>
      <c r="B219" s="5">
        <v>2236.0</v>
      </c>
      <c r="C219" s="5">
        <v>28.1</v>
      </c>
      <c r="D219" s="5">
        <v>26.5</v>
      </c>
      <c r="G219" s="5">
        <v>9.52</v>
      </c>
      <c r="I219" s="5">
        <v>1.84</v>
      </c>
    </row>
    <row r="220">
      <c r="A220" s="21" t="s">
        <v>884</v>
      </c>
      <c r="B220" s="5">
        <v>2235.0</v>
      </c>
      <c r="C220" s="5">
        <v>22.4</v>
      </c>
      <c r="D220" s="5">
        <v>12.8</v>
      </c>
      <c r="G220" s="5">
        <v>7.85</v>
      </c>
      <c r="I220" s="5">
        <v>1.12</v>
      </c>
    </row>
    <row r="221">
      <c r="A221" s="21" t="s">
        <v>888</v>
      </c>
      <c r="B221" s="5">
        <v>2232.0</v>
      </c>
      <c r="C221" s="5">
        <v>19.4</v>
      </c>
      <c r="D221" s="5">
        <v>22.1</v>
      </c>
      <c r="G221" s="5">
        <v>7.19</v>
      </c>
      <c r="I221" s="5">
        <v>0.84</v>
      </c>
    </row>
    <row r="222">
      <c r="A222" s="21" t="s">
        <v>886</v>
      </c>
      <c r="B222" s="5">
        <v>2234.0</v>
      </c>
      <c r="C222" s="5">
        <v>17.0</v>
      </c>
      <c r="D222" s="5">
        <v>15.9</v>
      </c>
      <c r="G222" s="5">
        <v>7.19</v>
      </c>
      <c r="I222" s="5">
        <v>0.64</v>
      </c>
    </row>
    <row r="223">
      <c r="A223" s="21" t="s">
        <v>890</v>
      </c>
      <c r="B223" s="5">
        <v>2231.0</v>
      </c>
      <c r="C223" s="5">
        <v>17.5</v>
      </c>
      <c r="D223" s="5">
        <v>12.6</v>
      </c>
      <c r="G223" s="5">
        <v>6.27</v>
      </c>
      <c r="I223" s="5">
        <v>0.65</v>
      </c>
    </row>
    <row r="224">
      <c r="A224" s="4" t="s">
        <v>893</v>
      </c>
      <c r="B224" s="5">
        <v>2230.0</v>
      </c>
      <c r="C224" s="5">
        <v>12.9</v>
      </c>
      <c r="D224" s="5">
        <v>11.2</v>
      </c>
      <c r="G224" s="5">
        <v>4.52</v>
      </c>
      <c r="I224" s="5">
        <v>0.29</v>
      </c>
    </row>
    <row r="225">
      <c r="A225" s="4"/>
    </row>
    <row r="226">
      <c r="A226" s="21" t="s">
        <v>895</v>
      </c>
    </row>
    <row r="227">
      <c r="A227" s="21" t="s">
        <v>896</v>
      </c>
    </row>
    <row r="228">
      <c r="A228" s="21" t="s">
        <v>897</v>
      </c>
    </row>
    <row r="229">
      <c r="A229" s="21" t="s">
        <v>898</v>
      </c>
    </row>
    <row r="230">
      <c r="A230" s="4"/>
    </row>
    <row r="231">
      <c r="A231" s="21" t="s">
        <v>915</v>
      </c>
      <c r="B231" s="5">
        <v>2242.0</v>
      </c>
      <c r="C231" s="5">
        <v>17.8</v>
      </c>
      <c r="D231" s="5">
        <v>18.1</v>
      </c>
      <c r="G231" s="5">
        <v>9.39</v>
      </c>
      <c r="I231" s="5">
        <v>0.88</v>
      </c>
    </row>
    <row r="232">
      <c r="A232" s="27" t="s">
        <v>916</v>
      </c>
      <c r="B232" s="5">
        <v>2241.0</v>
      </c>
      <c r="C232" s="5">
        <v>21.8</v>
      </c>
      <c r="D232" s="5">
        <v>22.8</v>
      </c>
      <c r="G232" s="5">
        <v>8.29</v>
      </c>
      <c r="I232" s="5">
        <v>0.7</v>
      </c>
    </row>
    <row r="233">
      <c r="A233" s="21" t="s">
        <v>917</v>
      </c>
      <c r="B233" s="5">
        <v>2240.0</v>
      </c>
      <c r="C233" s="5">
        <v>18.4</v>
      </c>
      <c r="D233" s="5">
        <v>14.3</v>
      </c>
      <c r="G233" s="5">
        <v>7.02</v>
      </c>
      <c r="I233" s="5">
        <v>0.5</v>
      </c>
    </row>
    <row r="234">
      <c r="A234" s="21" t="s">
        <v>920</v>
      </c>
      <c r="B234" s="5">
        <v>2239.0</v>
      </c>
      <c r="C234" s="5">
        <v>12.0</v>
      </c>
      <c r="D234" s="5">
        <v>16.4</v>
      </c>
      <c r="G234" s="5">
        <v>7.63</v>
      </c>
      <c r="I234" s="5">
        <v>0.48</v>
      </c>
    </row>
    <row r="235">
      <c r="A235" s="4" t="s">
        <v>922</v>
      </c>
      <c r="B235" s="5">
        <v>2238.0</v>
      </c>
      <c r="C235" s="5">
        <v>8.9</v>
      </c>
      <c r="D235" s="5">
        <v>8.2</v>
      </c>
      <c r="G235" s="5">
        <v>4.71</v>
      </c>
      <c r="I235" s="5">
        <v>0.2</v>
      </c>
    </row>
    <row r="236">
      <c r="A236" s="4"/>
    </row>
    <row r="237">
      <c r="A237" s="27" t="s">
        <v>930</v>
      </c>
    </row>
    <row r="238">
      <c r="A238" s="21" t="s">
        <v>931</v>
      </c>
    </row>
    <row r="239">
      <c r="A239" s="21" t="s">
        <v>932</v>
      </c>
    </row>
    <row r="240">
      <c r="A240" s="21" t="s">
        <v>934</v>
      </c>
    </row>
    <row r="241">
      <c r="A241" s="4"/>
    </row>
    <row r="242">
      <c r="A242" s="21" t="s">
        <v>961</v>
      </c>
    </row>
    <row r="243">
      <c r="A243" s="21" t="s">
        <v>962</v>
      </c>
    </row>
    <row r="244">
      <c r="A244" s="21" t="s">
        <v>963</v>
      </c>
    </row>
    <row r="245">
      <c r="A245" s="4" t="s">
        <v>966</v>
      </c>
    </row>
    <row r="246">
      <c r="A246" s="4"/>
    </row>
    <row r="247">
      <c r="A247" s="21" t="s">
        <v>983</v>
      </c>
    </row>
    <row r="248">
      <c r="A248" s="21" t="s">
        <v>984</v>
      </c>
    </row>
    <row r="249">
      <c r="A249" s="21" t="s">
        <v>988</v>
      </c>
    </row>
    <row r="250">
      <c r="A250" s="4" t="s">
        <v>993</v>
      </c>
    </row>
    <row r="251">
      <c r="A251" s="4"/>
    </row>
    <row r="252">
      <c r="A252" s="21" t="s">
        <v>1010</v>
      </c>
    </row>
    <row r="253">
      <c r="A253" s="21" t="s">
        <v>1011</v>
      </c>
    </row>
    <row r="254">
      <c r="A254" s="21" t="s">
        <v>1013</v>
      </c>
    </row>
    <row r="255">
      <c r="A255" s="4"/>
    </row>
    <row r="256">
      <c r="A256" s="21" t="s">
        <v>1025</v>
      </c>
    </row>
    <row r="257">
      <c r="A257" s="21" t="s">
        <v>1026</v>
      </c>
    </row>
    <row r="258">
      <c r="A258" s="21" t="s">
        <v>1027</v>
      </c>
    </row>
    <row r="259">
      <c r="A259" s="4"/>
    </row>
    <row r="260">
      <c r="A260" s="21" t="s">
        <v>1040</v>
      </c>
    </row>
    <row r="261">
      <c r="A261" s="21" t="s">
        <v>1041</v>
      </c>
    </row>
    <row r="262">
      <c r="A262" s="4"/>
    </row>
    <row r="263">
      <c r="A263" s="21" t="s">
        <v>1065</v>
      </c>
    </row>
    <row r="264">
      <c r="A264" s="4" t="s">
        <v>1066</v>
      </c>
    </row>
    <row r="265">
      <c r="A265" s="4"/>
    </row>
    <row r="266">
      <c r="A266" s="4" t="s">
        <v>1082</v>
      </c>
    </row>
    <row r="267">
      <c r="A267" s="4"/>
    </row>
    <row r="268">
      <c r="A268" s="4" t="s">
        <v>1893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</v>
      </c>
      <c r="B1" s="2" t="s">
        <v>7</v>
      </c>
    </row>
    <row r="2">
      <c r="D2" s="2" t="s">
        <v>10</v>
      </c>
      <c r="F2" s="2" t="s">
        <v>2118</v>
      </c>
    </row>
    <row r="3">
      <c r="A3" s="5">
        <v>314.0</v>
      </c>
      <c r="B3" s="5">
        <v>0.96</v>
      </c>
      <c r="D3" s="6">
        <f>counta(B3:B1000)</f>
        <v>39</v>
      </c>
      <c r="F3" s="6">
        <f>sum(RAD!K4,SEN!K4,CHA!K4,CAM!J4,ALB!J4,FINN!K4,CAB!K4,RJUNE!K4,POR!J4,BRI!K4,MOX!K4,D3)</f>
        <v>3322</v>
      </c>
    </row>
    <row r="4">
      <c r="A4" s="5">
        <v>316.0</v>
      </c>
      <c r="B4" s="5">
        <v>1.08</v>
      </c>
    </row>
    <row r="5">
      <c r="A5" s="5">
        <v>827.0</v>
      </c>
      <c r="B5" s="5">
        <v>1.4</v>
      </c>
    </row>
    <row r="6">
      <c r="A6" s="5">
        <v>1374.0</v>
      </c>
      <c r="B6" s="5">
        <v>2.17</v>
      </c>
    </row>
    <row r="7">
      <c r="A7" s="5">
        <v>1423.0</v>
      </c>
      <c r="B7" s="5">
        <v>0.9</v>
      </c>
    </row>
    <row r="8">
      <c r="A8" s="5">
        <v>1368.0</v>
      </c>
      <c r="B8" s="5">
        <v>0.94</v>
      </c>
    </row>
    <row r="9">
      <c r="A9" s="5">
        <v>2302.0</v>
      </c>
      <c r="B9" s="5">
        <v>4.1</v>
      </c>
    </row>
    <row r="10">
      <c r="A10" s="5">
        <v>1900.0</v>
      </c>
      <c r="B10" s="5">
        <v>1.1</v>
      </c>
      <c r="C10" s="5">
        <v>0.63</v>
      </c>
    </row>
    <row r="11">
      <c r="A11" s="5">
        <v>1902.0</v>
      </c>
      <c r="B11" s="5">
        <v>2.88</v>
      </c>
    </row>
    <row r="12">
      <c r="A12" s="5">
        <v>2300.0</v>
      </c>
      <c r="B12" s="5">
        <v>3.99</v>
      </c>
    </row>
    <row r="13">
      <c r="A13" s="5">
        <v>1892.0</v>
      </c>
      <c r="B13" s="5">
        <v>0.5</v>
      </c>
    </row>
    <row r="14">
      <c r="A14" s="5">
        <v>1925.0</v>
      </c>
      <c r="B14" s="5">
        <v>0.73</v>
      </c>
    </row>
    <row r="15">
      <c r="A15" s="28">
        <v>1605.0</v>
      </c>
      <c r="B15" s="28">
        <v>0.62</v>
      </c>
    </row>
    <row r="16">
      <c r="A16" s="29">
        <v>1358.0</v>
      </c>
      <c r="B16" s="29">
        <v>0.25</v>
      </c>
    </row>
    <row r="17">
      <c r="A17" s="29">
        <v>2766.0</v>
      </c>
      <c r="B17" s="29">
        <v>0.53</v>
      </c>
    </row>
    <row r="18">
      <c r="A18" s="29">
        <v>2303.0</v>
      </c>
      <c r="B18" s="29">
        <v>0.66</v>
      </c>
    </row>
    <row r="19">
      <c r="A19" s="28">
        <v>1606.0</v>
      </c>
      <c r="B19" s="28">
        <v>1.14</v>
      </c>
    </row>
    <row r="20">
      <c r="A20" s="5">
        <v>1478.0</v>
      </c>
      <c r="B20" s="5">
        <v>0.27</v>
      </c>
    </row>
    <row r="21">
      <c r="A21" s="5">
        <v>1420.0</v>
      </c>
      <c r="B21" s="5">
        <v>1.13</v>
      </c>
    </row>
    <row r="22">
      <c r="A22" s="5">
        <v>1422.0</v>
      </c>
      <c r="B22" s="5">
        <v>2.58</v>
      </c>
    </row>
    <row r="23">
      <c r="A23" s="30">
        <v>1472.0</v>
      </c>
      <c r="B23" s="30">
        <v>1.2</v>
      </c>
      <c r="C23" s="5" t="s">
        <v>2119</v>
      </c>
    </row>
    <row r="24">
      <c r="A24" s="31">
        <v>1472.0</v>
      </c>
      <c r="B24" s="31">
        <v>1.19</v>
      </c>
    </row>
    <row r="25">
      <c r="A25" s="5">
        <v>1708.0</v>
      </c>
      <c r="B25" s="5">
        <v>0.42</v>
      </c>
    </row>
    <row r="26">
      <c r="A26" s="5">
        <v>1175.0</v>
      </c>
      <c r="B26" s="5">
        <v>0.19</v>
      </c>
    </row>
    <row r="27">
      <c r="A27" s="30">
        <v>1472.0</v>
      </c>
      <c r="B27" s="30">
        <v>2.84</v>
      </c>
    </row>
    <row r="28">
      <c r="A28" s="14">
        <v>1473.0</v>
      </c>
      <c r="B28" s="14">
        <v>1.64</v>
      </c>
    </row>
    <row r="29">
      <c r="A29" s="5">
        <v>3062.0</v>
      </c>
      <c r="B29" s="5">
        <v>0.26</v>
      </c>
    </row>
    <row r="30">
      <c r="A30" s="5">
        <v>3040.0</v>
      </c>
      <c r="B30" s="5">
        <v>0.83</v>
      </c>
    </row>
    <row r="31">
      <c r="A31" s="5">
        <v>2677.0</v>
      </c>
      <c r="B31" s="5">
        <v>0.2</v>
      </c>
    </row>
    <row r="32">
      <c r="A32" s="5">
        <v>2654.0</v>
      </c>
      <c r="B32" s="5">
        <v>0.21</v>
      </c>
    </row>
    <row r="33">
      <c r="A33" s="5">
        <v>2965.0</v>
      </c>
      <c r="B33" s="5">
        <v>1.26</v>
      </c>
    </row>
    <row r="34">
      <c r="A34" s="5">
        <v>2966.0</v>
      </c>
      <c r="B34" s="5">
        <v>1.51</v>
      </c>
    </row>
    <row r="35">
      <c r="A35" s="5">
        <v>3062.0</v>
      </c>
      <c r="B35" s="5">
        <v>0.16</v>
      </c>
    </row>
    <row r="36">
      <c r="A36" s="5">
        <v>1142.0</v>
      </c>
      <c r="B36" s="5" t="s">
        <v>2120</v>
      </c>
    </row>
    <row r="37">
      <c r="A37" s="5">
        <v>803.0</v>
      </c>
      <c r="B37" s="5">
        <v>0.04</v>
      </c>
    </row>
    <row r="38">
      <c r="A38" s="5">
        <v>1043.0</v>
      </c>
      <c r="B38" s="5">
        <v>1.57</v>
      </c>
    </row>
    <row r="39">
      <c r="A39" s="5">
        <v>1044.0</v>
      </c>
      <c r="B39" s="5">
        <v>0.79</v>
      </c>
    </row>
    <row r="40">
      <c r="A40" s="5">
        <v>2589.0</v>
      </c>
      <c r="B40" s="5">
        <v>0.25</v>
      </c>
    </row>
    <row r="41">
      <c r="A41" s="5">
        <v>1649.0</v>
      </c>
      <c r="B41" s="5">
        <v>0.53</v>
      </c>
    </row>
  </sheetData>
  <drawing r:id="rId1"/>
</worksheet>
</file>