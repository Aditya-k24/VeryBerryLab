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<sst xmlns="http://schemas.openxmlformats.org/spreadsheetml/2006/main" count="50" uniqueCount="19">
  <si>
    <t>Cultivar</t>
  </si>
  <si>
    <t>Rep</t>
  </si>
  <si>
    <t>Pri stolon</t>
  </si>
  <si>
    <t>mean</t>
  </si>
  <si>
    <t>SD</t>
  </si>
  <si>
    <t>SE</t>
  </si>
  <si>
    <t>Sec stolon</t>
  </si>
  <si>
    <t>Ter stolon</t>
  </si>
  <si>
    <t>Total dp on alt</t>
  </si>
  <si>
    <t>Total dp on mid</t>
  </si>
  <si>
    <t xml:space="preserve">Total dp </t>
  </si>
  <si>
    <t>Finn</t>
  </si>
  <si>
    <t>Cabrillo</t>
  </si>
  <si>
    <t>Camarosa</t>
  </si>
  <si>
    <t>Chandler</t>
  </si>
  <si>
    <t>Sensation</t>
  </si>
  <si>
    <t>Albion</t>
  </si>
  <si>
    <t>Moxie</t>
  </si>
  <si>
    <t>Rubyjune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</si>
</sst>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3</v>
      </c>
      <c r="I1" s="2" t="s">
        <v>4</v>
      </c>
      <c r="J1" s="2" t="s">
        <v>5</v>
      </c>
      <c r="K1" s="1" t="s">
        <v>7</v>
      </c>
      <c r="L1" s="2" t="s">
        <v>3</v>
      </c>
      <c r="M1" s="2" t="s">
        <v>4</v>
      </c>
      <c r="N1" s="2" t="s">
        <v>5</v>
      </c>
      <c r="O1" s="1" t="s">
        <v>8</v>
      </c>
      <c r="P1" s="2" t="s">
        <v>3</v>
      </c>
      <c r="Q1" s="2" t="s">
        <v>4</v>
      </c>
      <c r="R1" s="2" t="s">
        <v>5</v>
      </c>
      <c r="S1" s="1" t="s">
        <v>9</v>
      </c>
      <c r="T1" s="2" t="s">
        <v>3</v>
      </c>
      <c r="U1" s="2" t="s">
        <v>4</v>
      </c>
      <c r="V1" s="2" t="s">
        <v>5</v>
      </c>
      <c r="W1" s="3" t="s">
        <v>10</v>
      </c>
      <c r="X1" s="2" t="s">
        <v>3</v>
      </c>
      <c r="Y1" s="2" t="s">
        <v>4</v>
      </c>
      <c r="Z1" s="2" t="s">
        <v>5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2" t="s">
        <v>11</v>
      </c>
      <c r="B2" s="4">
        <v>1.0</v>
      </c>
      <c r="C2" s="4">
        <v>10.0</v>
      </c>
      <c r="D2" s="4">
        <f>AVERAGE(C2:C4)</f>
        <v>9.666666667</v>
      </c>
      <c r="E2" s="4">
        <f>STDEV(C2:C4)</f>
        <v>3.511884584</v>
      </c>
      <c r="F2" s="4">
        <f>E2/SQRT(3)</f>
        <v>2.02758751</v>
      </c>
      <c r="G2" s="4">
        <v>12.0</v>
      </c>
      <c r="H2" s="4">
        <f>AVERAGE(G2:G4)</f>
        <v>13.33333333</v>
      </c>
      <c r="I2" s="4">
        <f>STDEV(G2:G4)</f>
        <v>3.214550254</v>
      </c>
      <c r="J2" s="4">
        <f>I2/SQRT(3)</f>
        <v>1.855921454</v>
      </c>
      <c r="K2" s="4">
        <v>1.0</v>
      </c>
      <c r="L2" s="4">
        <f>AVERAGE(K2:K4)</f>
        <v>2.666666667</v>
      </c>
      <c r="M2" s="4">
        <f>STDEV(K2:K4)</f>
        <v>1.527525232</v>
      </c>
      <c r="N2" s="4">
        <f>M2/SQRT(3)</f>
        <v>0.8819171037</v>
      </c>
      <c r="O2" s="4">
        <v>71.0</v>
      </c>
      <c r="P2" s="4">
        <f>AVERAGE(O2:O4)</f>
        <v>71.33333333</v>
      </c>
      <c r="Q2" s="4">
        <f>STDEV(O2:O4)</f>
        <v>0.5773502692</v>
      </c>
      <c r="R2" s="4">
        <f>Q2/SQRT(3)</f>
        <v>0.3333333333</v>
      </c>
      <c r="S2" s="4">
        <v>4.0</v>
      </c>
      <c r="T2" s="4">
        <f>AVERAGE(S2:S4)</f>
        <v>3.666666667</v>
      </c>
      <c r="U2" s="4">
        <f>STDEV(S2:S4)</f>
        <v>2.516611478</v>
      </c>
      <c r="V2" s="4">
        <f>U2/SQRT(3)</f>
        <v>1.452966315</v>
      </c>
      <c r="W2" s="5">
        <f t="shared" ref="W2:W25" si="1">SUM(O2,S2)</f>
        <v>75</v>
      </c>
      <c r="X2" s="4">
        <f>AVERAGE(W2:W4)</f>
        <v>75</v>
      </c>
      <c r="Y2" s="4">
        <f>STDEV(W2:W4)</f>
        <v>2</v>
      </c>
      <c r="Z2" s="4">
        <f>Y2/SQRT(3)</f>
        <v>1.154700538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6"/>
      <c r="AL2" s="6"/>
      <c r="AM2" s="5"/>
      <c r="AN2" s="5"/>
      <c r="AO2" s="5"/>
      <c r="AP2" s="5"/>
      <c r="AQ2" s="5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>
      <c r="A3" s="2" t="s">
        <v>11</v>
      </c>
      <c r="B3" s="4">
        <v>2.0</v>
      </c>
      <c r="C3" s="4">
        <v>6.0</v>
      </c>
      <c r="D3" s="4"/>
      <c r="E3" s="4"/>
      <c r="F3" s="4"/>
      <c r="G3" s="4">
        <v>17.0</v>
      </c>
      <c r="H3" s="4"/>
      <c r="I3" s="4"/>
      <c r="J3" s="4"/>
      <c r="K3" s="4">
        <v>4.0</v>
      </c>
      <c r="L3" s="4"/>
      <c r="M3" s="4"/>
      <c r="N3" s="4"/>
      <c r="O3" s="4">
        <v>71.0</v>
      </c>
      <c r="P3" s="4"/>
      <c r="Q3" s="4"/>
      <c r="R3" s="4"/>
      <c r="S3" s="4">
        <v>6.0</v>
      </c>
      <c r="T3" s="4"/>
      <c r="U3" s="4"/>
      <c r="V3" s="4"/>
      <c r="W3" s="5">
        <f t="shared" si="1"/>
        <v>77</v>
      </c>
      <c r="X3" s="4"/>
      <c r="Y3" s="4"/>
      <c r="Z3" s="4"/>
      <c r="AA3" s="5"/>
      <c r="AB3" s="5"/>
      <c r="AC3" s="5"/>
      <c r="AD3" s="5"/>
      <c r="AE3" s="5"/>
      <c r="AF3" s="5"/>
      <c r="AG3" s="5"/>
      <c r="AH3" s="6"/>
      <c r="AI3" s="5"/>
      <c r="AJ3" s="6"/>
      <c r="AK3" s="6"/>
      <c r="AL3" s="6"/>
      <c r="AM3" s="5"/>
      <c r="AN3" s="5"/>
      <c r="AO3" s="5"/>
      <c r="AP3" s="5"/>
      <c r="AQ3" s="5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>
      <c r="A4" s="2" t="s">
        <v>11</v>
      </c>
      <c r="B4" s="4">
        <v>3.0</v>
      </c>
      <c r="C4" s="4">
        <v>13.0</v>
      </c>
      <c r="D4" s="4"/>
      <c r="E4" s="4"/>
      <c r="F4" s="4"/>
      <c r="G4" s="4">
        <v>11.0</v>
      </c>
      <c r="H4" s="4"/>
      <c r="I4" s="4"/>
      <c r="J4" s="4"/>
      <c r="K4" s="4">
        <v>3.0</v>
      </c>
      <c r="L4" s="4"/>
      <c r="M4" s="4"/>
      <c r="N4" s="4"/>
      <c r="O4" s="4">
        <v>72.0</v>
      </c>
      <c r="P4" s="4"/>
      <c r="Q4" s="4"/>
      <c r="R4" s="4"/>
      <c r="S4" s="4">
        <v>1.0</v>
      </c>
      <c r="T4" s="4"/>
      <c r="U4" s="4"/>
      <c r="V4" s="4"/>
      <c r="W4" s="5">
        <f t="shared" si="1"/>
        <v>73</v>
      </c>
      <c r="X4" s="4"/>
      <c r="Y4" s="4"/>
      <c r="Z4" s="4"/>
      <c r="AA4" s="5"/>
      <c r="AB4" s="5"/>
      <c r="AC4" s="5"/>
      <c r="AD4" s="5"/>
      <c r="AE4" s="5"/>
      <c r="AF4" s="5"/>
      <c r="AG4" s="5"/>
      <c r="AH4" s="5"/>
      <c r="AI4" s="5"/>
      <c r="AJ4" s="5"/>
      <c r="AK4" s="6"/>
      <c r="AL4" s="6"/>
      <c r="AM4" s="5"/>
      <c r="AN4" s="5"/>
      <c r="AO4" s="5"/>
      <c r="AP4" s="5"/>
      <c r="AQ4" s="5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</row>
    <row r="5">
      <c r="A5" s="2" t="s">
        <v>12</v>
      </c>
      <c r="B5" s="4">
        <v>1.0</v>
      </c>
      <c r="C5" s="4">
        <v>15.0</v>
      </c>
      <c r="D5" s="4">
        <f>AVERAGE(C5:C7)</f>
        <v>14</v>
      </c>
      <c r="E5" s="4">
        <f>STDEV(C5:C7)</f>
        <v>4.582575695</v>
      </c>
      <c r="F5" s="4">
        <f>E5/SQRT(3)</f>
        <v>2.645751311</v>
      </c>
      <c r="G5" s="4">
        <v>23.0</v>
      </c>
      <c r="H5" s="4">
        <f>AVERAGE(G5:G7)</f>
        <v>23</v>
      </c>
      <c r="I5" s="4">
        <f>STDEV(G5:G7)</f>
        <v>1</v>
      </c>
      <c r="J5" s="4">
        <f>I5/SQRT(3)</f>
        <v>0.5773502692</v>
      </c>
      <c r="K5" s="4">
        <v>6.0</v>
      </c>
      <c r="L5" s="4">
        <f>AVERAGE(K5:K7)</f>
        <v>5.666666667</v>
      </c>
      <c r="M5" s="4">
        <f>STDEV(K5:K7)</f>
        <v>2.516611478</v>
      </c>
      <c r="N5" s="4">
        <f>M5/SQRT(3)</f>
        <v>1.452966315</v>
      </c>
      <c r="O5" s="4">
        <v>110.0</v>
      </c>
      <c r="P5" s="4">
        <f>AVERAGE(O5:O7)</f>
        <v>91</v>
      </c>
      <c r="Q5" s="4">
        <f>STDEV(O5:O7)</f>
        <v>29.51270913</v>
      </c>
      <c r="R5" s="4">
        <f>Q5/SQRT(3)</f>
        <v>17.03917056</v>
      </c>
      <c r="S5" s="4">
        <v>37.0</v>
      </c>
      <c r="T5" s="4">
        <f>AVERAGE(S5:S7)</f>
        <v>31</v>
      </c>
      <c r="U5" s="4">
        <f>STDEV(S5:S7)</f>
        <v>8.717797887</v>
      </c>
      <c r="V5" s="4">
        <f>U5/SQRT(3)</f>
        <v>5.033222957</v>
      </c>
      <c r="W5" s="5">
        <f t="shared" si="1"/>
        <v>147</v>
      </c>
      <c r="X5" s="4">
        <f>AVERAGE(W5:W7)</f>
        <v>122</v>
      </c>
      <c r="Y5" s="4">
        <f>STDEV(W5:W7)</f>
        <v>27.83882181</v>
      </c>
      <c r="Z5" s="4">
        <f>Y5/SQRT(3)</f>
        <v>16.07275127</v>
      </c>
      <c r="AA5" s="5"/>
      <c r="AB5" s="5"/>
      <c r="AC5" s="5"/>
      <c r="AD5" s="5"/>
      <c r="AE5" s="5"/>
      <c r="AF5" s="5"/>
      <c r="AG5" s="5"/>
      <c r="AH5" s="6"/>
      <c r="AI5" s="5"/>
      <c r="AJ5" s="6"/>
      <c r="AK5" s="6"/>
      <c r="AL5" s="6"/>
      <c r="AM5" s="5"/>
      <c r="AN5" s="5"/>
      <c r="AO5" s="5"/>
      <c r="AP5" s="5"/>
      <c r="AQ5" s="5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>
      <c r="A6" s="2" t="s">
        <v>12</v>
      </c>
      <c r="B6" s="4">
        <v>2.0</v>
      </c>
      <c r="C6" s="4">
        <v>9.0</v>
      </c>
      <c r="D6" s="4"/>
      <c r="E6" s="4"/>
      <c r="F6" s="4"/>
      <c r="G6" s="4">
        <v>22.0</v>
      </c>
      <c r="H6" s="4"/>
      <c r="I6" s="4"/>
      <c r="J6" s="4"/>
      <c r="K6" s="4">
        <v>8.0</v>
      </c>
      <c r="L6" s="4"/>
      <c r="M6" s="4"/>
      <c r="N6" s="4"/>
      <c r="O6" s="4">
        <v>57.0</v>
      </c>
      <c r="P6" s="4"/>
      <c r="Q6" s="4"/>
      <c r="R6" s="4"/>
      <c r="S6" s="4">
        <v>35.0</v>
      </c>
      <c r="T6" s="4"/>
      <c r="U6" s="4"/>
      <c r="V6" s="4"/>
      <c r="W6" s="5">
        <f t="shared" si="1"/>
        <v>92</v>
      </c>
      <c r="X6" s="4"/>
      <c r="Y6" s="4"/>
      <c r="Z6" s="4"/>
      <c r="AA6" s="5"/>
      <c r="AB6" s="5"/>
      <c r="AC6" s="5"/>
      <c r="AD6" s="5"/>
      <c r="AE6" s="5"/>
      <c r="AF6" s="5"/>
      <c r="AG6" s="5"/>
      <c r="AH6" s="5"/>
      <c r="AI6" s="5"/>
      <c r="AJ6" s="5"/>
      <c r="AK6" s="6"/>
      <c r="AL6" s="6"/>
      <c r="AM6" s="5"/>
      <c r="AN6" s="5"/>
      <c r="AO6" s="5"/>
      <c r="AP6" s="5"/>
      <c r="AQ6" s="5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>
      <c r="A7" s="2" t="s">
        <v>12</v>
      </c>
      <c r="B7" s="4">
        <v>3.0</v>
      </c>
      <c r="C7" s="4">
        <v>18.0</v>
      </c>
      <c r="D7" s="4"/>
      <c r="E7" s="4"/>
      <c r="F7" s="4"/>
      <c r="G7" s="4">
        <v>24.0</v>
      </c>
      <c r="H7" s="4"/>
      <c r="I7" s="4"/>
      <c r="J7" s="4"/>
      <c r="K7" s="4">
        <v>3.0</v>
      </c>
      <c r="L7" s="4"/>
      <c r="M7" s="4"/>
      <c r="N7" s="4"/>
      <c r="O7" s="4">
        <v>106.0</v>
      </c>
      <c r="P7" s="4"/>
      <c r="Q7" s="4"/>
      <c r="R7" s="4"/>
      <c r="S7" s="4">
        <v>21.0</v>
      </c>
      <c r="T7" s="4"/>
      <c r="U7" s="4"/>
      <c r="V7" s="4"/>
      <c r="W7" s="5">
        <f t="shared" si="1"/>
        <v>127</v>
      </c>
      <c r="X7" s="4"/>
      <c r="Y7" s="4"/>
      <c r="Z7" s="4"/>
      <c r="AA7" s="5"/>
      <c r="AB7" s="5"/>
      <c r="AC7" s="5"/>
      <c r="AD7" s="5"/>
      <c r="AE7" s="5"/>
      <c r="AF7" s="5"/>
      <c r="AG7" s="5"/>
      <c r="AH7" s="5"/>
      <c r="AI7" s="5"/>
      <c r="AJ7" s="5"/>
      <c r="AK7" s="6"/>
      <c r="AL7" s="6"/>
      <c r="AM7" s="5"/>
      <c r="AN7" s="5"/>
      <c r="AO7" s="5"/>
      <c r="AP7" s="5"/>
      <c r="AQ7" s="5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>
      <c r="A8" s="2" t="s">
        <v>13</v>
      </c>
      <c r="B8" s="4">
        <v>1.0</v>
      </c>
      <c r="C8" s="4">
        <v>19.0</v>
      </c>
      <c r="D8" s="4">
        <f>AVERAGE(C8:C10)</f>
        <v>12</v>
      </c>
      <c r="E8" s="4">
        <f>STDEV(C8:C10)</f>
        <v>7</v>
      </c>
      <c r="F8" s="4">
        <f>E8/SQRT(3)</f>
        <v>4.041451884</v>
      </c>
      <c r="G8" s="4">
        <v>34.0</v>
      </c>
      <c r="H8" s="4">
        <f>AVERAGE(G8:G10)</f>
        <v>26.66666667</v>
      </c>
      <c r="I8" s="4">
        <f>STDEV(G8:G10)</f>
        <v>6.350852961</v>
      </c>
      <c r="J8" s="4">
        <f>I8/SQRT(3)</f>
        <v>3.666666667</v>
      </c>
      <c r="K8" s="4">
        <v>21.0</v>
      </c>
      <c r="L8" s="4">
        <f>AVERAGE(K8:K10)</f>
        <v>18</v>
      </c>
      <c r="M8" s="4">
        <f>STDEV(K8:K10)</f>
        <v>3</v>
      </c>
      <c r="N8" s="4">
        <f>M8/SQRT(3)</f>
        <v>1.732050808</v>
      </c>
      <c r="O8" s="4">
        <v>173.0</v>
      </c>
      <c r="P8" s="4">
        <f>AVERAGE(O8:O10)</f>
        <v>125</v>
      </c>
      <c r="Q8" s="4">
        <f>STDEV(O8:O10)</f>
        <v>64.25729531</v>
      </c>
      <c r="R8" s="4">
        <f>Q8/SQRT(3)</f>
        <v>37.09896674</v>
      </c>
      <c r="S8" s="4">
        <v>61.0</v>
      </c>
      <c r="T8" s="4">
        <f>AVERAGE(S8:S10)</f>
        <v>55</v>
      </c>
      <c r="U8" s="4">
        <f>STDEV(S8:S10)</f>
        <v>5.291502622</v>
      </c>
      <c r="V8" s="4">
        <f>U8/SQRT(3)</f>
        <v>3.055050463</v>
      </c>
      <c r="W8" s="5">
        <f t="shared" si="1"/>
        <v>234</v>
      </c>
      <c r="X8" s="4">
        <f>AVERAGE(W8:W10)</f>
        <v>180</v>
      </c>
      <c r="Y8" s="4">
        <f>STDEV(W8:W10)</f>
        <v>68.46166811</v>
      </c>
      <c r="Z8" s="4">
        <f>Y8/SQRT(3)</f>
        <v>39.52636251</v>
      </c>
      <c r="AA8" s="5"/>
      <c r="AB8" s="5"/>
      <c r="AC8" s="5"/>
      <c r="AD8" s="5"/>
      <c r="AE8" s="5"/>
      <c r="AF8" s="5"/>
      <c r="AG8" s="5"/>
      <c r="AH8" s="6"/>
      <c r="AI8" s="5"/>
      <c r="AJ8" s="6"/>
      <c r="AK8" s="6"/>
      <c r="AL8" s="6"/>
      <c r="AM8" s="5"/>
      <c r="AN8" s="5"/>
      <c r="AO8" s="5"/>
      <c r="AP8" s="5"/>
      <c r="AQ8" s="5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>
      <c r="A9" s="2" t="s">
        <v>13</v>
      </c>
      <c r="B9" s="4">
        <v>2.0</v>
      </c>
      <c r="C9" s="4">
        <v>12.0</v>
      </c>
      <c r="D9" s="4"/>
      <c r="E9" s="4"/>
      <c r="F9" s="4"/>
      <c r="G9" s="4">
        <v>23.0</v>
      </c>
      <c r="H9" s="4"/>
      <c r="I9" s="4"/>
      <c r="J9" s="4"/>
      <c r="K9" s="4">
        <v>15.0</v>
      </c>
      <c r="L9" s="4"/>
      <c r="M9" s="4"/>
      <c r="N9" s="4"/>
      <c r="O9" s="4">
        <v>150.0</v>
      </c>
      <c r="P9" s="4"/>
      <c r="Q9" s="4"/>
      <c r="R9" s="4"/>
      <c r="S9" s="4">
        <v>53.0</v>
      </c>
      <c r="T9" s="4"/>
      <c r="U9" s="4"/>
      <c r="V9" s="4"/>
      <c r="W9" s="5">
        <f t="shared" si="1"/>
        <v>203</v>
      </c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  <c r="AK9" s="6"/>
      <c r="AL9" s="6"/>
      <c r="AM9" s="5"/>
      <c r="AN9" s="5"/>
      <c r="AO9" s="5"/>
      <c r="AP9" s="5"/>
      <c r="AQ9" s="5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>
      <c r="A10" s="2" t="s">
        <v>13</v>
      </c>
      <c r="B10" s="4">
        <v>3.0</v>
      </c>
      <c r="C10" s="4">
        <v>5.0</v>
      </c>
      <c r="D10" s="4"/>
      <c r="E10" s="4"/>
      <c r="F10" s="4"/>
      <c r="G10" s="4">
        <v>23.0</v>
      </c>
      <c r="H10" s="4"/>
      <c r="I10" s="4"/>
      <c r="J10" s="4"/>
      <c r="K10" s="4">
        <v>18.0</v>
      </c>
      <c r="L10" s="4"/>
      <c r="M10" s="4"/>
      <c r="N10" s="4"/>
      <c r="O10" s="4">
        <v>52.0</v>
      </c>
      <c r="P10" s="4"/>
      <c r="Q10" s="4"/>
      <c r="R10" s="4"/>
      <c r="S10" s="4">
        <v>51.0</v>
      </c>
      <c r="T10" s="4"/>
      <c r="U10" s="4"/>
      <c r="V10" s="4"/>
      <c r="W10" s="5">
        <f t="shared" si="1"/>
        <v>103</v>
      </c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/>
      <c r="AL10" s="5"/>
      <c r="AM10" s="5"/>
      <c r="AN10" s="5"/>
      <c r="AO10" s="5"/>
      <c r="AP10" s="5"/>
      <c r="AQ10" s="5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>
      <c r="A11" s="2" t="s">
        <v>14</v>
      </c>
      <c r="B11" s="4">
        <v>1.0</v>
      </c>
      <c r="C11" s="4">
        <v>14.0</v>
      </c>
      <c r="D11" s="4">
        <f>AVERAGE(C11:C13)</f>
        <v>13.33333333</v>
      </c>
      <c r="E11" s="4">
        <f>STDEV(C11:C13)</f>
        <v>1.154700538</v>
      </c>
      <c r="F11" s="4">
        <f>E11/SQRT(3)</f>
        <v>0.6666666667</v>
      </c>
      <c r="G11" s="4">
        <v>38.0</v>
      </c>
      <c r="H11" s="4">
        <f>AVERAGE(G11:G13)</f>
        <v>39.66666667</v>
      </c>
      <c r="I11" s="4">
        <f>STDEV(G11:G13)</f>
        <v>3.785938897</v>
      </c>
      <c r="J11" s="4">
        <f>I11/SQRT(3)</f>
        <v>2.185812841</v>
      </c>
      <c r="K11" s="4">
        <v>10.0</v>
      </c>
      <c r="L11" s="4">
        <f>AVERAGE(K11:K13)</f>
        <v>11.66666667</v>
      </c>
      <c r="M11" s="4">
        <f>STDEV(K11:K13)</f>
        <v>1.527525232</v>
      </c>
      <c r="N11" s="4">
        <f>M11/SQRT(3)</f>
        <v>0.8819171037</v>
      </c>
      <c r="O11" s="4">
        <v>104.0</v>
      </c>
      <c r="P11" s="4">
        <f>AVERAGE(O11:O13)</f>
        <v>109.6666667</v>
      </c>
      <c r="Q11" s="4">
        <f>STDEV(O11:O13)</f>
        <v>4.932882862</v>
      </c>
      <c r="R11" s="4">
        <f>Q11/SQRT(3)</f>
        <v>2.848001248</v>
      </c>
      <c r="S11" s="4">
        <v>78.0</v>
      </c>
      <c r="T11" s="4">
        <f>AVERAGE(S11:S13)</f>
        <v>77.33333333</v>
      </c>
      <c r="U11" s="4">
        <f>STDEV(S11:S13)</f>
        <v>5.033222957</v>
      </c>
      <c r="V11" s="4">
        <f>U11/SQRT(3)</f>
        <v>2.905932629</v>
      </c>
      <c r="W11" s="5">
        <f t="shared" si="1"/>
        <v>182</v>
      </c>
      <c r="X11" s="4">
        <f>AVERAGE(W11:W13)</f>
        <v>187</v>
      </c>
      <c r="Y11" s="4">
        <f>STDEV(W11:W13)</f>
        <v>6.244997998</v>
      </c>
      <c r="Z11" s="4">
        <f>Y11/SQRT(3)</f>
        <v>3.605551275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>
      <c r="A12" s="2" t="s">
        <v>14</v>
      </c>
      <c r="B12" s="4">
        <v>2.0</v>
      </c>
      <c r="C12" s="7">
        <v>12.0</v>
      </c>
      <c r="D12" s="7"/>
      <c r="E12" s="7"/>
      <c r="F12" s="7"/>
      <c r="G12" s="7">
        <v>37.0</v>
      </c>
      <c r="H12" s="7"/>
      <c r="I12" s="7"/>
      <c r="J12" s="7"/>
      <c r="K12" s="7">
        <v>12.0</v>
      </c>
      <c r="L12" s="7"/>
      <c r="M12" s="7"/>
      <c r="N12" s="7"/>
      <c r="O12" s="7">
        <v>112.0</v>
      </c>
      <c r="P12" s="7"/>
      <c r="Q12" s="7"/>
      <c r="R12" s="7"/>
      <c r="S12" s="7">
        <v>82.0</v>
      </c>
      <c r="T12" s="7"/>
      <c r="U12" s="7"/>
      <c r="V12" s="7"/>
      <c r="W12" s="5">
        <f t="shared" si="1"/>
        <v>194</v>
      </c>
      <c r="X12" s="7"/>
      <c r="Y12" s="7"/>
      <c r="Z12" s="7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>
      <c r="A13" s="2" t="s">
        <v>14</v>
      </c>
      <c r="B13" s="4">
        <v>3.0</v>
      </c>
      <c r="C13" s="7">
        <v>14.0</v>
      </c>
      <c r="D13" s="7"/>
      <c r="E13" s="7"/>
      <c r="F13" s="7"/>
      <c r="G13" s="7">
        <v>44.0</v>
      </c>
      <c r="H13" s="7"/>
      <c r="I13" s="7"/>
      <c r="J13" s="7"/>
      <c r="K13" s="7">
        <v>13.0</v>
      </c>
      <c r="L13" s="7"/>
      <c r="M13" s="7"/>
      <c r="N13" s="7"/>
      <c r="O13" s="7">
        <v>113.0</v>
      </c>
      <c r="P13" s="7"/>
      <c r="Q13" s="7"/>
      <c r="R13" s="7"/>
      <c r="S13" s="7">
        <v>72.0</v>
      </c>
      <c r="T13" s="7"/>
      <c r="U13" s="7"/>
      <c r="V13" s="7"/>
      <c r="W13" s="5">
        <f t="shared" si="1"/>
        <v>185</v>
      </c>
      <c r="X13" s="7"/>
      <c r="Y13" s="7"/>
      <c r="Z13" s="7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>
      <c r="A14" s="2" t="s">
        <v>15</v>
      </c>
      <c r="B14" s="4">
        <v>1.0</v>
      </c>
      <c r="C14" s="7">
        <v>12.0</v>
      </c>
      <c r="D14" s="4">
        <f>AVERAGE(C14:C16)</f>
        <v>14</v>
      </c>
      <c r="E14" s="4">
        <f>STDEV(C14:C16)</f>
        <v>2</v>
      </c>
      <c r="F14" s="4">
        <f>E14/SQRT(3)</f>
        <v>1.154700538</v>
      </c>
      <c r="G14" s="7">
        <v>18.0</v>
      </c>
      <c r="H14" s="4">
        <f>AVERAGE(G14:G16)</f>
        <v>27.66666667</v>
      </c>
      <c r="I14" s="4">
        <f>STDEV(G14:G16)</f>
        <v>8.504900548</v>
      </c>
      <c r="J14" s="4">
        <f>I14/SQRT(3)</f>
        <v>4.910306621</v>
      </c>
      <c r="K14" s="7">
        <v>5.0</v>
      </c>
      <c r="L14" s="4">
        <f>AVERAGE(K14:K16)</f>
        <v>4.666666667</v>
      </c>
      <c r="M14" s="4">
        <f>STDEV(K14:K16)</f>
        <v>2.516611478</v>
      </c>
      <c r="N14" s="4">
        <f>M14/SQRT(3)</f>
        <v>1.452966315</v>
      </c>
      <c r="O14" s="7">
        <v>69.0</v>
      </c>
      <c r="P14" s="4">
        <f>AVERAGE(O14:O16)</f>
        <v>89.33333333</v>
      </c>
      <c r="Q14" s="4">
        <f>STDEV(O14:O16)</f>
        <v>21.59475245</v>
      </c>
      <c r="R14" s="4">
        <f>Q14/SQRT(3)</f>
        <v>12.46773614</v>
      </c>
      <c r="S14" s="7">
        <v>56.0</v>
      </c>
      <c r="T14" s="4">
        <f>AVERAGE(S14:S16)</f>
        <v>59.66666667</v>
      </c>
      <c r="U14" s="4">
        <f>STDEV(S14:S16)</f>
        <v>4.725815626</v>
      </c>
      <c r="V14" s="4">
        <f>U14/SQRT(3)</f>
        <v>2.728450924</v>
      </c>
      <c r="W14" s="5">
        <f t="shared" si="1"/>
        <v>125</v>
      </c>
      <c r="X14" s="4">
        <f>AVERAGE(W14:W16)</f>
        <v>149</v>
      </c>
      <c r="Y14" s="4">
        <f>STDEV(W14:W16)</f>
        <v>22.64950331</v>
      </c>
      <c r="Z14" s="4">
        <f>Y14/SQRT(3)</f>
        <v>13.07669683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>
      <c r="A15" s="2" t="s">
        <v>15</v>
      </c>
      <c r="B15" s="4">
        <v>2.0</v>
      </c>
      <c r="C15" s="7">
        <v>16.0</v>
      </c>
      <c r="D15" s="7"/>
      <c r="E15" s="7"/>
      <c r="F15" s="7"/>
      <c r="G15" s="7">
        <v>31.0</v>
      </c>
      <c r="H15" s="7"/>
      <c r="I15" s="7"/>
      <c r="J15" s="7"/>
      <c r="K15" s="7">
        <v>7.0</v>
      </c>
      <c r="L15" s="7"/>
      <c r="M15" s="7"/>
      <c r="N15" s="7"/>
      <c r="O15" s="7">
        <v>112.0</v>
      </c>
      <c r="P15" s="7"/>
      <c r="Q15" s="7"/>
      <c r="R15" s="7"/>
      <c r="S15" s="7">
        <v>58.0</v>
      </c>
      <c r="T15" s="7"/>
      <c r="U15" s="7"/>
      <c r="V15" s="7"/>
      <c r="W15" s="5">
        <f t="shared" si="1"/>
        <v>170</v>
      </c>
      <c r="X15" s="7"/>
      <c r="Y15" s="7"/>
      <c r="Z15" s="7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>
      <c r="A16" s="2" t="s">
        <v>15</v>
      </c>
      <c r="B16" s="4">
        <v>3.0</v>
      </c>
      <c r="C16" s="7">
        <v>14.0</v>
      </c>
      <c r="D16" s="7"/>
      <c r="E16" s="7"/>
      <c r="F16" s="7"/>
      <c r="G16" s="7">
        <v>34.0</v>
      </c>
      <c r="H16" s="7"/>
      <c r="I16" s="7"/>
      <c r="J16" s="7"/>
      <c r="K16" s="7">
        <v>2.0</v>
      </c>
      <c r="L16" s="7"/>
      <c r="M16" s="7"/>
      <c r="N16" s="7"/>
      <c r="O16" s="7">
        <v>87.0</v>
      </c>
      <c r="P16" s="7"/>
      <c r="Q16" s="7"/>
      <c r="R16" s="7"/>
      <c r="S16" s="7">
        <v>65.0</v>
      </c>
      <c r="T16" s="7"/>
      <c r="U16" s="7"/>
      <c r="V16" s="7"/>
      <c r="W16" s="5">
        <f t="shared" si="1"/>
        <v>152</v>
      </c>
      <c r="X16" s="7"/>
      <c r="Y16" s="7"/>
      <c r="Z16" s="7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>
      <c r="A17" s="2" t="s">
        <v>16</v>
      </c>
      <c r="B17" s="4">
        <v>1.0</v>
      </c>
      <c r="C17" s="7">
        <v>4.0</v>
      </c>
      <c r="D17" s="4">
        <f>AVERAGE(C17:C19)</f>
        <v>6.666666667</v>
      </c>
      <c r="E17" s="4">
        <f>STDEV(C17:C19)</f>
        <v>2.516611478</v>
      </c>
      <c r="F17" s="4">
        <f>E17/SQRT(3)</f>
        <v>1.452966315</v>
      </c>
      <c r="G17" s="7">
        <v>11.0</v>
      </c>
      <c r="H17" s="4">
        <f>AVERAGE(G17:G19)</f>
        <v>15.66666667</v>
      </c>
      <c r="I17" s="4">
        <f>STDEV(G17:G19)</f>
        <v>4.163331999</v>
      </c>
      <c r="J17" s="4">
        <f>I17/SQRT(3)</f>
        <v>2.40370085</v>
      </c>
      <c r="K17" s="7">
        <v>2.0</v>
      </c>
      <c r="L17" s="4">
        <f>AVERAGE(K17:K19)</f>
        <v>1.666666667</v>
      </c>
      <c r="M17" s="4">
        <f>STDEV(K17:K19)</f>
        <v>0.5773502692</v>
      </c>
      <c r="N17" s="4">
        <f>M17/SQRT(3)</f>
        <v>0.3333333333</v>
      </c>
      <c r="O17" s="7">
        <v>40.0</v>
      </c>
      <c r="P17" s="4">
        <f>AVERAGE(O17:O19)</f>
        <v>50.66666667</v>
      </c>
      <c r="Q17" s="4">
        <f>STDEV(O17:O19)</f>
        <v>10.06644591</v>
      </c>
      <c r="R17" s="4">
        <f>Q17/SQRT(3)</f>
        <v>5.811865258</v>
      </c>
      <c r="S17" s="7">
        <v>16.0</v>
      </c>
      <c r="T17" s="4">
        <f>AVERAGE(S17:S19)</f>
        <v>21</v>
      </c>
      <c r="U17" s="4">
        <f>STDEV(S17:S19)</f>
        <v>6.244997998</v>
      </c>
      <c r="V17" s="4">
        <f>U17/SQRT(3)</f>
        <v>3.605551275</v>
      </c>
      <c r="W17" s="5">
        <f t="shared" si="1"/>
        <v>56</v>
      </c>
      <c r="X17" s="4">
        <f>AVERAGE(W17:W19)</f>
        <v>71.66666667</v>
      </c>
      <c r="Y17" s="4">
        <f>STDEV(W17:W19)</f>
        <v>13.57694124</v>
      </c>
      <c r="Z17" s="4">
        <f>Y17/SQRT(3)</f>
        <v>7.838650678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>
      <c r="A18" s="2" t="s">
        <v>16</v>
      </c>
      <c r="B18" s="4">
        <v>2.0</v>
      </c>
      <c r="C18" s="7">
        <v>9.0</v>
      </c>
      <c r="D18" s="7"/>
      <c r="E18" s="7"/>
      <c r="F18" s="7"/>
      <c r="G18" s="7">
        <v>19.0</v>
      </c>
      <c r="H18" s="7"/>
      <c r="I18" s="7"/>
      <c r="J18" s="7"/>
      <c r="K18" s="7">
        <v>1.0</v>
      </c>
      <c r="L18" s="7"/>
      <c r="M18" s="7"/>
      <c r="N18" s="7"/>
      <c r="O18" s="7">
        <v>60.0</v>
      </c>
      <c r="P18" s="7"/>
      <c r="Q18" s="7"/>
      <c r="R18" s="7"/>
      <c r="S18" s="7">
        <v>19.0</v>
      </c>
      <c r="T18" s="7"/>
      <c r="U18" s="7"/>
      <c r="V18" s="7"/>
      <c r="W18" s="5">
        <f t="shared" si="1"/>
        <v>79</v>
      </c>
      <c r="X18" s="7"/>
      <c r="Y18" s="7"/>
      <c r="Z18" s="7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>
      <c r="A19" s="2" t="s">
        <v>16</v>
      </c>
      <c r="B19" s="4">
        <v>3.0</v>
      </c>
      <c r="C19" s="7">
        <v>7.0</v>
      </c>
      <c r="D19" s="7"/>
      <c r="E19" s="7"/>
      <c r="F19" s="7"/>
      <c r="G19" s="7">
        <v>17.0</v>
      </c>
      <c r="H19" s="7"/>
      <c r="I19" s="7"/>
      <c r="J19" s="7"/>
      <c r="K19" s="7">
        <v>2.0</v>
      </c>
      <c r="L19" s="7"/>
      <c r="M19" s="7"/>
      <c r="N19" s="7"/>
      <c r="O19" s="7">
        <v>52.0</v>
      </c>
      <c r="P19" s="7"/>
      <c r="Q19" s="7"/>
      <c r="R19" s="7"/>
      <c r="S19" s="7">
        <v>28.0</v>
      </c>
      <c r="T19" s="7"/>
      <c r="U19" s="7"/>
      <c r="V19" s="7"/>
      <c r="W19" s="5">
        <f t="shared" si="1"/>
        <v>80</v>
      </c>
      <c r="X19" s="7"/>
      <c r="Y19" s="7"/>
      <c r="Z19" s="7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>
      <c r="A20" s="2" t="s">
        <v>17</v>
      </c>
      <c r="B20" s="4">
        <v>1.0</v>
      </c>
      <c r="C20" s="7">
        <v>15.0</v>
      </c>
      <c r="D20" s="4">
        <f>AVERAGE(C20:C22)</f>
        <v>13</v>
      </c>
      <c r="E20" s="4">
        <f>STDEV(C20:C22)</f>
        <v>7.211102551</v>
      </c>
      <c r="F20" s="4">
        <f>E20/SQRT(3)</f>
        <v>4.163331999</v>
      </c>
      <c r="G20" s="7">
        <v>7.0</v>
      </c>
      <c r="H20" s="4">
        <f>AVERAGE(G20:G22)</f>
        <v>9.333333333</v>
      </c>
      <c r="I20" s="4">
        <f>STDEV(G20:G22)</f>
        <v>2.516611478</v>
      </c>
      <c r="J20" s="4">
        <f>I20/SQRT(3)</f>
        <v>1.452966315</v>
      </c>
      <c r="K20" s="7">
        <v>1.0</v>
      </c>
      <c r="L20" s="4">
        <f>AVERAGE(K20:K22)</f>
        <v>1.666666667</v>
      </c>
      <c r="M20" s="4">
        <f>STDEV(K20:K22)</f>
        <v>2.081665999</v>
      </c>
      <c r="N20" s="4">
        <f>M20/SQRT(3)</f>
        <v>1.201850425</v>
      </c>
      <c r="O20" s="7">
        <v>58.0</v>
      </c>
      <c r="P20" s="4">
        <f>AVERAGE(O20:O22)</f>
        <v>63</v>
      </c>
      <c r="Q20" s="4">
        <f>STDEV(O20:O22)</f>
        <v>14.17744688</v>
      </c>
      <c r="R20" s="4">
        <f>Q20/SQRT(3)</f>
        <v>8.185352772</v>
      </c>
      <c r="S20" s="7">
        <v>9.0</v>
      </c>
      <c r="T20" s="4">
        <f>AVERAGE(S20:S22)</f>
        <v>12</v>
      </c>
      <c r="U20" s="4">
        <f>STDEV(S20:S22)</f>
        <v>4.358898944</v>
      </c>
      <c r="V20" s="4">
        <f>U20/SQRT(3)</f>
        <v>2.516611478</v>
      </c>
      <c r="W20" s="5">
        <f t="shared" si="1"/>
        <v>67</v>
      </c>
      <c r="X20" s="4">
        <f>AVERAGE(W20:W22)</f>
        <v>75</v>
      </c>
      <c r="Y20" s="4">
        <f>STDEV(W20:W22)</f>
        <v>18.35755975</v>
      </c>
      <c r="Z20" s="4">
        <f>Y20/SQRT(3)</f>
        <v>10.59874206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>
      <c r="A21" s="2" t="s">
        <v>17</v>
      </c>
      <c r="B21" s="4">
        <v>2.0</v>
      </c>
      <c r="C21" s="7">
        <v>5.0</v>
      </c>
      <c r="D21" s="7"/>
      <c r="E21" s="7"/>
      <c r="F21" s="7"/>
      <c r="G21" s="7">
        <v>12.0</v>
      </c>
      <c r="H21" s="7"/>
      <c r="I21" s="7"/>
      <c r="J21" s="7"/>
      <c r="K21" s="7">
        <v>4.0</v>
      </c>
      <c r="L21" s="7"/>
      <c r="M21" s="7"/>
      <c r="N21" s="7"/>
      <c r="O21" s="7">
        <v>52.0</v>
      </c>
      <c r="P21" s="7"/>
      <c r="Q21" s="7"/>
      <c r="R21" s="7"/>
      <c r="S21" s="7">
        <v>10.0</v>
      </c>
      <c r="T21" s="7"/>
      <c r="U21" s="7"/>
      <c r="V21" s="7"/>
      <c r="W21" s="5">
        <f t="shared" si="1"/>
        <v>62</v>
      </c>
      <c r="X21" s="7"/>
      <c r="Y21" s="7"/>
      <c r="Z21" s="7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>
      <c r="A22" s="2" t="s">
        <v>17</v>
      </c>
      <c r="B22" s="4">
        <v>3.0</v>
      </c>
      <c r="C22" s="7">
        <v>19.0</v>
      </c>
      <c r="D22" s="7"/>
      <c r="E22" s="7"/>
      <c r="F22" s="7"/>
      <c r="G22" s="7">
        <v>9.0</v>
      </c>
      <c r="H22" s="7"/>
      <c r="I22" s="7"/>
      <c r="J22" s="7"/>
      <c r="K22" s="7">
        <v>0.0</v>
      </c>
      <c r="L22" s="7"/>
      <c r="M22" s="7"/>
      <c r="N22" s="7"/>
      <c r="O22" s="7">
        <v>79.0</v>
      </c>
      <c r="P22" s="7"/>
      <c r="Q22" s="7"/>
      <c r="R22" s="7"/>
      <c r="S22" s="7">
        <v>17.0</v>
      </c>
      <c r="T22" s="7"/>
      <c r="U22" s="7"/>
      <c r="V22" s="7"/>
      <c r="W22" s="5">
        <f t="shared" si="1"/>
        <v>96</v>
      </c>
      <c r="X22" s="7"/>
      <c r="Y22" s="7"/>
      <c r="Z22" s="7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>
      <c r="A23" s="2" t="s">
        <v>18</v>
      </c>
      <c r="B23" s="4">
        <v>1.0</v>
      </c>
      <c r="C23" s="7">
        <v>16.0</v>
      </c>
      <c r="D23" s="4">
        <f>AVERAGE(C23:C25)</f>
        <v>21.33333333</v>
      </c>
      <c r="E23" s="4">
        <f>STDEV(C23:C25)</f>
        <v>4.725815626</v>
      </c>
      <c r="F23" s="4">
        <f>E23/SQRT(3)</f>
        <v>2.728450924</v>
      </c>
      <c r="G23" s="7">
        <v>17.0</v>
      </c>
      <c r="H23" s="4">
        <f>AVERAGE(G23:G25)</f>
        <v>20</v>
      </c>
      <c r="I23" s="4">
        <f>STDEV(G23:G25)</f>
        <v>3.605551275</v>
      </c>
      <c r="J23" s="4">
        <f>I23/SQRT(3)</f>
        <v>2.081665999</v>
      </c>
      <c r="K23" s="7">
        <v>3.0</v>
      </c>
      <c r="L23" s="4">
        <f>AVERAGE(K23:K25)</f>
        <v>4.333333333</v>
      </c>
      <c r="M23" s="4">
        <f>STDEV(K23:K25)</f>
        <v>1.154700538</v>
      </c>
      <c r="N23" s="4">
        <f>M23/SQRT(3)</f>
        <v>0.6666666667</v>
      </c>
      <c r="O23" s="7">
        <v>61.0</v>
      </c>
      <c r="P23" s="4">
        <f>AVERAGE(O23:O25)</f>
        <v>94.66666667</v>
      </c>
      <c r="Q23" s="4">
        <f>STDEV(O23:O25)</f>
        <v>29.67041175</v>
      </c>
      <c r="R23" s="4">
        <f>Q23/SQRT(3)</f>
        <v>17.13022021</v>
      </c>
      <c r="S23" s="7">
        <v>25.0</v>
      </c>
      <c r="T23" s="4">
        <f>AVERAGE(S23:S25)</f>
        <v>23</v>
      </c>
      <c r="U23" s="4">
        <f>STDEV(S23:S25)</f>
        <v>2.645751311</v>
      </c>
      <c r="V23" s="4">
        <f>U23/SQRT(3)</f>
        <v>1.527525232</v>
      </c>
      <c r="W23" s="5">
        <f t="shared" si="1"/>
        <v>86</v>
      </c>
      <c r="X23" s="4">
        <f>AVERAGE(W23:W25)</f>
        <v>117.6666667</v>
      </c>
      <c r="Y23" s="4">
        <f>STDEV(W23:W25)</f>
        <v>28.43120352</v>
      </c>
      <c r="Z23" s="4">
        <f>Y23/SQRT(3)</f>
        <v>16.414763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>
      <c r="A24" s="2" t="s">
        <v>18</v>
      </c>
      <c r="B24" s="4">
        <v>2.0</v>
      </c>
      <c r="C24" s="7">
        <v>25.0</v>
      </c>
      <c r="D24" s="7"/>
      <c r="E24" s="7"/>
      <c r="F24" s="7"/>
      <c r="G24" s="7">
        <v>24.0</v>
      </c>
      <c r="H24" s="7"/>
      <c r="I24" s="7"/>
      <c r="J24" s="7"/>
      <c r="K24" s="7">
        <v>5.0</v>
      </c>
      <c r="L24" s="7"/>
      <c r="M24" s="7"/>
      <c r="N24" s="7"/>
      <c r="O24" s="7">
        <v>117.0</v>
      </c>
      <c r="P24" s="7"/>
      <c r="Q24" s="7"/>
      <c r="R24" s="7"/>
      <c r="S24" s="7">
        <v>24.0</v>
      </c>
      <c r="T24" s="7"/>
      <c r="U24" s="7"/>
      <c r="V24" s="7"/>
      <c r="W24" s="5">
        <f t="shared" si="1"/>
        <v>141</v>
      </c>
      <c r="X24" s="7"/>
      <c r="Y24" s="7"/>
      <c r="Z24" s="7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>
      <c r="A25" s="2" t="s">
        <v>18</v>
      </c>
      <c r="B25" s="4">
        <v>3.0</v>
      </c>
      <c r="C25" s="7">
        <v>23.0</v>
      </c>
      <c r="D25" s="7"/>
      <c r="E25" s="7"/>
      <c r="F25" s="7"/>
      <c r="G25" s="7">
        <v>19.0</v>
      </c>
      <c r="H25" s="7"/>
      <c r="I25" s="7"/>
      <c r="J25" s="7"/>
      <c r="K25" s="7">
        <v>5.0</v>
      </c>
      <c r="L25" s="7"/>
      <c r="M25" s="7"/>
      <c r="N25" s="7"/>
      <c r="O25" s="7">
        <v>106.0</v>
      </c>
      <c r="P25" s="7"/>
      <c r="Q25" s="7"/>
      <c r="R25" s="7"/>
      <c r="S25" s="7">
        <v>20.0</v>
      </c>
      <c r="T25" s="7"/>
      <c r="U25" s="7"/>
      <c r="V25" s="7"/>
      <c r="W25" s="5">
        <f t="shared" si="1"/>
        <v>126</v>
      </c>
      <c r="X25" s="7"/>
      <c r="Y25" s="7"/>
      <c r="Z25" s="7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>
      <c r="A26" s="2"/>
      <c r="B26" s="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>
      <c r="A27" s="2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>
      <c r="A28" s="2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>
      <c r="A29" s="1"/>
      <c r="B29" s="4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>
      <c r="A30" s="1"/>
      <c r="B30" s="4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>
      <c r="A31" s="1"/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>
      <c r="A35" s="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>
      <c r="A36" s="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>
      <c r="A38" s="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>
      <c r="A39" s="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>
      <c r="A40" s="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</row>
    <row r="42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</row>
    <row r="45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</row>
    <row r="48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</row>
    <row r="49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</row>
    <row r="5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  <row r="60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</row>
    <row r="62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</row>
    <row r="63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</row>
    <row r="64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</row>
    <row r="66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</row>
    <row r="67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</row>
    <row r="68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</row>
    <row r="69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</row>
    <row r="70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</row>
    <row r="72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</row>
    <row r="73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</row>
    <row r="74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</row>
    <row r="76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</row>
    <row r="78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</row>
    <row r="79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  <row r="82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</row>
    <row r="86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</row>
    <row r="88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</row>
    <row r="93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</row>
    <row r="94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  <row r="98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</row>
    <row r="99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</row>
    <row r="104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</row>
    <row r="117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</row>
    <row r="178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</row>
    <row r="180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</row>
    <row r="204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</row>
    <row r="206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>
      <c r="A221" s="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</row>
    <row r="222">
      <c r="A222" s="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>
      <c r="A223" s="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</row>
    <row r="224">
      <c r="A224" s="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</row>
    <row r="225">
      <c r="A225" s="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>
      <c r="A226" s="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>
      <c r="A227" s="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</row>
    <row r="228">
      <c r="A228" s="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>
      <c r="A229" s="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</row>
    <row r="230">
      <c r="A230" s="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>
      <c r="A231" s="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</row>
    <row r="232">
      <c r="A232" s="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>
      <c r="A233" s="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</row>
    <row r="234">
      <c r="A234" s="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>
      <c r="A235" s="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</row>
    <row r="236">
      <c r="A236" s="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</row>
    <row r="237">
      <c r="A237" s="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</row>
    <row r="238">
      <c r="A238" s="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</row>
    <row r="239">
      <c r="A239" s="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</row>
    <row r="241">
      <c r="A241" s="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</row>
    <row r="242">
      <c r="A242" s="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</row>
    <row r="243">
      <c r="A243" s="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</row>
    <row r="244">
      <c r="A244" s="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</row>
    <row r="245">
      <c r="A245" s="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</row>
    <row r="246">
      <c r="A246" s="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</row>
    <row r="247">
      <c r="A247" s="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</row>
    <row r="248">
      <c r="A248" s="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</row>
    <row r="249">
      <c r="A249" s="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>
      <c r="A250" s="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>
      <c r="A251" s="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</row>
    <row r="252">
      <c r="A252" s="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</row>
    <row r="253">
      <c r="A253" s="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</row>
    <row r="254">
      <c r="A254" s="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</row>
    <row r="255">
      <c r="A255" s="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</row>
    <row r="256">
      <c r="A256" s="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>
      <c r="A257" s="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</row>
    <row r="258">
      <c r="A258" s="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</row>
    <row r="259">
      <c r="A259" s="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</row>
    <row r="260">
      <c r="A260" s="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</row>
    <row r="261">
      <c r="A261" s="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</row>
    <row r="262">
      <c r="A262" s="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</row>
    <row r="263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>
      <c r="A264" s="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</row>
    <row r="265">
      <c r="A265" s="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</row>
    <row r="266">
      <c r="A266" s="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</row>
    <row r="267">
      <c r="A267" s="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</row>
    <row r="268">
      <c r="A268" s="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</row>
    <row r="269">
      <c r="A269" s="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</row>
    <row r="270">
      <c r="A270" s="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>
      <c r="A271" s="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</row>
    <row r="272">
      <c r="A272" s="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</row>
    <row r="273">
      <c r="A273" s="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>
      <c r="A274" s="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</row>
    <row r="275">
      <c r="A275" s="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</row>
    <row r="276">
      <c r="A276" s="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</row>
    <row r="277">
      <c r="A277" s="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>
      <c r="A278" s="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</row>
    <row r="279">
      <c r="A279" s="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</row>
    <row r="280">
      <c r="A280" s="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</row>
    <row r="281">
      <c r="A281" s="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</row>
    <row r="282">
      <c r="A282" s="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</row>
    <row r="283">
      <c r="A283" s="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</row>
    <row r="284">
      <c r="A284" s="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</row>
    <row r="285">
      <c r="A285" s="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</row>
    <row r="286">
      <c r="A286" s="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</row>
    <row r="287">
      <c r="A287" s="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</row>
    <row r="288">
      <c r="A288" s="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</row>
    <row r="289">
      <c r="A289" s="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</row>
    <row r="290">
      <c r="A290" s="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</row>
    <row r="291">
      <c r="A291" s="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</row>
    <row r="292">
      <c r="A292" s="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>
      <c r="A293" s="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</row>
    <row r="294">
      <c r="A294" s="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</row>
    <row r="295">
      <c r="A295" s="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</row>
    <row r="296">
      <c r="A296" s="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</row>
    <row r="297">
      <c r="A297" s="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</row>
    <row r="298">
      <c r="A298" s="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</row>
    <row r="299">
      <c r="A299" s="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</row>
    <row r="300">
      <c r="A300" s="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</row>
    <row r="301">
      <c r="A301" s="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</row>
    <row r="302">
      <c r="A302" s="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</row>
    <row r="303">
      <c r="A303" s="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</row>
    <row r="304">
      <c r="A304" s="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</row>
    <row r="305">
      <c r="A305" s="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</row>
    <row r="306">
      <c r="A306" s="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</row>
    <row r="307">
      <c r="A307" s="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</row>
    <row r="308">
      <c r="A308" s="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>
      <c r="A309" s="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</row>
    <row r="310">
      <c r="A310" s="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</row>
    <row r="311">
      <c r="A311" s="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</row>
    <row r="312">
      <c r="A312" s="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</row>
    <row r="313">
      <c r="A313" s="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</row>
    <row r="314">
      <c r="A314" s="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</row>
    <row r="315">
      <c r="A315" s="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</row>
    <row r="316">
      <c r="A316" s="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</row>
    <row r="317">
      <c r="A317" s="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</row>
    <row r="318">
      <c r="A318" s="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</row>
    <row r="319">
      <c r="A319" s="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</row>
    <row r="320">
      <c r="A320" s="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</row>
    <row r="321">
      <c r="A321" s="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</row>
    <row r="322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</row>
    <row r="323">
      <c r="A323" s="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</row>
    <row r="324">
      <c r="A324" s="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</row>
    <row r="325">
      <c r="A325" s="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</row>
    <row r="326">
      <c r="A326" s="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</row>
    <row r="327">
      <c r="A327" s="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</row>
    <row r="328">
      <c r="A328" s="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</row>
    <row r="329">
      <c r="A329" s="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</row>
    <row r="330">
      <c r="A330" s="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</row>
    <row r="331">
      <c r="A331" s="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</row>
    <row r="332">
      <c r="A332" s="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</row>
    <row r="333">
      <c r="A333" s="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</row>
    <row r="334">
      <c r="A334" s="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</row>
    <row r="335">
      <c r="A335" s="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</row>
    <row r="336">
      <c r="A336" s="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</row>
    <row r="337">
      <c r="A337" s="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</row>
    <row r="338">
      <c r="A338" s="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</row>
    <row r="339">
      <c r="A339" s="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</row>
    <row r="340">
      <c r="A340" s="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</row>
    <row r="341">
      <c r="A341" s="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</row>
    <row r="342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</row>
    <row r="343">
      <c r="A343" s="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</row>
    <row r="344">
      <c r="A344" s="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</row>
    <row r="345">
      <c r="A345" s="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</row>
    <row r="346">
      <c r="A346" s="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</row>
    <row r="347">
      <c r="A347" s="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</row>
    <row r="348">
      <c r="A348" s="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</row>
    <row r="349">
      <c r="A349" s="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</row>
    <row r="350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</row>
    <row r="351">
      <c r="A351" s="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</row>
    <row r="352">
      <c r="A352" s="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</row>
    <row r="353">
      <c r="A353" s="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</row>
    <row r="354">
      <c r="A354" s="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</row>
    <row r="355">
      <c r="A355" s="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</row>
    <row r="356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>
      <c r="A357" s="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</row>
    <row r="358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</row>
    <row r="359">
      <c r="A359" s="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</row>
    <row r="360">
      <c r="A360" s="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</row>
    <row r="361">
      <c r="A361" s="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</row>
    <row r="362">
      <c r="A362" s="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</row>
    <row r="363">
      <c r="A363" s="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>
      <c r="A364" s="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</row>
    <row r="365">
      <c r="A365" s="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</row>
    <row r="366">
      <c r="A366" s="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</row>
    <row r="367">
      <c r="A367" s="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</row>
    <row r="368">
      <c r="A368" s="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</row>
    <row r="369">
      <c r="A369" s="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</row>
    <row r="370">
      <c r="A370" s="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</row>
    <row r="371">
      <c r="A371" s="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</row>
    <row r="372">
      <c r="A372" s="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</row>
    <row r="373">
      <c r="A373" s="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</row>
    <row r="374">
      <c r="A374" s="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</row>
    <row r="375">
      <c r="A375" s="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</row>
    <row r="376">
      <c r="A376" s="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</row>
    <row r="377">
      <c r="A377" s="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</row>
    <row r="378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</row>
    <row r="379">
      <c r="A379" s="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</row>
    <row r="380">
      <c r="A380" s="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</row>
    <row r="381">
      <c r="A381" s="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</row>
    <row r="382">
      <c r="A382" s="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</row>
    <row r="383">
      <c r="A383" s="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</row>
    <row r="384">
      <c r="A384" s="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</row>
    <row r="385">
      <c r="A385" s="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</row>
    <row r="386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</row>
    <row r="387">
      <c r="A387" s="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</row>
    <row r="388">
      <c r="A388" s="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</row>
    <row r="389">
      <c r="A389" s="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</row>
    <row r="390">
      <c r="A390" s="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</row>
    <row r="391">
      <c r="A391" s="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</row>
    <row r="392">
      <c r="A392" s="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</row>
    <row r="393">
      <c r="A393" s="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</row>
    <row r="394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</row>
    <row r="395">
      <c r="A395" s="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</row>
    <row r="396">
      <c r="A396" s="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</row>
    <row r="397">
      <c r="A397" s="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</row>
    <row r="398">
      <c r="A398" s="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</row>
    <row r="399">
      <c r="A399" s="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</row>
    <row r="400">
      <c r="A400" s="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</row>
    <row r="401">
      <c r="A401" s="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</row>
    <row r="402">
      <c r="A402" s="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</row>
    <row r="403">
      <c r="A403" s="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</row>
    <row r="404">
      <c r="A404" s="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</row>
    <row r="405">
      <c r="A405" s="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</row>
    <row r="406">
      <c r="A406" s="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</row>
    <row r="407">
      <c r="A407" s="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</row>
    <row r="408">
      <c r="A408" s="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</row>
    <row r="409">
      <c r="A409" s="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</row>
    <row r="410">
      <c r="A410" s="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</row>
    <row r="411">
      <c r="A411" s="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</row>
    <row r="412">
      <c r="A412" s="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</row>
    <row r="413">
      <c r="A413" s="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</row>
    <row r="414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</row>
    <row r="415">
      <c r="A415" s="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</row>
    <row r="416">
      <c r="A416" s="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</row>
    <row r="417">
      <c r="A417" s="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</row>
    <row r="418">
      <c r="A418" s="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</row>
    <row r="419">
      <c r="A419" s="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</row>
    <row r="420">
      <c r="A420" s="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</row>
    <row r="421">
      <c r="A421" s="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</row>
    <row r="422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</row>
    <row r="423">
      <c r="A423" s="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</row>
    <row r="424">
      <c r="A424" s="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</row>
    <row r="425">
      <c r="A425" s="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</row>
    <row r="426">
      <c r="A426" s="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</row>
    <row r="427">
      <c r="A427" s="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</row>
    <row r="428">
      <c r="A428" s="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</row>
    <row r="429">
      <c r="A429" s="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</row>
    <row r="430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</row>
    <row r="431">
      <c r="A431" s="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</row>
    <row r="432">
      <c r="A432" s="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</row>
    <row r="433">
      <c r="A433" s="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</row>
    <row r="434">
      <c r="A434" s="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</row>
    <row r="435">
      <c r="A435" s="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</row>
    <row r="436">
      <c r="A436" s="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</row>
    <row r="437">
      <c r="A437" s="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</row>
    <row r="438">
      <c r="A438" s="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</row>
    <row r="439">
      <c r="A439" s="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</row>
    <row r="440">
      <c r="A440" s="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</row>
    <row r="441">
      <c r="A441" s="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</row>
    <row r="442">
      <c r="A442" s="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</row>
    <row r="443">
      <c r="A443" s="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</row>
    <row r="444">
      <c r="A444" s="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</row>
    <row r="445">
      <c r="A445" s="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</row>
    <row r="446">
      <c r="A446" s="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</row>
    <row r="447">
      <c r="A447" s="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</row>
    <row r="448">
      <c r="A448" s="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</row>
    <row r="449">
      <c r="A449" s="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</row>
    <row r="450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</row>
    <row r="451">
      <c r="A451" s="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</row>
    <row r="452">
      <c r="A452" s="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</row>
    <row r="453">
      <c r="A453" s="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</row>
    <row r="454">
      <c r="A454" s="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</row>
    <row r="455">
      <c r="A455" s="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</row>
    <row r="456">
      <c r="A456" s="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</row>
    <row r="457">
      <c r="A457" s="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</row>
    <row r="458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</row>
    <row r="459">
      <c r="A459" s="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</row>
    <row r="460">
      <c r="A460" s="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</row>
    <row r="461">
      <c r="A461" s="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</row>
    <row r="462">
      <c r="A462" s="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</row>
    <row r="463">
      <c r="A463" s="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</row>
    <row r="464">
      <c r="A464" s="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</row>
    <row r="465">
      <c r="A465" s="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</row>
    <row r="466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</row>
    <row r="467">
      <c r="A467" s="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</row>
    <row r="468">
      <c r="A468" s="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</row>
    <row r="469">
      <c r="A469" s="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</row>
    <row r="470">
      <c r="A470" s="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</row>
    <row r="471">
      <c r="A471" s="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</row>
    <row r="472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</row>
    <row r="473">
      <c r="A473" s="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</row>
    <row r="474">
      <c r="A474" s="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</row>
    <row r="475">
      <c r="A475" s="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</row>
    <row r="476">
      <c r="A476" s="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</row>
    <row r="477">
      <c r="A477" s="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</row>
    <row r="478">
      <c r="A478" s="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</row>
    <row r="479">
      <c r="A479" s="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</row>
    <row r="480">
      <c r="A480" s="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</row>
    <row r="481">
      <c r="A481" s="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</row>
    <row r="482">
      <c r="A482" s="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</row>
    <row r="483">
      <c r="A483" s="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</row>
    <row r="484">
      <c r="A484" s="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</row>
    <row r="485">
      <c r="A485" s="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</row>
    <row r="486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</row>
    <row r="487">
      <c r="A487" s="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</row>
    <row r="488">
      <c r="A488" s="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</row>
    <row r="489">
      <c r="A489" s="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</row>
    <row r="490">
      <c r="A490" s="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</row>
    <row r="491">
      <c r="A491" s="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</row>
    <row r="492">
      <c r="A492" s="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</row>
    <row r="493">
      <c r="A493" s="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</row>
    <row r="494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</row>
    <row r="495">
      <c r="A495" s="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</row>
    <row r="496">
      <c r="A496" s="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</row>
    <row r="497">
      <c r="A497" s="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</row>
    <row r="498">
      <c r="A498" s="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</row>
    <row r="499">
      <c r="A499" s="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</row>
    <row r="500">
      <c r="A500" s="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</row>
    <row r="501">
      <c r="A501" s="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</row>
    <row r="502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</row>
    <row r="503">
      <c r="A503" s="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</row>
    <row r="504">
      <c r="A504" s="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</row>
    <row r="505">
      <c r="A505" s="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</row>
    <row r="506">
      <c r="A506" s="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</row>
    <row r="507">
      <c r="A507" s="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</row>
    <row r="508">
      <c r="A508" s="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</row>
    <row r="509">
      <c r="A509" s="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</row>
    <row r="510">
      <c r="A510" s="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</row>
    <row r="511">
      <c r="A511" s="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</row>
    <row r="512">
      <c r="A512" s="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</row>
    <row r="513">
      <c r="A513" s="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</row>
    <row r="514">
      <c r="A514" s="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</row>
    <row r="515">
      <c r="A515" s="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</row>
    <row r="516">
      <c r="A516" s="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</row>
    <row r="517">
      <c r="A517" s="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</row>
    <row r="518">
      <c r="A518" s="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</row>
    <row r="519">
      <c r="A519" s="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</row>
    <row r="520">
      <c r="A520" s="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</row>
    <row r="521">
      <c r="A521" s="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</row>
    <row r="522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</row>
    <row r="523">
      <c r="A523" s="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</row>
    <row r="524">
      <c r="A524" s="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</row>
    <row r="525">
      <c r="A525" s="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</row>
    <row r="526">
      <c r="A526" s="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</row>
    <row r="527">
      <c r="A527" s="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</row>
    <row r="528">
      <c r="A528" s="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</row>
    <row r="529">
      <c r="A529" s="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</row>
    <row r="530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</row>
    <row r="531">
      <c r="A531" s="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</row>
    <row r="532">
      <c r="A532" s="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</row>
    <row r="533">
      <c r="A533" s="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</row>
    <row r="534">
      <c r="A534" s="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</row>
    <row r="535">
      <c r="A535" s="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</row>
    <row r="536">
      <c r="A536" s="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</row>
    <row r="537">
      <c r="A537" s="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</row>
    <row r="538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</row>
    <row r="539">
      <c r="A539" s="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</row>
    <row r="540">
      <c r="A540" s="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</row>
    <row r="541">
      <c r="A541" s="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</row>
    <row r="542">
      <c r="A542" s="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</row>
    <row r="543">
      <c r="A543" s="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</row>
    <row r="544">
      <c r="A544" s="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</row>
    <row r="545">
      <c r="A545" s="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</row>
    <row r="546">
      <c r="A546" s="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</row>
    <row r="547">
      <c r="A547" s="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</row>
    <row r="548">
      <c r="A548" s="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</row>
    <row r="549">
      <c r="A549" s="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</row>
    <row r="550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</row>
    <row r="551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</row>
    <row r="552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</row>
    <row r="553">
      <c r="A553" s="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</row>
    <row r="554">
      <c r="A554" s="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</row>
    <row r="555">
      <c r="A555" s="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</row>
    <row r="556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</row>
    <row r="557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</row>
    <row r="558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</row>
    <row r="559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</row>
    <row r="560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</row>
    <row r="561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</row>
    <row r="562">
      <c r="A562" s="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</row>
    <row r="563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</row>
    <row r="564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</row>
    <row r="565">
      <c r="A565" s="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</row>
    <row r="566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</row>
    <row r="567">
      <c r="A567" s="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</row>
    <row r="568">
      <c r="A568" s="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</row>
    <row r="569">
      <c r="A569" s="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</row>
    <row r="570">
      <c r="A570" s="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</row>
    <row r="571">
      <c r="A571" s="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</row>
    <row r="572">
      <c r="A572" s="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</row>
    <row r="573">
      <c r="A573" s="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</row>
    <row r="574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</row>
    <row r="575">
      <c r="A575" s="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</row>
    <row r="576">
      <c r="A576" s="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</row>
    <row r="577">
      <c r="A577" s="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</row>
    <row r="578">
      <c r="A578" s="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</row>
    <row r="579">
      <c r="A579" s="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</row>
    <row r="580">
      <c r="A580" s="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</row>
    <row r="581">
      <c r="A581" s="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</row>
    <row r="582">
      <c r="A582" s="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</row>
    <row r="583">
      <c r="A583" s="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</row>
    <row r="584">
      <c r="A584" s="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</row>
    <row r="585">
      <c r="A585" s="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</row>
    <row r="586">
      <c r="A586" s="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</row>
    <row r="587">
      <c r="A587" s="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</row>
    <row r="588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</row>
    <row r="589">
      <c r="A589" s="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</row>
    <row r="590">
      <c r="A590" s="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</row>
    <row r="591">
      <c r="A591" s="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</row>
    <row r="592">
      <c r="A592" s="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</row>
    <row r="593">
      <c r="A593" s="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</row>
    <row r="594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</row>
    <row r="595">
      <c r="A595" s="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</row>
    <row r="596">
      <c r="A596" s="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</row>
    <row r="597">
      <c r="A597" s="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</row>
    <row r="598">
      <c r="A598" s="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</row>
    <row r="599">
      <c r="A599" s="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</row>
    <row r="600">
      <c r="A600" s="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</row>
    <row r="601">
      <c r="A601" s="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</row>
    <row r="602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</row>
    <row r="603">
      <c r="A603" s="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</row>
    <row r="604">
      <c r="A604" s="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</row>
    <row r="605">
      <c r="A605" s="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</row>
    <row r="606">
      <c r="A606" s="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</row>
    <row r="607">
      <c r="A607" s="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</row>
    <row r="608">
      <c r="A608" s="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</row>
    <row r="609">
      <c r="A609" s="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</row>
    <row r="610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</row>
    <row r="611">
      <c r="A611" s="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</row>
    <row r="612">
      <c r="A612" s="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</row>
    <row r="613">
      <c r="A613" s="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</row>
    <row r="614">
      <c r="A614" s="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</row>
    <row r="615">
      <c r="A615" s="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</row>
    <row r="616">
      <c r="A616" s="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</row>
    <row r="617">
      <c r="A617" s="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</row>
    <row r="618">
      <c r="A618" s="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</row>
    <row r="619">
      <c r="A619" s="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</row>
    <row r="620">
      <c r="A620" s="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</row>
    <row r="621">
      <c r="A621" s="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</row>
    <row r="622">
      <c r="A622" s="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</row>
    <row r="623">
      <c r="A623" s="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</row>
    <row r="624">
      <c r="A624" s="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</row>
    <row r="625">
      <c r="A625" s="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</row>
    <row r="626">
      <c r="A626" s="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</row>
    <row r="627">
      <c r="A627" s="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</row>
    <row r="628">
      <c r="A628" s="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</row>
    <row r="629">
      <c r="A629" s="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</row>
    <row r="630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</row>
    <row r="631">
      <c r="A631" s="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</row>
    <row r="632">
      <c r="A632" s="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</row>
    <row r="633">
      <c r="A633" s="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</row>
    <row r="634">
      <c r="A634" s="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</row>
    <row r="635">
      <c r="A635" s="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</row>
    <row r="636">
      <c r="A636" s="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</row>
    <row r="637">
      <c r="A637" s="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</row>
    <row r="638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</row>
    <row r="639">
      <c r="A639" s="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</row>
    <row r="640">
      <c r="A640" s="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</row>
    <row r="641">
      <c r="A641" s="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</row>
    <row r="642">
      <c r="A642" s="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</row>
    <row r="643">
      <c r="A643" s="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</row>
    <row r="644">
      <c r="A644" s="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</row>
    <row r="645">
      <c r="A645" s="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</row>
    <row r="646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</row>
    <row r="647">
      <c r="A647" s="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</row>
    <row r="648">
      <c r="A648" s="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</row>
    <row r="649">
      <c r="A649" s="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</row>
    <row r="650">
      <c r="A650" s="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</row>
    <row r="651">
      <c r="A651" s="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</row>
    <row r="652">
      <c r="A652" s="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</row>
    <row r="653">
      <c r="A653" s="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</row>
    <row r="654">
      <c r="A654" s="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</row>
    <row r="655">
      <c r="A655" s="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</row>
    <row r="656">
      <c r="A656" s="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</row>
    <row r="657">
      <c r="A657" s="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</row>
    <row r="658">
      <c r="A658" s="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</row>
    <row r="659">
      <c r="A659" s="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</row>
    <row r="660">
      <c r="A660" s="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</row>
    <row r="661">
      <c r="A661" s="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</row>
    <row r="662">
      <c r="A662" s="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</row>
    <row r="663">
      <c r="A663" s="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</row>
    <row r="664">
      <c r="A664" s="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</row>
    <row r="665">
      <c r="A665" s="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</row>
    <row r="666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</row>
    <row r="667">
      <c r="A667" s="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</row>
    <row r="668">
      <c r="A668" s="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</row>
    <row r="669">
      <c r="A669" s="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</row>
    <row r="670">
      <c r="A670" s="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</row>
    <row r="671">
      <c r="A671" s="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</row>
    <row r="672">
      <c r="A672" s="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</row>
    <row r="673">
      <c r="A673" s="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</row>
    <row r="674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</row>
    <row r="675">
      <c r="A675" s="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</row>
    <row r="676">
      <c r="A676" s="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</row>
    <row r="677">
      <c r="A677" s="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</row>
    <row r="678">
      <c r="A678" s="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</row>
    <row r="679">
      <c r="A679" s="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</row>
    <row r="680">
      <c r="A680" s="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</row>
    <row r="681">
      <c r="A681" s="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</row>
    <row r="682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</row>
    <row r="683">
      <c r="A683" s="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</row>
    <row r="684">
      <c r="A684" s="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</row>
    <row r="685">
      <c r="A685" s="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</row>
    <row r="686">
      <c r="A686" s="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</row>
    <row r="687">
      <c r="A687" s="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</row>
    <row r="688">
      <c r="A688" s="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</row>
    <row r="689">
      <c r="A689" s="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</row>
    <row r="690">
      <c r="A690" s="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</row>
    <row r="691">
      <c r="A691" s="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</row>
    <row r="692">
      <c r="A692" s="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</row>
    <row r="693">
      <c r="A693" s="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</row>
    <row r="694">
      <c r="A694" s="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</row>
    <row r="695">
      <c r="A695" s="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</row>
    <row r="696">
      <c r="A696" s="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</row>
    <row r="697">
      <c r="A697" s="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</row>
    <row r="698">
      <c r="A698" s="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</row>
    <row r="699">
      <c r="A699" s="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</row>
    <row r="700">
      <c r="A700" s="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</row>
    <row r="701">
      <c r="A701" s="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</row>
    <row r="702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</row>
    <row r="703">
      <c r="A703" s="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</row>
    <row r="704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</row>
    <row r="705">
      <c r="A705" s="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</row>
    <row r="706">
      <c r="A706" s="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</row>
    <row r="707">
      <c r="A707" s="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</row>
    <row r="708">
      <c r="A708" s="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</row>
    <row r="709">
      <c r="A709" s="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</row>
    <row r="710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</row>
    <row r="711">
      <c r="A711" s="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</row>
    <row r="712">
      <c r="A712" s="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</row>
    <row r="713">
      <c r="A713" s="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</row>
    <row r="714">
      <c r="A714" s="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</row>
    <row r="715">
      <c r="A715" s="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</row>
    <row r="716">
      <c r="A716" s="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</row>
    <row r="717">
      <c r="A717" s="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</row>
    <row r="718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</row>
    <row r="719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</row>
    <row r="720">
      <c r="A720" s="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</row>
    <row r="721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</row>
    <row r="722">
      <c r="A722" s="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</row>
    <row r="723">
      <c r="A723" s="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</row>
    <row r="724">
      <c r="A724" s="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</row>
    <row r="725">
      <c r="A725" s="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</row>
    <row r="726">
      <c r="A726" s="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</row>
    <row r="727">
      <c r="A727" s="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</row>
    <row r="728">
      <c r="A728" s="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</row>
    <row r="729">
      <c r="A729" s="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</row>
    <row r="730">
      <c r="A730" s="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</row>
    <row r="731">
      <c r="A731" s="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</row>
    <row r="732">
      <c r="A732" s="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</row>
    <row r="733">
      <c r="A733" s="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</row>
    <row r="734">
      <c r="A734" s="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</row>
    <row r="735">
      <c r="A735" s="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</row>
    <row r="736">
      <c r="A736" s="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</row>
    <row r="737">
      <c r="A737" s="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</row>
    <row r="738">
      <c r="A738" s="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</row>
    <row r="739">
      <c r="A739" s="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</row>
    <row r="740">
      <c r="A740" s="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</row>
    <row r="741">
      <c r="A741" s="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</row>
    <row r="742">
      <c r="A742" s="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</row>
    <row r="743">
      <c r="A743" s="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</row>
    <row r="744">
      <c r="A744" s="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</row>
    <row r="745">
      <c r="A745" s="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</row>
    <row r="746">
      <c r="A746" s="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</row>
    <row r="747">
      <c r="A747" s="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</row>
    <row r="748">
      <c r="A748" s="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</row>
    <row r="749">
      <c r="A749" s="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</row>
    <row r="750">
      <c r="A750" s="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</row>
    <row r="751">
      <c r="A751" s="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</row>
    <row r="752">
      <c r="A752" s="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</row>
    <row r="753">
      <c r="A753" s="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</row>
    <row r="754">
      <c r="A754" s="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</row>
    <row r="755">
      <c r="A755" s="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</row>
    <row r="756">
      <c r="A756" s="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</row>
    <row r="757">
      <c r="A757" s="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</row>
    <row r="758">
      <c r="A758" s="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</row>
    <row r="759">
      <c r="A759" s="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</row>
    <row r="760">
      <c r="A760" s="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</row>
    <row r="761">
      <c r="A761" s="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</row>
    <row r="762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</row>
    <row r="763">
      <c r="A763" s="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</row>
    <row r="764">
      <c r="A764" s="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</row>
    <row r="765">
      <c r="A765" s="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</row>
    <row r="766">
      <c r="A766" s="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</row>
    <row r="767">
      <c r="A767" s="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</row>
    <row r="768">
      <c r="A768" s="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</row>
    <row r="769">
      <c r="A769" s="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</row>
    <row r="770">
      <c r="A770" s="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</row>
    <row r="771">
      <c r="A771" s="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</row>
    <row r="772">
      <c r="A772" s="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</row>
    <row r="773">
      <c r="A773" s="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</row>
    <row r="774">
      <c r="A774" s="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</row>
    <row r="775">
      <c r="A775" s="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</row>
    <row r="776">
      <c r="A776" s="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</row>
    <row r="777">
      <c r="A777" s="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</row>
    <row r="778">
      <c r="A778" s="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</row>
    <row r="779">
      <c r="A779" s="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</row>
    <row r="780">
      <c r="A780" s="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</row>
    <row r="781">
      <c r="A781" s="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</row>
    <row r="782">
      <c r="A782" s="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</row>
    <row r="783">
      <c r="A783" s="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</row>
    <row r="784">
      <c r="A784" s="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</row>
    <row r="785">
      <c r="A785" s="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</row>
    <row r="786">
      <c r="A786" s="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</row>
    <row r="787">
      <c r="A787" s="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</row>
    <row r="788">
      <c r="A788" s="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</row>
    <row r="789">
      <c r="A789" s="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</row>
    <row r="790">
      <c r="A790" s="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</row>
    <row r="791">
      <c r="A791" s="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</row>
    <row r="792">
      <c r="A792" s="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</row>
    <row r="793">
      <c r="A793" s="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</row>
    <row r="794">
      <c r="A794" s="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</row>
    <row r="795">
      <c r="A795" s="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</row>
    <row r="796">
      <c r="A796" s="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</row>
    <row r="797">
      <c r="A797" s="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</row>
    <row r="798">
      <c r="A798" s="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</row>
    <row r="799">
      <c r="A799" s="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</row>
    <row r="800">
      <c r="A800" s="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</row>
    <row r="801">
      <c r="A801" s="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</row>
    <row r="802">
      <c r="A802" s="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</row>
    <row r="803">
      <c r="A803" s="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</row>
    <row r="804">
      <c r="A804" s="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</row>
    <row r="805">
      <c r="A805" s="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</row>
    <row r="806">
      <c r="A806" s="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</row>
    <row r="807">
      <c r="A807" s="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</row>
    <row r="808">
      <c r="A808" s="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</row>
    <row r="809">
      <c r="A809" s="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</row>
    <row r="810">
      <c r="A810" s="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</row>
    <row r="811">
      <c r="A811" s="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</row>
    <row r="812">
      <c r="A812" s="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</row>
    <row r="813">
      <c r="A813" s="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</row>
    <row r="814">
      <c r="A814" s="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</row>
    <row r="815">
      <c r="A815" s="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</row>
    <row r="816">
      <c r="A816" s="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</row>
    <row r="817">
      <c r="A817" s="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</row>
    <row r="818">
      <c r="A818" s="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</row>
    <row r="819">
      <c r="A819" s="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</row>
    <row r="820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</row>
    <row r="821">
      <c r="A821" s="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</row>
    <row r="822">
      <c r="A822" s="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</row>
    <row r="823">
      <c r="A823" s="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</row>
    <row r="824">
      <c r="A824" s="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</row>
    <row r="825">
      <c r="A825" s="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</row>
    <row r="826">
      <c r="A826" s="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</row>
    <row r="827">
      <c r="A827" s="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</row>
    <row r="828">
      <c r="A828" s="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</row>
    <row r="829">
      <c r="A829" s="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</row>
    <row r="830">
      <c r="A830" s="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</row>
    <row r="831">
      <c r="A831" s="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</row>
    <row r="832">
      <c r="A832" s="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</row>
    <row r="833">
      <c r="A833" s="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</row>
    <row r="834">
      <c r="A834" s="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</row>
    <row r="835">
      <c r="A835" s="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</row>
    <row r="836">
      <c r="A836" s="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</row>
    <row r="837">
      <c r="A837" s="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</row>
    <row r="838">
      <c r="A838" s="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</row>
    <row r="839">
      <c r="A839" s="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</row>
    <row r="840">
      <c r="A840" s="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</row>
    <row r="841">
      <c r="A841" s="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</row>
    <row r="842">
      <c r="A842" s="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</row>
    <row r="843">
      <c r="A843" s="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</row>
    <row r="844">
      <c r="A844" s="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</row>
    <row r="845">
      <c r="A845" s="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</row>
    <row r="846">
      <c r="A846" s="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</row>
    <row r="847">
      <c r="A847" s="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</row>
    <row r="848">
      <c r="A848" s="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</row>
    <row r="849">
      <c r="A849" s="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</row>
    <row r="850">
      <c r="A850" s="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</row>
    <row r="851">
      <c r="A851" s="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</row>
    <row r="852">
      <c r="A852" s="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</row>
    <row r="853">
      <c r="A853" s="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</row>
    <row r="854">
      <c r="A854" s="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</row>
    <row r="855">
      <c r="A855" s="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</row>
    <row r="856">
      <c r="A856" s="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</row>
    <row r="857">
      <c r="A857" s="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</row>
    <row r="858">
      <c r="A858" s="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</row>
    <row r="859">
      <c r="A859" s="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</row>
    <row r="860">
      <c r="A860" s="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</row>
    <row r="861">
      <c r="A861" s="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</row>
    <row r="862">
      <c r="A862" s="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</row>
    <row r="863">
      <c r="A863" s="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</row>
    <row r="864">
      <c r="A864" s="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</row>
    <row r="865">
      <c r="A865" s="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</row>
    <row r="866">
      <c r="A866" s="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</row>
    <row r="867">
      <c r="A867" s="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</row>
    <row r="868">
      <c r="A868" s="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</row>
    <row r="869">
      <c r="A869" s="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</row>
    <row r="870">
      <c r="A870" s="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</row>
    <row r="871">
      <c r="A871" s="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</row>
    <row r="872">
      <c r="A872" s="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</row>
    <row r="873">
      <c r="A873" s="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</row>
    <row r="874">
      <c r="A874" s="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</row>
    <row r="875">
      <c r="A875" s="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</row>
    <row r="876">
      <c r="A876" s="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</row>
    <row r="877">
      <c r="A877" s="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</row>
    <row r="878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</row>
    <row r="879">
      <c r="A879" s="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</row>
    <row r="880">
      <c r="A880" s="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</row>
    <row r="881">
      <c r="A881" s="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</row>
    <row r="882">
      <c r="A882" s="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</row>
    <row r="883">
      <c r="A883" s="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</row>
    <row r="884">
      <c r="A884" s="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</row>
    <row r="885">
      <c r="A885" s="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</row>
    <row r="886">
      <c r="A886" s="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</row>
    <row r="887">
      <c r="A887" s="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</row>
    <row r="888">
      <c r="A888" s="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</row>
    <row r="889">
      <c r="A889" s="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</row>
    <row r="890">
      <c r="A890" s="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</row>
    <row r="891">
      <c r="A891" s="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</row>
    <row r="892">
      <c r="A892" s="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</row>
    <row r="893">
      <c r="A893" s="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</row>
    <row r="894">
      <c r="A894" s="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</row>
    <row r="895">
      <c r="A895" s="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</row>
    <row r="896">
      <c r="A896" s="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</row>
    <row r="897">
      <c r="A897" s="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</row>
    <row r="898">
      <c r="A898" s="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</row>
    <row r="899">
      <c r="A899" s="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</row>
    <row r="900">
      <c r="A900" s="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</row>
    <row r="901">
      <c r="A901" s="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</row>
    <row r="902">
      <c r="A902" s="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</row>
    <row r="903">
      <c r="A903" s="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</row>
    <row r="904">
      <c r="A904" s="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</row>
    <row r="905">
      <c r="A905" s="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</row>
    <row r="906">
      <c r="A906" s="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</row>
    <row r="907">
      <c r="A907" s="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</row>
    <row r="908">
      <c r="A908" s="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</row>
    <row r="909">
      <c r="A909" s="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</row>
    <row r="910">
      <c r="A910" s="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</row>
    <row r="911">
      <c r="A911" s="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</row>
    <row r="912">
      <c r="A912" s="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</row>
    <row r="913">
      <c r="A913" s="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</row>
    <row r="914">
      <c r="A914" s="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</row>
    <row r="915">
      <c r="A915" s="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</row>
    <row r="916">
      <c r="A916" s="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</row>
    <row r="917">
      <c r="A917" s="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</row>
    <row r="918">
      <c r="A918" s="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</row>
    <row r="919">
      <c r="A919" s="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</row>
    <row r="920">
      <c r="A920" s="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</row>
    <row r="921">
      <c r="A921" s="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</row>
    <row r="922">
      <c r="A922" s="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</row>
    <row r="923">
      <c r="A923" s="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</row>
    <row r="924">
      <c r="A924" s="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</row>
    <row r="925">
      <c r="A925" s="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</row>
    <row r="926">
      <c r="A926" s="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</row>
    <row r="927">
      <c r="A927" s="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</row>
    <row r="928">
      <c r="A928" s="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</row>
    <row r="929">
      <c r="A929" s="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</row>
    <row r="930">
      <c r="A930" s="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</row>
    <row r="931">
      <c r="A931" s="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</row>
    <row r="932">
      <c r="A932" s="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</row>
    <row r="933">
      <c r="A933" s="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</row>
    <row r="934">
      <c r="A934" s="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</row>
    <row r="935">
      <c r="A935" s="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</row>
    <row r="936">
      <c r="A936" s="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</row>
    <row r="937">
      <c r="A937" s="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</row>
    <row r="938">
      <c r="A938" s="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</row>
    <row r="939">
      <c r="A939" s="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</row>
    <row r="940">
      <c r="A940" s="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</row>
    <row r="941">
      <c r="A941" s="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</row>
    <row r="942">
      <c r="A942" s="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</row>
    <row r="943">
      <c r="A943" s="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</row>
    <row r="944">
      <c r="A944" s="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</row>
    <row r="945">
      <c r="A945" s="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</row>
    <row r="946">
      <c r="A946" s="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</row>
    <row r="947">
      <c r="A947" s="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</row>
    <row r="948">
      <c r="A948" s="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</row>
    <row r="949">
      <c r="A949" s="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</row>
    <row r="950">
      <c r="A950" s="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</row>
    <row r="951">
      <c r="A951" s="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</row>
    <row r="952">
      <c r="A952" s="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</row>
    <row r="953">
      <c r="A953" s="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</row>
    <row r="954">
      <c r="A954" s="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</row>
    <row r="955">
      <c r="A955" s="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</row>
    <row r="956">
      <c r="A956" s="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</row>
    <row r="957">
      <c r="A957" s="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</row>
    <row r="958">
      <c r="A958" s="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</row>
    <row r="959">
      <c r="A959" s="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</row>
    <row r="960">
      <c r="A960" s="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</row>
    <row r="961">
      <c r="A961" s="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</row>
    <row r="962">
      <c r="A962" s="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</row>
    <row r="963">
      <c r="A963" s="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</row>
    <row r="964">
      <c r="A964" s="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</row>
    <row r="965">
      <c r="A965" s="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</row>
    <row r="966">
      <c r="A966" s="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</row>
    <row r="967">
      <c r="A967" s="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</row>
    <row r="968">
      <c r="A968" s="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</row>
    <row r="969">
      <c r="A969" s="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</row>
    <row r="970">
      <c r="A970" s="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</row>
    <row r="971">
      <c r="A971" s="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</row>
    <row r="972">
      <c r="A972" s="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</row>
    <row r="973">
      <c r="A973" s="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</row>
    <row r="974">
      <c r="A974" s="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</row>
    <row r="975">
      <c r="A975" s="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</row>
    <row r="976">
      <c r="A976" s="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</row>
    <row r="977">
      <c r="A977" s="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</row>
    <row r="978">
      <c r="A978" s="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</row>
    <row r="979">
      <c r="A979" s="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</row>
    <row r="980">
      <c r="A980" s="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</row>
    <row r="981">
      <c r="A981" s="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</row>
    <row r="982">
      <c r="A982" s="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</row>
    <row r="983">
      <c r="A983" s="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</row>
    <row r="984">
      <c r="A984" s="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</row>
    <row r="985">
      <c r="A985" s="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</row>
    <row r="986">
      <c r="A986" s="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</row>
    <row r="987">
      <c r="A987" s="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</row>
    <row r="988">
      <c r="A988" s="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</row>
    <row r="989">
      <c r="A989" s="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</row>
    <row r="990">
      <c r="A990" s="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</row>
    <row r="991">
      <c r="A991" s="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</row>
    <row r="992">
      <c r="A992" s="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</row>
    <row r="993">
      <c r="A993" s="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</row>
    <row r="994">
      <c r="A994" s="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</row>
    <row r="995">
      <c r="A995" s="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</row>
    <row r="996">
      <c r="A996" s="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</row>
    <row r="997">
      <c r="A997" s="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</row>
    <row r="998">
      <c r="A998" s="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</row>
    <row r="999">
      <c r="A999" s="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</row>
    <row r="1000">
      <c r="A1000" s="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</row>
  </sheetData>
  <drawing r:id="rId1"/>
</worksheet>
</file>