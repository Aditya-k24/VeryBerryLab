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" sheetId="1" r:id="rId4"/>
    <sheet state="visible" name="Cab" sheetId="2" r:id="rId5"/>
    <sheet state="visible" name="Cam" sheetId="3" r:id="rId6"/>
    <sheet state="visible" name="Sen" sheetId="4" r:id="rId7"/>
    <sheet state="visible" name="Cha" sheetId="5" r:id="rId8"/>
    <sheet state="visible" name="Alb " sheetId="6" r:id="rId9"/>
    <sheet state="visible" name="Mox" sheetId="7" r:id="rId10"/>
    <sheet state="visible" name="RJune" sheetId="8" r:id="rId11"/>
    <sheet state="visible" name="Bri" sheetId="9" r:id="rId12"/>
    <sheet state="visible" name="Por" sheetId="10" r:id="rId13"/>
    <sheet state="visible" name="Rad" sheetId="11" r:id="rId14"/>
  </sheets>
  <definedNames/>
  <calcPr/>
  <extLst>
    <ext uri="GoogleSheetsCustomDataVersion2">
      <go:sheetsCustomData xmlns:go="http://customooxmlschemas.google.com/" r:id="rId15" roundtripDataChecksum="YANyrR9rR3867dRFlbursPq6MSyB5OcT+pV9UtnuWM8="/>
    </ext>
  </extLst>
</workbook>
</file>

<file path=xl/sharedStrings.xml><?xml version="1.0" encoding="utf-8"?>
<sst xmlns="http://schemas.openxmlformats.org/spreadsheetml/2006/main" count="2216" uniqueCount="44">
  <si>
    <t>Date</t>
  </si>
  <si>
    <t>Rep</t>
  </si>
  <si>
    <t>Pri stolon</t>
  </si>
  <si>
    <t>Sec stolon</t>
  </si>
  <si>
    <t>Ter stolon</t>
  </si>
  <si>
    <t>Quart Stolon</t>
  </si>
  <si>
    <t>Sec st on alt node of pri st</t>
  </si>
  <si>
    <t>Sec st on mid node</t>
  </si>
  <si>
    <t>Ter st on alt node</t>
  </si>
  <si>
    <t>Ter st on mid node</t>
  </si>
  <si>
    <t>Quart st on alt node</t>
  </si>
  <si>
    <t>Quart st on mid node</t>
  </si>
  <si>
    <t xml:space="preserve">dp on alt of pri stolon </t>
  </si>
  <si>
    <t xml:space="preserve">dp on alt of sec stolon </t>
  </si>
  <si>
    <t xml:space="preserve">dp on alt of ter stolon </t>
  </si>
  <si>
    <t>dp on alt of quart stolon</t>
  </si>
  <si>
    <t>dp on mid of pri stolon</t>
  </si>
  <si>
    <t>dp on mid of sec stolon</t>
  </si>
  <si>
    <t>dp on mid of ter stolon</t>
  </si>
  <si>
    <t>dp on mid of quart stolon</t>
  </si>
  <si>
    <t>Total dp on alt</t>
  </si>
  <si>
    <t>Total dp on mid</t>
  </si>
  <si>
    <t>Pri Stolon length (cm)</t>
  </si>
  <si>
    <t>Crown diameter (mm)</t>
  </si>
  <si>
    <t>-</t>
  </si>
  <si>
    <t>Branch crown mp</t>
  </si>
  <si>
    <t>Internode 1 of alt dp</t>
  </si>
  <si>
    <t>Internode 1 of mid dp</t>
  </si>
  <si>
    <t>Internode 2 of alt dp</t>
  </si>
  <si>
    <t>Internode 2 of mid dp</t>
  </si>
  <si>
    <t>Internode 3 of alt dp</t>
  </si>
  <si>
    <t>Internode 3 of mid dp</t>
  </si>
  <si>
    <t># Truss on mp /mp</t>
  </si>
  <si>
    <t># Truss on dp /mp</t>
  </si>
  <si>
    <t># Flowers mp/mp</t>
  </si>
  <si>
    <t># Flowers dp/mp</t>
  </si>
  <si>
    <t>#Total Truss</t>
  </si>
  <si>
    <t>#Total Flowers</t>
  </si>
  <si>
    <t>#dp discardable/mp</t>
  </si>
  <si>
    <t xml:space="preserve">Dry matter g/dp </t>
  </si>
  <si>
    <t xml:space="preserve"> </t>
  </si>
  <si>
    <t>--</t>
  </si>
  <si>
    <t>Internode 4 of alt dp</t>
  </si>
  <si>
    <t>Internode 4 of mid 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</si>
</sst>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3" fontId="1" numFmtId="164" xfId="0" applyAlignment="1" applyFill="1" applyFont="1" applyNumberFormat="1">
      <alignment vertical="bottom"/>
    </xf>
    <xf borderId="0" fillId="4" fontId="2" numFmtId="0" xfId="0" applyFill="1" applyFont="1"/>
    <xf borderId="1" fillId="4" fontId="2" numFmtId="0" xfId="0" applyBorder="1" applyFont="1"/>
    <xf borderId="0" fillId="3" fontId="2" numFmtId="0" xfId="0" applyFont="1"/>
    <xf borderId="1" fillId="3" fontId="3" numFmtId="0" xfId="0" applyAlignment="1" applyBorder="1" applyFont="1">
      <alignment vertical="bottom"/>
    </xf>
    <xf borderId="1" fillId="3" fontId="2" numFmtId="0" xfId="0" applyBorder="1" applyFont="1"/>
    <xf borderId="1" fillId="2" fontId="4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/>
    </xf>
    <xf borderId="1" fillId="4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4" fontId="2" numFmtId="0" xfId="0" applyAlignment="1" applyFont="1">
      <alignment horizontal="center"/>
    </xf>
    <xf borderId="1" fillId="4" fontId="2" numFmtId="0" xfId="0" applyAlignment="1" applyBorder="1" applyFont="1">
      <alignment horizontal="center"/>
    </xf>
    <xf borderId="0" fillId="2" fontId="2" numFmtId="0" xfId="0" applyFont="1"/>
    <xf borderId="1" fillId="0" fontId="2" numFmtId="0" xfId="0" applyBorder="1" applyFont="1"/>
    <xf borderId="2" fillId="4" fontId="2" numFmtId="0" xfId="0" applyAlignment="1" applyBorder="1" applyFont="1">
      <alignment horizontal="center"/>
    </xf>
    <xf borderId="0" fillId="5" fontId="2" numFmtId="0" xfId="0" applyAlignment="1" applyFill="1" applyFont="1">
      <alignment horizontal="center"/>
    </xf>
    <xf borderId="1" fillId="5" fontId="2" numFmtId="0" xfId="0" applyAlignment="1" applyBorder="1" applyFont="1">
      <alignment horizontal="center"/>
    </xf>
    <xf borderId="0" fillId="0" fontId="2" numFmtId="0" xfId="0" applyFont="1"/>
    <xf borderId="1" fillId="6" fontId="2" numFmtId="0" xfId="0" applyAlignment="1" applyBorder="1" applyFill="1" applyFont="1">
      <alignment horizontal="center"/>
    </xf>
    <xf borderId="0" fillId="7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2.0</v>
      </c>
      <c r="C3" s="9">
        <v>3.0</v>
      </c>
      <c r="D3" s="10">
        <v>3.0</v>
      </c>
      <c r="E3" s="9">
        <v>6.0</v>
      </c>
      <c r="F3" s="9">
        <v>4.0</v>
      </c>
      <c r="G3" s="11">
        <v>4.0</v>
      </c>
      <c r="H3" s="9">
        <v>7.0</v>
      </c>
      <c r="I3" s="9">
        <v>6.0</v>
      </c>
      <c r="J3" s="11">
        <v>7.0</v>
      </c>
      <c r="K3" s="9">
        <v>8.0</v>
      </c>
      <c r="L3" s="9">
        <v>7.0</v>
      </c>
      <c r="M3" s="11">
        <v>9.0</v>
      </c>
      <c r="N3" s="9">
        <v>9.0</v>
      </c>
      <c r="O3" s="9">
        <v>7.0</v>
      </c>
      <c r="P3" s="11">
        <v>11.0</v>
      </c>
      <c r="Q3" s="9">
        <v>10.0</v>
      </c>
      <c r="R3" s="9">
        <v>6.0</v>
      </c>
      <c r="S3" s="11">
        <v>13.0</v>
      </c>
    </row>
    <row r="4">
      <c r="A4" s="8" t="s">
        <v>3</v>
      </c>
      <c r="B4" s="9">
        <v>0.0</v>
      </c>
      <c r="C4" s="9">
        <v>0.0</v>
      </c>
      <c r="D4" s="10">
        <v>0.0</v>
      </c>
      <c r="E4" s="9">
        <v>1.0</v>
      </c>
      <c r="F4" s="9">
        <v>3.0</v>
      </c>
      <c r="G4" s="11">
        <v>1.0</v>
      </c>
      <c r="H4" s="9">
        <v>4.0</v>
      </c>
      <c r="I4" s="9">
        <v>6.0</v>
      </c>
      <c r="J4" s="11">
        <v>1.0</v>
      </c>
      <c r="K4" s="9">
        <v>7.0</v>
      </c>
      <c r="L4" s="9">
        <v>12.0</v>
      </c>
      <c r="M4" s="11">
        <v>5.0</v>
      </c>
      <c r="N4" s="9">
        <v>11.0</v>
      </c>
      <c r="O4" s="9">
        <v>15.0</v>
      </c>
      <c r="P4" s="11">
        <v>10.0</v>
      </c>
      <c r="Q4" s="9">
        <v>12.0</v>
      </c>
      <c r="R4" s="9">
        <v>17.0</v>
      </c>
      <c r="S4" s="11">
        <v>11.0</v>
      </c>
    </row>
    <row r="5">
      <c r="A5" s="8" t="s">
        <v>4</v>
      </c>
      <c r="B5" s="9">
        <v>0.0</v>
      </c>
      <c r="C5" s="9">
        <v>0.0</v>
      </c>
      <c r="D5" s="10">
        <v>0.0</v>
      </c>
      <c r="E5" s="9">
        <v>0.0</v>
      </c>
      <c r="F5" s="9">
        <v>0.0</v>
      </c>
      <c r="G5" s="11">
        <v>0.0</v>
      </c>
      <c r="H5" s="9">
        <v>0.0</v>
      </c>
      <c r="I5" s="9">
        <v>0.0</v>
      </c>
      <c r="J5" s="11">
        <v>1.0</v>
      </c>
      <c r="K5" s="9">
        <v>0.0</v>
      </c>
      <c r="L5" s="9">
        <v>1.0</v>
      </c>
      <c r="M5" s="11">
        <v>2.0</v>
      </c>
      <c r="N5" s="9">
        <v>0.0</v>
      </c>
      <c r="O5" s="9">
        <v>2.0</v>
      </c>
      <c r="P5" s="11">
        <v>2.0</v>
      </c>
      <c r="Q5" s="9">
        <v>1.0</v>
      </c>
      <c r="R5" s="9">
        <v>4.0</v>
      </c>
      <c r="S5" s="11">
        <v>3.0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1">
        <v>0.0</v>
      </c>
      <c r="H6" s="9">
        <v>0.0</v>
      </c>
      <c r="I6" s="9">
        <v>0.0</v>
      </c>
      <c r="J6" s="11">
        <v>0.0</v>
      </c>
      <c r="K6" s="9">
        <v>0.0</v>
      </c>
      <c r="L6" s="9">
        <v>0.0</v>
      </c>
      <c r="M6" s="11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1.0</v>
      </c>
    </row>
    <row r="7">
      <c r="A7" s="1" t="s">
        <v>6</v>
      </c>
      <c r="B7" s="9">
        <v>0.0</v>
      </c>
      <c r="C7" s="9">
        <v>0.0</v>
      </c>
      <c r="D7" s="10">
        <v>0.0</v>
      </c>
      <c r="E7" s="9">
        <v>1.0</v>
      </c>
      <c r="F7" s="9">
        <v>3.0</v>
      </c>
      <c r="G7" s="11">
        <v>0.0</v>
      </c>
      <c r="H7" s="9">
        <v>3.0</v>
      </c>
      <c r="I7" s="9">
        <v>5.0</v>
      </c>
      <c r="J7" s="11">
        <v>1.0</v>
      </c>
      <c r="K7" s="9">
        <v>6.0</v>
      </c>
      <c r="L7" s="9">
        <v>10.0</v>
      </c>
      <c r="M7" s="11">
        <v>5.0</v>
      </c>
      <c r="N7" s="9">
        <v>10.0</v>
      </c>
      <c r="O7" s="9">
        <v>13.0</v>
      </c>
      <c r="P7" s="11">
        <v>10.0</v>
      </c>
      <c r="Q7" s="9">
        <v>11.0</v>
      </c>
      <c r="R7" s="9">
        <v>14.0</v>
      </c>
      <c r="S7" s="11">
        <v>11.0</v>
      </c>
    </row>
    <row r="8">
      <c r="A8" s="1" t="s">
        <v>7</v>
      </c>
      <c r="B8" s="9">
        <v>0.0</v>
      </c>
      <c r="C8" s="9">
        <v>0.0</v>
      </c>
      <c r="D8" s="10">
        <v>0.0</v>
      </c>
      <c r="E8" s="9">
        <v>0.0</v>
      </c>
      <c r="F8" s="9">
        <v>0.0</v>
      </c>
      <c r="G8" s="11">
        <v>0.0</v>
      </c>
      <c r="H8" s="9">
        <v>1.0</v>
      </c>
      <c r="I8" s="9">
        <v>1.0</v>
      </c>
      <c r="J8" s="11">
        <v>0.0</v>
      </c>
      <c r="K8" s="9">
        <v>1.0</v>
      </c>
      <c r="L8" s="9">
        <v>2.0</v>
      </c>
      <c r="M8" s="11">
        <v>0.0</v>
      </c>
      <c r="N8" s="9">
        <v>1.0</v>
      </c>
      <c r="O8" s="9">
        <v>2.0</v>
      </c>
      <c r="P8" s="11">
        <v>0.0</v>
      </c>
      <c r="Q8" s="9">
        <v>1.0</v>
      </c>
      <c r="R8" s="9">
        <v>3.0</v>
      </c>
      <c r="S8" s="11">
        <v>0.0</v>
      </c>
    </row>
    <row r="9">
      <c r="A9" s="1" t="s">
        <v>8</v>
      </c>
      <c r="B9" s="9">
        <v>0.0</v>
      </c>
      <c r="C9" s="9">
        <v>0.0</v>
      </c>
      <c r="D9" s="10">
        <v>0.0</v>
      </c>
      <c r="E9" s="9">
        <v>0.0</v>
      </c>
      <c r="F9" s="9">
        <v>0.0</v>
      </c>
      <c r="G9" s="11">
        <v>1.0</v>
      </c>
      <c r="H9" s="9">
        <v>0.0</v>
      </c>
      <c r="I9" s="9">
        <v>0.0</v>
      </c>
      <c r="J9" s="11">
        <v>1.0</v>
      </c>
      <c r="K9" s="9">
        <v>0.0</v>
      </c>
      <c r="L9" s="9">
        <v>1.0</v>
      </c>
      <c r="M9" s="11">
        <v>2.0</v>
      </c>
      <c r="N9" s="9">
        <v>0.0</v>
      </c>
      <c r="O9" s="9">
        <v>2.0</v>
      </c>
      <c r="P9" s="11">
        <v>2.0</v>
      </c>
      <c r="Q9" s="9">
        <v>1.0</v>
      </c>
      <c r="R9" s="9">
        <v>4.0</v>
      </c>
      <c r="S9" s="11">
        <v>3.0</v>
      </c>
    </row>
    <row r="10">
      <c r="A10" s="1" t="s">
        <v>9</v>
      </c>
      <c r="B10" s="9">
        <v>0.0</v>
      </c>
      <c r="C10" s="9">
        <v>0.0</v>
      </c>
      <c r="D10" s="10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0.0</v>
      </c>
      <c r="J10" s="11">
        <v>0.0</v>
      </c>
      <c r="K10" s="9">
        <v>0.0</v>
      </c>
      <c r="L10" s="9">
        <v>0.0</v>
      </c>
      <c r="M10" s="11">
        <v>0.0</v>
      </c>
      <c r="N10" s="9">
        <v>0.0</v>
      </c>
      <c r="O10" s="9">
        <v>0.0</v>
      </c>
      <c r="P10" s="11">
        <v>0.0</v>
      </c>
      <c r="Q10" s="9">
        <v>0.0</v>
      </c>
      <c r="R10" s="9">
        <v>0.0</v>
      </c>
      <c r="S10" s="11">
        <v>0.0</v>
      </c>
    </row>
    <row r="11">
      <c r="A11" s="1" t="s">
        <v>10</v>
      </c>
      <c r="B11" s="9">
        <v>0.0</v>
      </c>
      <c r="C11" s="9">
        <v>0.0</v>
      </c>
      <c r="D11" s="10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1.0</v>
      </c>
    </row>
    <row r="12">
      <c r="A12" s="1" t="s">
        <v>11</v>
      </c>
      <c r="B12" s="9">
        <v>0.0</v>
      </c>
      <c r="C12" s="9">
        <v>0.0</v>
      </c>
      <c r="D12" s="10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3.0</v>
      </c>
      <c r="C13" s="12">
        <v>4.0</v>
      </c>
      <c r="D13" s="10">
        <v>2.0</v>
      </c>
      <c r="E13" s="12">
        <v>6.0</v>
      </c>
      <c r="F13" s="12">
        <v>7.0</v>
      </c>
      <c r="G13" s="13">
        <v>5.0</v>
      </c>
      <c r="H13" s="12">
        <v>12.0</v>
      </c>
      <c r="I13" s="12">
        <v>10.0</v>
      </c>
      <c r="J13" s="13">
        <v>11.0</v>
      </c>
      <c r="K13" s="12">
        <v>19.0</v>
      </c>
      <c r="L13" s="12">
        <v>15.0</v>
      </c>
      <c r="M13" s="13">
        <v>18.0</v>
      </c>
      <c r="N13" s="12">
        <v>29.0</v>
      </c>
      <c r="O13" s="12">
        <v>23.0</v>
      </c>
      <c r="P13" s="13">
        <v>28.0</v>
      </c>
      <c r="Q13" s="12">
        <v>38.0</v>
      </c>
      <c r="R13" s="12">
        <v>28.0</v>
      </c>
      <c r="S13" s="13">
        <v>38.0</v>
      </c>
    </row>
    <row r="14">
      <c r="A14" s="1" t="s">
        <v>13</v>
      </c>
      <c r="B14" s="12">
        <v>0.0</v>
      </c>
      <c r="C14" s="12">
        <v>0.0</v>
      </c>
      <c r="D14" s="10">
        <v>0.0</v>
      </c>
      <c r="E14" s="12">
        <v>1.0</v>
      </c>
      <c r="F14" s="12">
        <v>3.0</v>
      </c>
      <c r="G14" s="13">
        <v>0.0</v>
      </c>
      <c r="H14" s="12">
        <v>6.0</v>
      </c>
      <c r="I14" s="12">
        <v>9.0</v>
      </c>
      <c r="J14" s="13">
        <v>2.0</v>
      </c>
      <c r="K14" s="12">
        <v>12.0</v>
      </c>
      <c r="L14" s="12">
        <v>21.0</v>
      </c>
      <c r="M14" s="13">
        <v>6.0</v>
      </c>
      <c r="N14" s="12">
        <v>24.0</v>
      </c>
      <c r="O14" s="12">
        <v>32.0</v>
      </c>
      <c r="P14" s="13">
        <v>15.0</v>
      </c>
      <c r="Q14" s="12">
        <v>36.0</v>
      </c>
      <c r="R14" s="12">
        <v>43.0</v>
      </c>
      <c r="S14" s="13">
        <v>22.0</v>
      </c>
    </row>
    <row r="15">
      <c r="A15" s="1" t="s">
        <v>14</v>
      </c>
      <c r="B15" s="12">
        <v>0.0</v>
      </c>
      <c r="C15" s="12">
        <v>0.0</v>
      </c>
      <c r="D15" s="10">
        <v>0.0</v>
      </c>
      <c r="E15" s="12">
        <v>0.0</v>
      </c>
      <c r="F15" s="12">
        <v>0.0</v>
      </c>
      <c r="G15" s="13">
        <v>1.0</v>
      </c>
      <c r="H15" s="12">
        <v>0.0</v>
      </c>
      <c r="I15" s="12">
        <v>0.0</v>
      </c>
      <c r="J15" s="13">
        <v>2.0</v>
      </c>
      <c r="K15" s="12">
        <v>0.0</v>
      </c>
      <c r="L15" s="12">
        <v>1.0</v>
      </c>
      <c r="M15" s="13">
        <v>3.0</v>
      </c>
      <c r="N15" s="12">
        <v>0.0</v>
      </c>
      <c r="O15" s="12">
        <v>3.0</v>
      </c>
      <c r="P15" s="13">
        <v>5.0</v>
      </c>
      <c r="Q15" s="12">
        <v>1.0</v>
      </c>
      <c r="R15" s="12">
        <v>6.0</v>
      </c>
      <c r="S15" s="13">
        <v>7.0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3">
        <v>0.0</v>
      </c>
      <c r="H16" s="12">
        <v>0.0</v>
      </c>
      <c r="I16" s="12">
        <v>0.0</v>
      </c>
      <c r="J16" s="13">
        <v>0.0</v>
      </c>
      <c r="K16" s="12">
        <v>0.0</v>
      </c>
      <c r="L16" s="12">
        <v>0.0</v>
      </c>
      <c r="M16" s="13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0">
        <v>0.0</v>
      </c>
      <c r="E17" s="12">
        <v>0.0</v>
      </c>
      <c r="F17" s="12">
        <v>0.0</v>
      </c>
      <c r="G17" s="13">
        <v>0.0</v>
      </c>
      <c r="H17" s="12">
        <v>0.0</v>
      </c>
      <c r="I17" s="12">
        <v>0.0</v>
      </c>
      <c r="J17" s="13">
        <v>0.0</v>
      </c>
      <c r="K17" s="12">
        <v>0.0</v>
      </c>
      <c r="L17" s="12">
        <v>0.0</v>
      </c>
      <c r="M17" s="13">
        <v>0.0</v>
      </c>
      <c r="N17" s="12">
        <v>0.0</v>
      </c>
      <c r="O17" s="12">
        <v>0.0</v>
      </c>
      <c r="P17" s="13">
        <v>0.0</v>
      </c>
      <c r="Q17" s="12">
        <v>0.0</v>
      </c>
      <c r="R17" s="12">
        <v>0.0</v>
      </c>
      <c r="S17" s="13">
        <v>1.0</v>
      </c>
    </row>
    <row r="18">
      <c r="A18" s="1" t="s">
        <v>17</v>
      </c>
      <c r="B18" s="12">
        <v>0.0</v>
      </c>
      <c r="C18" s="12">
        <v>0.0</v>
      </c>
      <c r="D18" s="10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2.0</v>
      </c>
      <c r="N18" s="12">
        <v>0.0</v>
      </c>
      <c r="O18" s="12">
        <v>0.0</v>
      </c>
      <c r="P18" s="13">
        <v>3.0</v>
      </c>
      <c r="Q18" s="12">
        <v>0.0</v>
      </c>
      <c r="R18" s="12">
        <v>0.0</v>
      </c>
      <c r="S18" s="13">
        <v>4.0</v>
      </c>
    </row>
    <row r="19">
      <c r="A19" s="1" t="s">
        <v>18</v>
      </c>
      <c r="B19" s="12">
        <v>0.0</v>
      </c>
      <c r="C19" s="12">
        <v>0.0</v>
      </c>
      <c r="D19" s="10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3">
        <v>0.0</v>
      </c>
      <c r="H20" s="12">
        <v>0.0</v>
      </c>
      <c r="I20" s="12">
        <v>0.0</v>
      </c>
      <c r="J20" s="13">
        <v>0.0</v>
      </c>
      <c r="K20" s="12">
        <v>0.0</v>
      </c>
      <c r="L20" s="12">
        <v>0.0</v>
      </c>
      <c r="M20" s="13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v>3.0</v>
      </c>
      <c r="C21" s="12">
        <v>4.0</v>
      </c>
      <c r="D21" s="10">
        <v>2.0</v>
      </c>
      <c r="E21" s="12">
        <v>7.0</v>
      </c>
      <c r="F21" s="12">
        <v>10.0</v>
      </c>
      <c r="G21" s="13">
        <v>6.0</v>
      </c>
      <c r="H21" s="12">
        <f t="shared" ref="H21:Q21" si="1">sum(H13:H16)</f>
        <v>18</v>
      </c>
      <c r="I21" s="12">
        <f t="shared" si="1"/>
        <v>19</v>
      </c>
      <c r="J21" s="13">
        <f t="shared" si="1"/>
        <v>15</v>
      </c>
      <c r="K21" s="12">
        <f t="shared" si="1"/>
        <v>31</v>
      </c>
      <c r="L21" s="12">
        <f t="shared" si="1"/>
        <v>37</v>
      </c>
      <c r="M21" s="13">
        <f t="shared" si="1"/>
        <v>27</v>
      </c>
      <c r="N21" s="12">
        <f t="shared" si="1"/>
        <v>53</v>
      </c>
      <c r="O21" s="12">
        <f t="shared" si="1"/>
        <v>58</v>
      </c>
      <c r="P21" s="13">
        <f t="shared" si="1"/>
        <v>48</v>
      </c>
      <c r="Q21" s="12">
        <f t="shared" si="1"/>
        <v>75</v>
      </c>
      <c r="R21" s="12">
        <f t="shared" ref="R21:S21" si="2">sum(R13:R15)</f>
        <v>77</v>
      </c>
      <c r="S21" s="13">
        <f t="shared" si="2"/>
        <v>67</v>
      </c>
    </row>
    <row r="22">
      <c r="A22" s="1" t="s">
        <v>21</v>
      </c>
      <c r="B22" s="12">
        <v>0.0</v>
      </c>
      <c r="C22" s="12">
        <v>0.0</v>
      </c>
      <c r="D22" s="13">
        <v>0.0</v>
      </c>
      <c r="E22" s="12">
        <v>0.0</v>
      </c>
      <c r="F22" s="12">
        <v>0.0</v>
      </c>
      <c r="G22" s="13">
        <v>0.0</v>
      </c>
      <c r="H22" s="12">
        <f t="shared" ref="H22:S22" si="3">sum(H17:H20)</f>
        <v>0</v>
      </c>
      <c r="I22" s="12">
        <f t="shared" si="3"/>
        <v>0</v>
      </c>
      <c r="J22" s="13">
        <f t="shared" si="3"/>
        <v>0</v>
      </c>
      <c r="K22" s="12">
        <f t="shared" si="3"/>
        <v>0</v>
      </c>
      <c r="L22" s="12">
        <f t="shared" si="3"/>
        <v>0</v>
      </c>
      <c r="M22" s="13">
        <f t="shared" si="3"/>
        <v>2</v>
      </c>
      <c r="N22" s="12">
        <f t="shared" si="3"/>
        <v>0</v>
      </c>
      <c r="O22" s="12">
        <f t="shared" si="3"/>
        <v>0</v>
      </c>
      <c r="P22" s="13">
        <f t="shared" si="3"/>
        <v>3</v>
      </c>
      <c r="Q22" s="12">
        <f t="shared" si="3"/>
        <v>0</v>
      </c>
      <c r="R22" s="12">
        <f t="shared" si="3"/>
        <v>0</v>
      </c>
      <c r="S22" s="13">
        <f t="shared" si="3"/>
        <v>5</v>
      </c>
    </row>
    <row r="23">
      <c r="A23" s="1" t="s">
        <v>22</v>
      </c>
      <c r="B23" s="9">
        <v>56.2</v>
      </c>
      <c r="C23" s="9">
        <v>59.433333</v>
      </c>
      <c r="D23" s="13">
        <v>37.4</v>
      </c>
      <c r="E23" s="9">
        <v>86.566667</v>
      </c>
      <c r="F23" s="12">
        <v>106.4</v>
      </c>
      <c r="G23" s="11">
        <v>71.733333</v>
      </c>
      <c r="H23" s="9">
        <v>108.766667</v>
      </c>
      <c r="I23" s="9">
        <v>134.6</v>
      </c>
      <c r="J23" s="11">
        <v>109.86</v>
      </c>
      <c r="K23" s="12">
        <v>153.55</v>
      </c>
      <c r="L23" s="12">
        <v>167.025</v>
      </c>
      <c r="M23" s="13">
        <v>161.58</v>
      </c>
      <c r="N23" s="12">
        <v>187.7833333</v>
      </c>
      <c r="O23" s="12">
        <v>184.275</v>
      </c>
      <c r="P23" s="13">
        <v>187.0857143</v>
      </c>
      <c r="Q23" s="9">
        <v>199.6777778</v>
      </c>
      <c r="R23" s="9">
        <v>189.2833333</v>
      </c>
      <c r="S23" s="11">
        <v>184.32</v>
      </c>
    </row>
    <row r="24">
      <c r="A24" s="1" t="s">
        <v>23</v>
      </c>
      <c r="B24" s="9" t="s">
        <v>24</v>
      </c>
      <c r="C24" s="9" t="s">
        <v>24</v>
      </c>
      <c r="D24" s="13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12">
        <v>11.28615385</v>
      </c>
      <c r="R24" s="12">
        <v>11.36536232</v>
      </c>
      <c r="S24" s="13">
        <v>11.66114754</v>
      </c>
    </row>
    <row r="25">
      <c r="A25" s="8" t="s">
        <v>25</v>
      </c>
      <c r="B25" s="9" t="s">
        <v>24</v>
      </c>
      <c r="C25" s="9" t="s">
        <v>24</v>
      </c>
      <c r="D25" s="13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1.0</v>
      </c>
      <c r="R25" s="9">
        <v>1.0</v>
      </c>
      <c r="S25" s="11">
        <v>2.0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22.87538462</v>
      </c>
      <c r="R26" s="12">
        <v>21.83333333</v>
      </c>
      <c r="S26" s="13">
        <v>24.36491228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 t="s">
        <v>24</v>
      </c>
      <c r="R27" s="12" t="s">
        <v>24</v>
      </c>
      <c r="S27" s="13">
        <v>24.225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19.39230769</v>
      </c>
      <c r="R28" s="12">
        <v>17.89710145</v>
      </c>
      <c r="S28" s="13">
        <v>18.47017544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 t="s">
        <v>24</v>
      </c>
      <c r="R29" s="12" t="s">
        <v>24</v>
      </c>
      <c r="S29" s="13">
        <v>18.725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 t="s">
        <v>24</v>
      </c>
      <c r="S31" s="13">
        <v>1.9</v>
      </c>
    </row>
    <row r="32">
      <c r="A32" s="1" t="s">
        <v>32</v>
      </c>
      <c r="B32" s="9">
        <v>1.0</v>
      </c>
      <c r="C32" s="9">
        <v>1.0</v>
      </c>
      <c r="D32" s="13">
        <v>1.0</v>
      </c>
      <c r="E32" s="9">
        <v>1.0</v>
      </c>
      <c r="F32" s="9">
        <v>1.0</v>
      </c>
      <c r="G32" s="11">
        <v>0.0</v>
      </c>
      <c r="H32" s="9">
        <v>3.0</v>
      </c>
      <c r="I32" s="9">
        <v>0.0</v>
      </c>
      <c r="J32" s="11">
        <v>1.0</v>
      </c>
      <c r="K32" s="9">
        <v>3.0</v>
      </c>
      <c r="L32" s="9">
        <v>0.0</v>
      </c>
      <c r="M32" s="11">
        <v>0.0</v>
      </c>
      <c r="N32" s="9">
        <v>1.0</v>
      </c>
      <c r="O32" s="9">
        <v>1.0</v>
      </c>
      <c r="P32" s="11">
        <v>0.0</v>
      </c>
      <c r="Q32" s="9">
        <v>1.0</v>
      </c>
      <c r="R32" s="9">
        <v>1.0</v>
      </c>
      <c r="S32" s="11">
        <v>2.0</v>
      </c>
    </row>
    <row r="33">
      <c r="A33" s="1" t="s">
        <v>33</v>
      </c>
      <c r="B33" s="9">
        <v>0.0</v>
      </c>
      <c r="C33" s="9">
        <v>0.0</v>
      </c>
      <c r="D33" s="13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 t="s">
        <v>24</v>
      </c>
      <c r="N33" s="9">
        <v>1.0</v>
      </c>
      <c r="O33" s="9">
        <v>0.0</v>
      </c>
      <c r="P33" s="11">
        <v>0.0</v>
      </c>
      <c r="Q33" s="9">
        <v>0.0</v>
      </c>
      <c r="R33" s="9">
        <v>11.0</v>
      </c>
      <c r="S33" s="11">
        <v>5.0</v>
      </c>
    </row>
    <row r="34">
      <c r="A34" s="1" t="s">
        <v>34</v>
      </c>
      <c r="B34" s="9">
        <v>5.0</v>
      </c>
      <c r="C34" s="9">
        <v>5.0</v>
      </c>
      <c r="D34" s="13">
        <v>6.0</v>
      </c>
      <c r="E34" s="9">
        <v>3.0</v>
      </c>
      <c r="F34" s="9">
        <v>3.0</v>
      </c>
      <c r="G34" s="11">
        <v>0.0</v>
      </c>
      <c r="H34" s="9">
        <v>12.0</v>
      </c>
      <c r="I34" s="9">
        <v>0.0</v>
      </c>
      <c r="J34" s="11">
        <v>7.0</v>
      </c>
      <c r="K34" s="9">
        <v>3.0</v>
      </c>
      <c r="L34" s="9">
        <v>0.0</v>
      </c>
      <c r="M34" s="11">
        <v>0.0</v>
      </c>
      <c r="N34" s="9">
        <v>4.0</v>
      </c>
      <c r="O34" s="9">
        <v>7.0</v>
      </c>
      <c r="P34" s="11">
        <v>0.0</v>
      </c>
      <c r="Q34" s="9">
        <v>6.0</v>
      </c>
      <c r="R34" s="9">
        <v>4.0</v>
      </c>
      <c r="S34" s="11">
        <v>18.0</v>
      </c>
    </row>
    <row r="35">
      <c r="A35" s="1" t="s">
        <v>35</v>
      </c>
      <c r="B35" s="9">
        <v>0.0</v>
      </c>
      <c r="C35" s="9">
        <v>0.0</v>
      </c>
      <c r="D35" s="13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3.0</v>
      </c>
      <c r="O35" s="9">
        <v>0.0</v>
      </c>
      <c r="P35" s="11">
        <v>0.0</v>
      </c>
      <c r="Q35" s="9">
        <v>0.0</v>
      </c>
      <c r="R35" s="9">
        <v>37.0</v>
      </c>
      <c r="S35" s="11">
        <v>13.0</v>
      </c>
    </row>
    <row r="36">
      <c r="A36" s="1" t="s">
        <v>36</v>
      </c>
      <c r="B36" s="9">
        <v>1.0</v>
      </c>
      <c r="C36" s="9">
        <v>1.0</v>
      </c>
      <c r="D36" s="13">
        <v>1.0</v>
      </c>
      <c r="E36" s="9">
        <v>1.0</v>
      </c>
      <c r="F36" s="9">
        <v>1.0</v>
      </c>
      <c r="G36" s="11">
        <v>0.0</v>
      </c>
      <c r="H36" s="9">
        <v>3.0</v>
      </c>
      <c r="I36" s="9">
        <v>0.0</v>
      </c>
      <c r="J36" s="11">
        <v>1.0</v>
      </c>
      <c r="K36" s="9">
        <v>3.0</v>
      </c>
      <c r="L36" s="9">
        <v>0.0</v>
      </c>
      <c r="M36" s="11">
        <v>0.0</v>
      </c>
      <c r="N36" s="9">
        <v>2.0</v>
      </c>
      <c r="O36" s="9">
        <v>1.0</v>
      </c>
      <c r="P36" s="11">
        <v>0.0</v>
      </c>
      <c r="Q36" s="9">
        <v>1.0</v>
      </c>
      <c r="R36" s="9">
        <v>12.0</v>
      </c>
      <c r="S36" s="11">
        <f>sum(P36,S32,S33)</f>
        <v>7</v>
      </c>
    </row>
    <row r="37">
      <c r="A37" s="1" t="s">
        <v>37</v>
      </c>
      <c r="B37" s="9">
        <v>5.0</v>
      </c>
      <c r="C37" s="9">
        <v>5.0</v>
      </c>
      <c r="D37" s="13">
        <v>6.0</v>
      </c>
      <c r="E37" s="9">
        <v>3.0</v>
      </c>
      <c r="F37" s="9">
        <v>3.0</v>
      </c>
      <c r="G37" s="11">
        <v>0.0</v>
      </c>
      <c r="H37" s="9">
        <v>12.0</v>
      </c>
      <c r="I37" s="9">
        <v>0.0</v>
      </c>
      <c r="J37" s="11">
        <v>7.0</v>
      </c>
      <c r="K37" s="9">
        <v>3.0</v>
      </c>
      <c r="L37" s="9">
        <v>0.0</v>
      </c>
      <c r="M37" s="11">
        <v>0.0</v>
      </c>
      <c r="N37" s="9">
        <v>7.0</v>
      </c>
      <c r="O37" s="9">
        <v>7.0</v>
      </c>
      <c r="P37" s="11">
        <v>0.0</v>
      </c>
      <c r="Q37" s="9">
        <v>6.0</v>
      </c>
      <c r="R37" s="9">
        <v>41.0</v>
      </c>
      <c r="S37" s="11">
        <v>31.0</v>
      </c>
    </row>
    <row r="38">
      <c r="A38" s="1" t="s">
        <v>38</v>
      </c>
      <c r="B38" s="9" t="s">
        <v>24</v>
      </c>
      <c r="C38" s="9" t="s">
        <v>24</v>
      </c>
      <c r="D38" s="13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3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1.739384615</v>
      </c>
      <c r="R39" s="12">
        <v>2.116865672</v>
      </c>
      <c r="S39" s="13">
        <v>1.933833333</v>
      </c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>
      <c r="D41" s="3"/>
      <c r="J41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3.0</v>
      </c>
      <c r="C3" s="9">
        <v>3.0</v>
      </c>
      <c r="D3" s="10">
        <v>3.0</v>
      </c>
      <c r="E3" s="9">
        <v>6.0</v>
      </c>
      <c r="F3" s="9">
        <v>5.0</v>
      </c>
      <c r="G3" s="11">
        <v>7.0</v>
      </c>
      <c r="H3" s="9">
        <v>7.0</v>
      </c>
      <c r="I3" s="9">
        <v>6.0</v>
      </c>
      <c r="J3" s="11">
        <v>9.0</v>
      </c>
      <c r="K3" s="9">
        <v>11.0</v>
      </c>
      <c r="L3" s="9">
        <v>8.0</v>
      </c>
      <c r="M3" s="11">
        <v>11.0</v>
      </c>
      <c r="N3" s="9">
        <v>15.0</v>
      </c>
      <c r="O3" s="9">
        <v>9.0</v>
      </c>
      <c r="P3" s="11">
        <v>14.0</v>
      </c>
      <c r="Q3" s="9">
        <v>15.0</v>
      </c>
      <c r="R3" s="9">
        <v>9.0</v>
      </c>
      <c r="S3" s="11">
        <v>18.0</v>
      </c>
    </row>
    <row r="4">
      <c r="A4" s="8" t="s">
        <v>3</v>
      </c>
      <c r="B4" s="9">
        <v>0.0</v>
      </c>
      <c r="C4" s="9">
        <v>0.0</v>
      </c>
      <c r="D4" s="10">
        <v>0.0</v>
      </c>
      <c r="E4" s="9">
        <v>4.0</v>
      </c>
      <c r="F4" s="9">
        <v>2.0</v>
      </c>
      <c r="G4" s="11">
        <v>2.0</v>
      </c>
      <c r="H4" s="9">
        <v>8.0</v>
      </c>
      <c r="I4" s="9">
        <v>7.0</v>
      </c>
      <c r="J4" s="11">
        <v>7.0</v>
      </c>
      <c r="K4" s="9">
        <v>16.0</v>
      </c>
      <c r="L4" s="9">
        <v>10.0</v>
      </c>
      <c r="M4" s="11">
        <v>9.0</v>
      </c>
      <c r="N4" s="9">
        <v>20.0</v>
      </c>
      <c r="O4" s="9">
        <v>14.0</v>
      </c>
      <c r="P4" s="11">
        <v>14.0</v>
      </c>
      <c r="Q4" s="9">
        <v>23.0</v>
      </c>
      <c r="R4" s="9">
        <v>22.0</v>
      </c>
      <c r="S4" s="11">
        <v>24.0</v>
      </c>
    </row>
    <row r="5">
      <c r="A5" s="8" t="s">
        <v>4</v>
      </c>
      <c r="B5" s="9">
        <v>0.0</v>
      </c>
      <c r="C5" s="9">
        <v>0.0</v>
      </c>
      <c r="D5" s="10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0.0</v>
      </c>
      <c r="J5" s="11">
        <v>0.0</v>
      </c>
      <c r="K5" s="9">
        <v>2.0</v>
      </c>
      <c r="L5" s="9">
        <v>2.0</v>
      </c>
      <c r="M5" s="11">
        <v>1.0</v>
      </c>
      <c r="N5" s="12">
        <v>6.0</v>
      </c>
      <c r="O5" s="9">
        <v>6.0</v>
      </c>
      <c r="P5" s="11">
        <v>6.0</v>
      </c>
      <c r="Q5" s="9">
        <v>6.0</v>
      </c>
      <c r="R5" s="9">
        <v>8.0</v>
      </c>
      <c r="S5" s="11">
        <v>3.0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1">
        <v>0.0</v>
      </c>
      <c r="H6" s="9">
        <v>0.0</v>
      </c>
      <c r="I6" s="9">
        <v>0.0</v>
      </c>
      <c r="J6" s="11">
        <v>0.0</v>
      </c>
      <c r="K6" s="9">
        <v>0.0</v>
      </c>
      <c r="L6" s="9">
        <v>0.0</v>
      </c>
      <c r="M6" s="11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0.0</v>
      </c>
      <c r="D7" s="10">
        <v>0.0</v>
      </c>
      <c r="E7" s="9">
        <v>1.0</v>
      </c>
      <c r="F7" s="9">
        <v>0.0</v>
      </c>
      <c r="G7" s="11">
        <v>1.0</v>
      </c>
      <c r="H7" s="9">
        <v>4.0</v>
      </c>
      <c r="I7" s="9">
        <v>4.0</v>
      </c>
      <c r="J7" s="11">
        <v>4.0</v>
      </c>
      <c r="K7" s="9">
        <v>9.0</v>
      </c>
      <c r="L7" s="9">
        <v>7.0</v>
      </c>
      <c r="M7" s="11">
        <v>5.0</v>
      </c>
      <c r="N7" s="9">
        <v>13.0</v>
      </c>
      <c r="O7" s="9">
        <v>10.0</v>
      </c>
      <c r="P7" s="11">
        <v>10.0</v>
      </c>
      <c r="Q7" s="9">
        <v>16.0</v>
      </c>
      <c r="R7" s="9">
        <v>16.0</v>
      </c>
      <c r="S7" s="11">
        <v>20.0</v>
      </c>
    </row>
    <row r="8">
      <c r="A8" s="1" t="s">
        <v>7</v>
      </c>
      <c r="B8" s="9">
        <v>0.0</v>
      </c>
      <c r="C8" s="9">
        <v>0.0</v>
      </c>
      <c r="D8" s="10">
        <v>0.0</v>
      </c>
      <c r="E8" s="9">
        <v>3.0</v>
      </c>
      <c r="F8" s="9">
        <v>2.0</v>
      </c>
      <c r="G8" s="11">
        <v>1.0</v>
      </c>
      <c r="H8" s="9">
        <v>4.0</v>
      </c>
      <c r="I8" s="9">
        <v>3.0</v>
      </c>
      <c r="J8" s="11">
        <v>3.0</v>
      </c>
      <c r="K8" s="9">
        <v>7.0</v>
      </c>
      <c r="L8" s="9">
        <v>3.0</v>
      </c>
      <c r="M8" s="11">
        <v>4.0</v>
      </c>
      <c r="N8" s="9">
        <v>7.0</v>
      </c>
      <c r="O8" s="9">
        <v>4.0</v>
      </c>
      <c r="P8" s="11">
        <v>4.0</v>
      </c>
      <c r="Q8" s="9">
        <v>7.0</v>
      </c>
      <c r="R8" s="9">
        <v>6.0</v>
      </c>
      <c r="S8" s="11">
        <v>4.0</v>
      </c>
    </row>
    <row r="9">
      <c r="A9" s="1" t="s">
        <v>8</v>
      </c>
      <c r="B9" s="9">
        <v>0.0</v>
      </c>
      <c r="C9" s="9">
        <v>0.0</v>
      </c>
      <c r="D9" s="10">
        <v>0.0</v>
      </c>
      <c r="E9" s="9">
        <v>0.0</v>
      </c>
      <c r="F9" s="9">
        <v>0.0</v>
      </c>
      <c r="G9" s="11">
        <v>0.0</v>
      </c>
      <c r="H9" s="9">
        <v>0.0</v>
      </c>
      <c r="I9" s="9">
        <v>0.0</v>
      </c>
      <c r="J9" s="11">
        <v>0.0</v>
      </c>
      <c r="K9" s="9">
        <v>1.0</v>
      </c>
      <c r="L9" s="9">
        <v>1.0</v>
      </c>
      <c r="M9" s="11">
        <v>1.0</v>
      </c>
      <c r="N9" s="9">
        <v>4.0</v>
      </c>
      <c r="O9" s="9">
        <v>3.0</v>
      </c>
      <c r="P9" s="11">
        <v>3.0</v>
      </c>
      <c r="Q9" s="9">
        <v>4.0</v>
      </c>
      <c r="R9" s="9">
        <v>4.0</v>
      </c>
      <c r="S9" s="11">
        <v>2.0</v>
      </c>
    </row>
    <row r="10">
      <c r="A10" s="1" t="s">
        <v>9</v>
      </c>
      <c r="B10" s="9">
        <v>0.0</v>
      </c>
      <c r="C10" s="9">
        <v>0.0</v>
      </c>
      <c r="D10" s="10">
        <v>0.0</v>
      </c>
      <c r="E10" s="9">
        <v>0.0</v>
      </c>
      <c r="F10" s="9">
        <v>0.0</v>
      </c>
      <c r="G10" s="11">
        <v>0.0</v>
      </c>
      <c r="H10" s="9">
        <v>1.0</v>
      </c>
      <c r="I10" s="9">
        <v>0.0</v>
      </c>
      <c r="J10" s="11">
        <v>0.0</v>
      </c>
      <c r="K10" s="9">
        <v>1.0</v>
      </c>
      <c r="L10" s="9">
        <v>1.0</v>
      </c>
      <c r="M10" s="11">
        <v>0.0</v>
      </c>
      <c r="N10" s="9">
        <v>2.0</v>
      </c>
      <c r="O10" s="9">
        <v>3.0</v>
      </c>
      <c r="P10" s="11">
        <v>3.0</v>
      </c>
      <c r="Q10" s="9">
        <v>2.0</v>
      </c>
      <c r="R10" s="9">
        <v>4.0</v>
      </c>
      <c r="S10" s="11">
        <v>1.0</v>
      </c>
    </row>
    <row r="11">
      <c r="A11" s="1" t="s">
        <v>10</v>
      </c>
      <c r="B11" s="9">
        <v>0.0</v>
      </c>
      <c r="C11" s="9">
        <v>0.0</v>
      </c>
      <c r="D11" s="10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0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2.0</v>
      </c>
      <c r="C13" s="12">
        <v>2.0</v>
      </c>
      <c r="D13" s="10">
        <v>2.0</v>
      </c>
      <c r="E13" s="12">
        <v>6.0</v>
      </c>
      <c r="F13" s="12">
        <v>4.0</v>
      </c>
      <c r="G13" s="13">
        <v>7.0</v>
      </c>
      <c r="H13" s="12">
        <v>13.0</v>
      </c>
      <c r="I13" s="12">
        <v>8.0</v>
      </c>
      <c r="J13" s="13">
        <v>15.0</v>
      </c>
      <c r="K13" s="12">
        <v>22.0</v>
      </c>
      <c r="L13" s="12">
        <v>15.0</v>
      </c>
      <c r="M13" s="13">
        <v>27.0</v>
      </c>
      <c r="N13" s="12">
        <v>36.0</v>
      </c>
      <c r="O13" s="12">
        <v>24.0</v>
      </c>
      <c r="P13" s="13">
        <v>41.0</v>
      </c>
      <c r="Q13" s="12">
        <v>57.0</v>
      </c>
      <c r="R13" s="12">
        <v>33.0</v>
      </c>
      <c r="S13" s="13">
        <v>60.0</v>
      </c>
    </row>
    <row r="14">
      <c r="A14" s="1" t="s">
        <v>13</v>
      </c>
      <c r="B14" s="12">
        <v>0.0</v>
      </c>
      <c r="C14" s="12">
        <v>0.0</v>
      </c>
      <c r="D14" s="10">
        <v>0.0</v>
      </c>
      <c r="E14" s="12">
        <v>1.0</v>
      </c>
      <c r="F14" s="12">
        <v>0.0</v>
      </c>
      <c r="G14" s="13">
        <v>1.0</v>
      </c>
      <c r="H14" s="12">
        <v>13.0</v>
      </c>
      <c r="I14" s="12">
        <v>9.0</v>
      </c>
      <c r="J14" s="13">
        <v>9.0</v>
      </c>
      <c r="K14" s="12">
        <v>30.0</v>
      </c>
      <c r="L14" s="12">
        <v>21.0</v>
      </c>
      <c r="M14" s="13">
        <v>18.0</v>
      </c>
      <c r="N14" s="12">
        <v>54.0</v>
      </c>
      <c r="O14" s="12">
        <v>36.0</v>
      </c>
      <c r="P14" s="13">
        <v>35.0</v>
      </c>
      <c r="Q14" s="12">
        <v>78.0</v>
      </c>
      <c r="R14" s="12">
        <v>59.0</v>
      </c>
      <c r="S14" s="13">
        <v>59.0</v>
      </c>
    </row>
    <row r="15">
      <c r="A15" s="1" t="s">
        <v>14</v>
      </c>
      <c r="B15" s="12">
        <v>0.0</v>
      </c>
      <c r="C15" s="12">
        <v>0.0</v>
      </c>
      <c r="D15" s="10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0.0</v>
      </c>
      <c r="J15" s="13">
        <v>0.0</v>
      </c>
      <c r="K15" s="12">
        <v>3.0</v>
      </c>
      <c r="L15" s="12">
        <v>2.0</v>
      </c>
      <c r="M15" s="13">
        <v>1.0</v>
      </c>
      <c r="N15" s="12">
        <v>9.0</v>
      </c>
      <c r="O15" s="12">
        <v>8.0</v>
      </c>
      <c r="P15" s="13">
        <v>4.0</v>
      </c>
      <c r="Q15" s="12">
        <v>12.0</v>
      </c>
      <c r="R15" s="12">
        <v>16.0</v>
      </c>
      <c r="S15" s="13">
        <v>5.0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3">
        <v>0.0</v>
      </c>
      <c r="H16" s="12">
        <v>0.0</v>
      </c>
      <c r="I16" s="12">
        <v>0.0</v>
      </c>
      <c r="J16" s="13">
        <v>0.0</v>
      </c>
      <c r="K16" s="12">
        <v>0.0</v>
      </c>
      <c r="L16" s="12">
        <v>0.0</v>
      </c>
      <c r="M16" s="13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0">
        <v>0.0</v>
      </c>
      <c r="E17" s="12">
        <v>0.0</v>
      </c>
      <c r="F17" s="12">
        <v>1.0</v>
      </c>
      <c r="G17" s="13">
        <v>0.0</v>
      </c>
      <c r="H17" s="12">
        <v>0.0</v>
      </c>
      <c r="I17" s="12">
        <v>3.0</v>
      </c>
      <c r="J17" s="13">
        <v>0.0</v>
      </c>
      <c r="K17" s="12">
        <v>0.0</v>
      </c>
      <c r="L17" s="12">
        <v>4.0</v>
      </c>
      <c r="M17" s="13">
        <v>0.0</v>
      </c>
      <c r="N17" s="12">
        <v>0.0</v>
      </c>
      <c r="O17" s="12">
        <v>5.0</v>
      </c>
      <c r="P17" s="13">
        <v>0.0</v>
      </c>
      <c r="Q17" s="12">
        <v>0.0</v>
      </c>
      <c r="R17" s="12">
        <v>6.0</v>
      </c>
      <c r="S17" s="13">
        <v>0.0</v>
      </c>
    </row>
    <row r="18">
      <c r="A18" s="1" t="s">
        <v>17</v>
      </c>
      <c r="B18" s="12">
        <v>0.0</v>
      </c>
      <c r="C18" s="12">
        <v>0.0</v>
      </c>
      <c r="D18" s="10">
        <v>0.0</v>
      </c>
      <c r="E18" s="12">
        <v>3.0</v>
      </c>
      <c r="F18" s="12">
        <v>2.0</v>
      </c>
      <c r="G18" s="13">
        <v>1.0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0.0</v>
      </c>
      <c r="N18" s="12">
        <v>0.0</v>
      </c>
      <c r="O18" s="12">
        <v>0.0</v>
      </c>
      <c r="P18" s="13">
        <v>2.0</v>
      </c>
      <c r="Q18" s="12">
        <v>0.0</v>
      </c>
      <c r="R18" s="12">
        <v>0.0</v>
      </c>
      <c r="S18" s="13">
        <v>4.0</v>
      </c>
    </row>
    <row r="19">
      <c r="A19" s="1" t="s">
        <v>18</v>
      </c>
      <c r="B19" s="12">
        <v>0.0</v>
      </c>
      <c r="C19" s="12">
        <v>0.0</v>
      </c>
      <c r="D19" s="10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3">
        <v>0.0</v>
      </c>
      <c r="H20" s="12">
        <v>0.0</v>
      </c>
      <c r="I20" s="12">
        <v>0.0</v>
      </c>
      <c r="J20" s="13">
        <v>0.0</v>
      </c>
      <c r="K20" s="12">
        <v>0.0</v>
      </c>
      <c r="L20" s="12">
        <v>0.0</v>
      </c>
      <c r="M20" s="13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2</v>
      </c>
      <c r="C21" s="12">
        <f t="shared" si="1"/>
        <v>2</v>
      </c>
      <c r="D21" s="10">
        <f t="shared" si="1"/>
        <v>2</v>
      </c>
      <c r="E21" s="12">
        <f t="shared" si="1"/>
        <v>7</v>
      </c>
      <c r="F21" s="12">
        <f t="shared" si="1"/>
        <v>4</v>
      </c>
      <c r="G21" s="13">
        <f t="shared" si="1"/>
        <v>8</v>
      </c>
      <c r="H21" s="12">
        <f t="shared" si="1"/>
        <v>27</v>
      </c>
      <c r="I21" s="12">
        <f t="shared" si="1"/>
        <v>17</v>
      </c>
      <c r="J21" s="13">
        <f t="shared" si="1"/>
        <v>24</v>
      </c>
      <c r="K21" s="12">
        <f t="shared" si="1"/>
        <v>55</v>
      </c>
      <c r="L21" s="12">
        <f t="shared" si="1"/>
        <v>38</v>
      </c>
      <c r="M21" s="13">
        <f t="shared" si="1"/>
        <v>46</v>
      </c>
      <c r="N21" s="12">
        <f t="shared" si="1"/>
        <v>99</v>
      </c>
      <c r="O21" s="12">
        <f t="shared" si="1"/>
        <v>68</v>
      </c>
      <c r="P21" s="13">
        <f t="shared" si="1"/>
        <v>80</v>
      </c>
      <c r="Q21" s="12">
        <f t="shared" si="1"/>
        <v>147</v>
      </c>
      <c r="R21" s="12">
        <f t="shared" si="1"/>
        <v>108</v>
      </c>
      <c r="S21" s="13">
        <f t="shared" si="1"/>
        <v>124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3</v>
      </c>
      <c r="F22" s="12">
        <f t="shared" si="2"/>
        <v>3</v>
      </c>
      <c r="G22" s="13">
        <f t="shared" si="2"/>
        <v>1</v>
      </c>
      <c r="H22" s="12">
        <f t="shared" si="2"/>
        <v>0</v>
      </c>
      <c r="I22" s="12">
        <f t="shared" si="2"/>
        <v>3</v>
      </c>
      <c r="J22" s="13">
        <f t="shared" si="2"/>
        <v>0</v>
      </c>
      <c r="K22" s="12">
        <f t="shared" si="2"/>
        <v>0</v>
      </c>
      <c r="L22" s="12">
        <f t="shared" si="2"/>
        <v>4</v>
      </c>
      <c r="M22" s="13">
        <f t="shared" si="2"/>
        <v>0</v>
      </c>
      <c r="N22" s="12">
        <f t="shared" si="2"/>
        <v>0</v>
      </c>
      <c r="O22" s="12">
        <f t="shared" si="2"/>
        <v>5</v>
      </c>
      <c r="P22" s="13">
        <f t="shared" si="2"/>
        <v>2</v>
      </c>
      <c r="Q22" s="12">
        <f t="shared" si="2"/>
        <v>0</v>
      </c>
      <c r="R22" s="12">
        <f t="shared" si="2"/>
        <v>6</v>
      </c>
      <c r="S22" s="13">
        <f t="shared" si="2"/>
        <v>4</v>
      </c>
    </row>
    <row r="23">
      <c r="A23" s="1" t="s">
        <v>22</v>
      </c>
      <c r="B23" s="9">
        <v>48.55</v>
      </c>
      <c r="C23" s="9">
        <v>34.9</v>
      </c>
      <c r="D23" s="13">
        <v>53.0</v>
      </c>
      <c r="E23" s="9">
        <v>89.2</v>
      </c>
      <c r="F23" s="9">
        <v>77.2333333</v>
      </c>
      <c r="G23" s="11">
        <v>75.15</v>
      </c>
      <c r="H23" s="9">
        <f>sum(159.3,150.8,123.6,85.9,74,60.1)/6</f>
        <v>108.95</v>
      </c>
      <c r="I23" s="9">
        <f>sum(148.3,152.7,107.4,102.3,86.1)/5</f>
        <v>119.36</v>
      </c>
      <c r="J23" s="11">
        <f>sum(153.9,142.8,116.3,102.9,94.7,85.9,71.1)/7</f>
        <v>109.6571429</v>
      </c>
      <c r="K23" s="12">
        <v>161.4</v>
      </c>
      <c r="L23" s="12">
        <v>166.0</v>
      </c>
      <c r="M23" s="13">
        <v>155.2</v>
      </c>
      <c r="N23" s="12">
        <v>186.8428571</v>
      </c>
      <c r="O23" s="12">
        <v>189.4833333</v>
      </c>
      <c r="P23" s="13">
        <v>181.29</v>
      </c>
      <c r="Q23" s="9">
        <v>176.1454545</v>
      </c>
      <c r="R23" s="9">
        <v>192.9875</v>
      </c>
      <c r="S23" s="11">
        <v>207.9909091</v>
      </c>
    </row>
    <row r="24">
      <c r="A24" s="1" t="s">
        <v>23</v>
      </c>
      <c r="B24" s="9" t="s">
        <v>24</v>
      </c>
      <c r="C24" s="9" t="s">
        <v>24</v>
      </c>
      <c r="D24" s="13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12">
        <v>11.90741379</v>
      </c>
      <c r="R24" s="12">
        <v>8.643918919</v>
      </c>
      <c r="S24" s="13">
        <v>11.2297561</v>
      </c>
    </row>
    <row r="25">
      <c r="A25" s="8" t="s">
        <v>25</v>
      </c>
      <c r="B25" s="9" t="s">
        <v>24</v>
      </c>
      <c r="C25" s="9" t="s">
        <v>24</v>
      </c>
      <c r="D25" s="13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2.0</v>
      </c>
      <c r="R25" s="9">
        <v>2.0</v>
      </c>
      <c r="S25" s="11">
        <v>2.0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21.44051724</v>
      </c>
      <c r="R26" s="12">
        <v>22.96376812</v>
      </c>
      <c r="S26" s="13">
        <v>22.16329114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 t="s">
        <v>24</v>
      </c>
      <c r="R27" s="12">
        <v>20.96</v>
      </c>
      <c r="S27" s="13">
        <v>20.3333333333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14.79396552</v>
      </c>
      <c r="R28" s="12">
        <v>16.75217391</v>
      </c>
      <c r="S28" s="13">
        <v>15.73291139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 t="s">
        <v>24</v>
      </c>
      <c r="R29" s="12">
        <v>17.55</v>
      </c>
      <c r="S29" s="13">
        <v>13.23333333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>
        <v>18.73333333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 t="s">
        <v>24</v>
      </c>
      <c r="S31" s="13">
        <v>8.3</v>
      </c>
    </row>
    <row r="32">
      <c r="A32" s="1" t="s">
        <v>32</v>
      </c>
      <c r="B32" s="9">
        <v>0.0</v>
      </c>
      <c r="C32" s="9">
        <v>0.0</v>
      </c>
      <c r="D32" s="13">
        <v>1.0</v>
      </c>
      <c r="E32" s="9">
        <v>1.0</v>
      </c>
      <c r="F32" s="9">
        <v>2.0</v>
      </c>
      <c r="G32" s="11">
        <v>0.0</v>
      </c>
      <c r="H32" s="9">
        <v>0.0</v>
      </c>
      <c r="I32" s="9">
        <v>1.0</v>
      </c>
      <c r="J32" s="11">
        <v>0.0</v>
      </c>
      <c r="K32" s="9">
        <v>0.0</v>
      </c>
      <c r="L32" s="9">
        <v>2.0</v>
      </c>
      <c r="M32" s="11">
        <v>0.0</v>
      </c>
      <c r="N32" s="9">
        <v>0.0</v>
      </c>
      <c r="O32" s="9">
        <v>2.0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3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0.0</v>
      </c>
      <c r="C34" s="9">
        <v>0.0</v>
      </c>
      <c r="D34" s="13">
        <v>5.0</v>
      </c>
      <c r="E34" s="9">
        <v>7.0</v>
      </c>
      <c r="F34" s="9">
        <v>9.0</v>
      </c>
      <c r="G34" s="11">
        <v>0.0</v>
      </c>
      <c r="H34" s="9">
        <v>0.0</v>
      </c>
      <c r="I34" s="9">
        <v>4.0</v>
      </c>
      <c r="J34" s="11">
        <v>0.0</v>
      </c>
      <c r="K34" s="9">
        <v>0.0</v>
      </c>
      <c r="L34" s="9">
        <v>6.0</v>
      </c>
      <c r="M34" s="11">
        <v>0.0</v>
      </c>
      <c r="N34" s="9">
        <v>0.0</v>
      </c>
      <c r="O34" s="9">
        <v>7.0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3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0.0</v>
      </c>
      <c r="C36" s="9">
        <v>0.0</v>
      </c>
      <c r="D36" s="13">
        <v>1.0</v>
      </c>
      <c r="E36" s="9">
        <v>1.0</v>
      </c>
      <c r="F36" s="9">
        <v>2.0</v>
      </c>
      <c r="G36" s="11">
        <v>0.0</v>
      </c>
      <c r="H36" s="9">
        <v>0.0</v>
      </c>
      <c r="I36" s="9">
        <v>1.0</v>
      </c>
      <c r="J36" s="11">
        <v>0.0</v>
      </c>
      <c r="K36" s="9">
        <v>0.0</v>
      </c>
      <c r="L36" s="9">
        <v>2.0</v>
      </c>
      <c r="M36" s="11">
        <v>0.0</v>
      </c>
      <c r="N36" s="9">
        <v>0.0</v>
      </c>
      <c r="O36" s="9">
        <v>2.0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0.0</v>
      </c>
      <c r="C37" s="9">
        <v>0.0</v>
      </c>
      <c r="D37" s="13">
        <v>5.0</v>
      </c>
      <c r="E37" s="9">
        <v>7.0</v>
      </c>
      <c r="F37" s="9">
        <v>9.0</v>
      </c>
      <c r="G37" s="11">
        <v>0.0</v>
      </c>
      <c r="H37" s="9">
        <v>0.0</v>
      </c>
      <c r="I37" s="9">
        <v>4.0</v>
      </c>
      <c r="J37" s="11">
        <v>0.0</v>
      </c>
      <c r="K37" s="9">
        <v>0.0</v>
      </c>
      <c r="L37" s="9">
        <v>6.0</v>
      </c>
      <c r="M37" s="11">
        <v>0.0</v>
      </c>
      <c r="N37" s="9">
        <v>0.0</v>
      </c>
      <c r="O37" s="9">
        <v>7.0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3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1.320934579</v>
      </c>
      <c r="R39" s="12">
        <v>1.264084507</v>
      </c>
      <c r="S39" s="13">
        <v>1.448148148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3.0</v>
      </c>
      <c r="C3" s="9">
        <v>4.0</v>
      </c>
      <c r="D3" s="11">
        <v>3.0</v>
      </c>
      <c r="E3" s="9">
        <v>6.0</v>
      </c>
      <c r="F3" s="9">
        <v>7.0</v>
      </c>
      <c r="G3" s="11">
        <v>5.0</v>
      </c>
      <c r="H3" s="9">
        <v>8.0</v>
      </c>
      <c r="I3" s="9">
        <v>7.0</v>
      </c>
      <c r="J3" s="11">
        <v>5.0</v>
      </c>
      <c r="K3" s="9">
        <v>14.0</v>
      </c>
      <c r="L3" s="9">
        <v>10.0</v>
      </c>
      <c r="M3" s="11">
        <v>5.0</v>
      </c>
      <c r="N3" s="9">
        <v>16.0</v>
      </c>
      <c r="O3" s="9">
        <v>12.0</v>
      </c>
      <c r="P3" s="11">
        <v>5.0</v>
      </c>
      <c r="Q3" s="9">
        <v>19.0</v>
      </c>
      <c r="R3" s="9">
        <v>12.0</v>
      </c>
      <c r="S3" s="11">
        <v>5.0</v>
      </c>
    </row>
    <row r="4">
      <c r="A4" s="8" t="s">
        <v>3</v>
      </c>
      <c r="B4" s="9">
        <v>0.0</v>
      </c>
      <c r="C4" s="9">
        <v>0.0</v>
      </c>
      <c r="D4" s="11">
        <v>0.0</v>
      </c>
      <c r="E4" s="9">
        <v>4.0</v>
      </c>
      <c r="F4" s="9">
        <v>5.0</v>
      </c>
      <c r="G4" s="11">
        <v>6.0</v>
      </c>
      <c r="H4" s="9">
        <v>13.0</v>
      </c>
      <c r="I4" s="9">
        <v>14.0</v>
      </c>
      <c r="J4" s="11">
        <v>15.0</v>
      </c>
      <c r="K4" s="9">
        <v>22.0</v>
      </c>
      <c r="L4" s="9">
        <v>21.0</v>
      </c>
      <c r="M4" s="11">
        <v>21.0</v>
      </c>
      <c r="N4" s="9">
        <v>27.0</v>
      </c>
      <c r="O4" s="9">
        <v>30.0</v>
      </c>
      <c r="P4" s="11">
        <v>23.0</v>
      </c>
      <c r="Q4" s="9">
        <v>34.0</v>
      </c>
      <c r="R4" s="9">
        <v>23.0</v>
      </c>
      <c r="S4" s="11">
        <v>23.0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4.0</v>
      </c>
      <c r="I5" s="9">
        <v>2.0</v>
      </c>
      <c r="J5" s="11">
        <v>5.0</v>
      </c>
      <c r="K5" s="9">
        <v>11.0</v>
      </c>
      <c r="L5" s="9">
        <v>5.0</v>
      </c>
      <c r="M5" s="11">
        <v>12.0</v>
      </c>
      <c r="N5" s="9">
        <v>18.0</v>
      </c>
      <c r="O5" s="9">
        <v>12.0</v>
      </c>
      <c r="P5" s="11">
        <v>16.0</v>
      </c>
      <c r="Q5" s="9">
        <v>21.0</v>
      </c>
      <c r="R5" s="9">
        <v>15.0</v>
      </c>
      <c r="S5" s="11">
        <v>18.0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1">
        <v>0.0</v>
      </c>
      <c r="K6" s="9">
        <v>0.0</v>
      </c>
      <c r="L6" s="9">
        <v>0.0</v>
      </c>
      <c r="M6" s="11">
        <v>1.0</v>
      </c>
      <c r="N6" s="9">
        <v>1.0</v>
      </c>
      <c r="O6" s="9">
        <v>0.0</v>
      </c>
      <c r="P6" s="11">
        <v>2.0</v>
      </c>
      <c r="Q6" s="9">
        <v>1.0</v>
      </c>
      <c r="R6" s="9">
        <v>0.0</v>
      </c>
      <c r="S6" s="11">
        <v>2.0</v>
      </c>
    </row>
    <row r="7">
      <c r="A7" s="1" t="s">
        <v>6</v>
      </c>
      <c r="B7" s="9">
        <v>0.0</v>
      </c>
      <c r="C7" s="9">
        <v>0.0</v>
      </c>
      <c r="D7" s="11">
        <v>0.0</v>
      </c>
      <c r="E7" s="9">
        <v>3.0</v>
      </c>
      <c r="F7" s="9">
        <v>2.0</v>
      </c>
      <c r="G7" s="11">
        <v>2.0</v>
      </c>
      <c r="H7" s="9">
        <v>7.0</v>
      </c>
      <c r="I7" s="9">
        <v>9.0</v>
      </c>
      <c r="J7" s="11">
        <v>5.0</v>
      </c>
      <c r="K7" s="9">
        <v>14.0</v>
      </c>
      <c r="L7" s="9">
        <v>13.0</v>
      </c>
      <c r="M7" s="11">
        <v>10.0</v>
      </c>
      <c r="N7" s="9">
        <v>17.0</v>
      </c>
      <c r="O7" s="9">
        <v>20.0</v>
      </c>
      <c r="P7" s="11">
        <v>11.0</v>
      </c>
      <c r="Q7" s="9">
        <v>21.0</v>
      </c>
      <c r="R7" s="9">
        <v>22.0</v>
      </c>
      <c r="S7" s="11">
        <v>12.0</v>
      </c>
    </row>
    <row r="8">
      <c r="A8" s="1" t="s">
        <v>7</v>
      </c>
      <c r="B8" s="9">
        <v>0.0</v>
      </c>
      <c r="C8" s="9">
        <v>0.0</v>
      </c>
      <c r="D8" s="11">
        <v>0.0</v>
      </c>
      <c r="E8" s="9">
        <v>1.0</v>
      </c>
      <c r="F8" s="9">
        <v>3.0</v>
      </c>
      <c r="G8" s="11">
        <v>4.0</v>
      </c>
      <c r="H8" s="9">
        <v>6.0</v>
      </c>
      <c r="I8" s="9">
        <v>5.0</v>
      </c>
      <c r="J8" s="11">
        <v>10.0</v>
      </c>
      <c r="K8" s="9">
        <v>8.0</v>
      </c>
      <c r="L8" s="9">
        <v>8.0</v>
      </c>
      <c r="M8" s="11">
        <v>11.0</v>
      </c>
      <c r="N8" s="9">
        <v>10.0</v>
      </c>
      <c r="O8" s="9">
        <v>10.0</v>
      </c>
      <c r="P8" s="11">
        <v>12.0</v>
      </c>
      <c r="Q8" s="9">
        <v>13.0</v>
      </c>
      <c r="R8" s="9">
        <v>12.0</v>
      </c>
      <c r="S8" s="11">
        <v>11.0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4.0</v>
      </c>
      <c r="I9" s="9">
        <v>2.0</v>
      </c>
      <c r="J9" s="11">
        <v>1.0</v>
      </c>
      <c r="K9" s="9">
        <v>8.0</v>
      </c>
      <c r="L9" s="9">
        <v>5.0</v>
      </c>
      <c r="M9" s="11">
        <v>3.0</v>
      </c>
      <c r="N9" s="9">
        <v>14.0</v>
      </c>
      <c r="O9" s="9">
        <v>11.0</v>
      </c>
      <c r="P9" s="11">
        <v>6.0</v>
      </c>
      <c r="Q9" s="9">
        <v>17.0</v>
      </c>
      <c r="R9" s="9">
        <v>11.0</v>
      </c>
      <c r="S9" s="11">
        <v>7.0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0.0</v>
      </c>
      <c r="J10" s="11">
        <v>4.0</v>
      </c>
      <c r="K10" s="9">
        <v>3.0</v>
      </c>
      <c r="L10" s="9">
        <v>0.0</v>
      </c>
      <c r="M10" s="11">
        <v>9.0</v>
      </c>
      <c r="N10" s="9">
        <v>4.0</v>
      </c>
      <c r="O10" s="9">
        <v>1.0</v>
      </c>
      <c r="P10" s="11">
        <v>10.0</v>
      </c>
      <c r="Q10" s="9">
        <v>4.0</v>
      </c>
      <c r="R10" s="9">
        <v>4.0</v>
      </c>
      <c r="S10" s="11">
        <v>10.0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1.0</v>
      </c>
      <c r="O11" s="9">
        <v>0.0</v>
      </c>
      <c r="P11" s="11">
        <v>1.0</v>
      </c>
      <c r="Q11" s="9">
        <v>1.0</v>
      </c>
      <c r="R11" s="9">
        <v>0.0</v>
      </c>
      <c r="S11" s="11">
        <v>1.0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1.0</v>
      </c>
      <c r="N12" s="9">
        <v>0.0</v>
      </c>
      <c r="O12" s="9">
        <v>0.0</v>
      </c>
      <c r="P12" s="11">
        <v>1.0</v>
      </c>
      <c r="Q12" s="9">
        <v>0.0</v>
      </c>
      <c r="R12" s="9">
        <v>0.0</v>
      </c>
      <c r="S12" s="11">
        <v>1.0</v>
      </c>
    </row>
    <row r="13">
      <c r="A13" s="1" t="s">
        <v>12</v>
      </c>
      <c r="B13" s="12">
        <v>3.0</v>
      </c>
      <c r="C13" s="12">
        <v>4.0</v>
      </c>
      <c r="D13" s="13">
        <v>1.0</v>
      </c>
      <c r="E13" s="12">
        <v>7.0</v>
      </c>
      <c r="F13" s="12">
        <v>11.0</v>
      </c>
      <c r="G13" s="13">
        <v>5.0</v>
      </c>
      <c r="H13" s="12">
        <v>17.0</v>
      </c>
      <c r="I13" s="12">
        <v>21.0</v>
      </c>
      <c r="J13" s="13">
        <v>11.0</v>
      </c>
      <c r="K13" s="12">
        <v>27.0</v>
      </c>
      <c r="L13" s="12">
        <v>29.0</v>
      </c>
      <c r="M13" s="13">
        <v>17.0</v>
      </c>
      <c r="N13" s="12">
        <v>44.0</v>
      </c>
      <c r="O13" s="12">
        <v>40.0</v>
      </c>
      <c r="P13" s="13">
        <v>18.0</v>
      </c>
      <c r="Q13" s="12">
        <v>62.0</v>
      </c>
      <c r="R13" s="12">
        <v>53.0</v>
      </c>
      <c r="S13" s="13">
        <v>21.0</v>
      </c>
    </row>
    <row r="14">
      <c r="A14" s="1" t="s">
        <v>13</v>
      </c>
      <c r="B14" s="12">
        <v>0.0</v>
      </c>
      <c r="C14" s="12">
        <v>0.0</v>
      </c>
      <c r="D14" s="13">
        <v>0.0</v>
      </c>
      <c r="E14" s="12">
        <v>5.0</v>
      </c>
      <c r="F14" s="12">
        <v>5.0</v>
      </c>
      <c r="G14" s="13">
        <v>7.0</v>
      </c>
      <c r="H14" s="12">
        <v>18.0</v>
      </c>
      <c r="I14" s="12">
        <v>22.0</v>
      </c>
      <c r="J14" s="13">
        <v>24.0</v>
      </c>
      <c r="K14" s="12">
        <v>43.0</v>
      </c>
      <c r="L14" s="12">
        <v>45.0</v>
      </c>
      <c r="M14" s="13">
        <v>48.0</v>
      </c>
      <c r="N14" s="12">
        <v>70.0</v>
      </c>
      <c r="O14" s="12">
        <v>81.0</v>
      </c>
      <c r="P14" s="13">
        <v>68.0</v>
      </c>
      <c r="Q14" s="12">
        <v>99.0</v>
      </c>
      <c r="R14" s="12">
        <v>115.0</v>
      </c>
      <c r="S14" s="13">
        <v>89.0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5.0</v>
      </c>
      <c r="I15" s="12">
        <v>3.0</v>
      </c>
      <c r="J15" s="13">
        <v>7.0</v>
      </c>
      <c r="K15" s="12">
        <v>16.0</v>
      </c>
      <c r="L15" s="12">
        <v>8.0</v>
      </c>
      <c r="M15" s="13">
        <v>19.0</v>
      </c>
      <c r="N15" s="12">
        <v>31.0</v>
      </c>
      <c r="O15" s="12">
        <v>21.0</v>
      </c>
      <c r="P15" s="13">
        <v>35.0</v>
      </c>
      <c r="Q15" s="12">
        <v>51.0</v>
      </c>
      <c r="R15" s="12">
        <v>36.0</v>
      </c>
      <c r="S15" s="13">
        <v>51.0</v>
      </c>
    </row>
    <row r="16">
      <c r="A16" s="1" t="s">
        <v>15</v>
      </c>
      <c r="B16" s="12">
        <v>0.0</v>
      </c>
      <c r="C16" s="12">
        <v>0.0</v>
      </c>
      <c r="D16" s="13">
        <v>0.0</v>
      </c>
      <c r="E16" s="12">
        <v>0.0</v>
      </c>
      <c r="F16" s="12">
        <v>0.0</v>
      </c>
      <c r="G16" s="13">
        <v>0.0</v>
      </c>
      <c r="H16" s="12">
        <v>0.0</v>
      </c>
      <c r="I16" s="12">
        <v>0.0</v>
      </c>
      <c r="J16" s="13">
        <v>0.0</v>
      </c>
      <c r="K16" s="12">
        <v>0.0</v>
      </c>
      <c r="L16" s="12">
        <v>0.0</v>
      </c>
      <c r="M16" s="13">
        <v>1.0</v>
      </c>
      <c r="N16" s="12">
        <v>1.0</v>
      </c>
      <c r="O16" s="12">
        <v>0.0</v>
      </c>
      <c r="P16" s="13">
        <v>2.0</v>
      </c>
      <c r="Q16" s="12">
        <v>2.0</v>
      </c>
      <c r="R16" s="12">
        <v>0.0</v>
      </c>
      <c r="S16" s="13">
        <v>2.0</v>
      </c>
    </row>
    <row r="17">
      <c r="A17" s="1" t="s">
        <v>16</v>
      </c>
      <c r="B17" s="12">
        <v>0.0</v>
      </c>
      <c r="C17" s="12">
        <v>0.0</v>
      </c>
      <c r="D17" s="13">
        <v>2.0</v>
      </c>
      <c r="E17" s="12">
        <v>0.0</v>
      </c>
      <c r="F17" s="12">
        <v>0.0</v>
      </c>
      <c r="G17" s="13">
        <v>3.0</v>
      </c>
      <c r="H17" s="12">
        <v>1.0</v>
      </c>
      <c r="I17" s="12">
        <v>0.0</v>
      </c>
      <c r="J17" s="13">
        <v>5.0</v>
      </c>
      <c r="K17" s="12">
        <v>2.0</v>
      </c>
      <c r="L17" s="12">
        <v>0.0</v>
      </c>
      <c r="M17" s="13">
        <v>6.0</v>
      </c>
      <c r="N17" s="12">
        <v>5.0</v>
      </c>
      <c r="O17" s="12">
        <v>0.0</v>
      </c>
      <c r="P17" s="13">
        <v>7.0</v>
      </c>
      <c r="Q17" s="12">
        <v>7.0</v>
      </c>
      <c r="R17" s="12">
        <v>1.0</v>
      </c>
      <c r="S17" s="13">
        <v>7.0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1.0</v>
      </c>
      <c r="G18" s="13">
        <v>0.0</v>
      </c>
      <c r="H18" s="12">
        <v>2.0</v>
      </c>
      <c r="I18" s="12">
        <v>2.0</v>
      </c>
      <c r="J18" s="13">
        <v>1.0</v>
      </c>
      <c r="K18" s="12">
        <v>4.0</v>
      </c>
      <c r="L18" s="12">
        <v>3.0</v>
      </c>
      <c r="M18" s="13">
        <v>2.0</v>
      </c>
      <c r="N18" s="12">
        <v>8.0</v>
      </c>
      <c r="O18" s="12">
        <v>5.0</v>
      </c>
      <c r="P18" s="13">
        <v>1.0</v>
      </c>
      <c r="Q18" s="12">
        <v>11.0</v>
      </c>
      <c r="R18" s="12">
        <v>7.0</v>
      </c>
      <c r="S18" s="13">
        <v>1.0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1.0</v>
      </c>
      <c r="O19" s="12">
        <v>0.0</v>
      </c>
      <c r="P19" s="13">
        <v>0.0</v>
      </c>
      <c r="Q19" s="12">
        <v>2.0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3">
        <v>0.0</v>
      </c>
      <c r="E20" s="12">
        <v>0.0</v>
      </c>
      <c r="F20" s="12">
        <v>0.0</v>
      </c>
      <c r="G20" s="13">
        <v>0.0</v>
      </c>
      <c r="H20" s="12">
        <v>0.0</v>
      </c>
      <c r="I20" s="12">
        <v>0.0</v>
      </c>
      <c r="J20" s="13">
        <v>0.0</v>
      </c>
      <c r="K20" s="12">
        <v>0.0</v>
      </c>
      <c r="L20" s="12">
        <v>0.0</v>
      </c>
      <c r="M20" s="13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3</v>
      </c>
      <c r="C21" s="12">
        <f t="shared" si="1"/>
        <v>4</v>
      </c>
      <c r="D21" s="13">
        <f t="shared" si="1"/>
        <v>1</v>
      </c>
      <c r="E21" s="12">
        <f t="shared" si="1"/>
        <v>12</v>
      </c>
      <c r="F21" s="12">
        <f t="shared" si="1"/>
        <v>16</v>
      </c>
      <c r="G21" s="13">
        <f t="shared" si="1"/>
        <v>12</v>
      </c>
      <c r="H21" s="12">
        <f t="shared" si="1"/>
        <v>40</v>
      </c>
      <c r="I21" s="12">
        <f t="shared" si="1"/>
        <v>46</v>
      </c>
      <c r="J21" s="13">
        <f t="shared" si="1"/>
        <v>42</v>
      </c>
      <c r="K21" s="12">
        <f t="shared" si="1"/>
        <v>86</v>
      </c>
      <c r="L21" s="12">
        <f t="shared" si="1"/>
        <v>82</v>
      </c>
      <c r="M21" s="13">
        <f t="shared" si="1"/>
        <v>85</v>
      </c>
      <c r="N21" s="12">
        <f t="shared" si="1"/>
        <v>146</v>
      </c>
      <c r="O21" s="12">
        <f t="shared" si="1"/>
        <v>142</v>
      </c>
      <c r="P21" s="13">
        <f t="shared" si="1"/>
        <v>123</v>
      </c>
      <c r="Q21" s="12">
        <f t="shared" si="1"/>
        <v>214</v>
      </c>
      <c r="R21" s="12">
        <f t="shared" si="1"/>
        <v>204</v>
      </c>
      <c r="S21" s="13">
        <f t="shared" si="1"/>
        <v>163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2</v>
      </c>
      <c r="E22" s="12">
        <f t="shared" si="2"/>
        <v>0</v>
      </c>
      <c r="F22" s="12">
        <f t="shared" si="2"/>
        <v>1</v>
      </c>
      <c r="G22" s="13">
        <f t="shared" si="2"/>
        <v>3</v>
      </c>
      <c r="H22" s="12">
        <f t="shared" si="2"/>
        <v>3</v>
      </c>
      <c r="I22" s="12">
        <f t="shared" si="2"/>
        <v>2</v>
      </c>
      <c r="J22" s="13">
        <f t="shared" si="2"/>
        <v>6</v>
      </c>
      <c r="K22" s="12">
        <f t="shared" si="2"/>
        <v>6</v>
      </c>
      <c r="L22" s="12">
        <f t="shared" si="2"/>
        <v>3</v>
      </c>
      <c r="M22" s="13">
        <f t="shared" si="2"/>
        <v>8</v>
      </c>
      <c r="N22" s="12">
        <f t="shared" si="2"/>
        <v>14</v>
      </c>
      <c r="O22" s="12">
        <f t="shared" si="2"/>
        <v>5</v>
      </c>
      <c r="P22" s="13">
        <f t="shared" si="2"/>
        <v>8</v>
      </c>
      <c r="Q22" s="12">
        <f t="shared" si="2"/>
        <v>20</v>
      </c>
      <c r="R22" s="12">
        <f t="shared" si="2"/>
        <v>8</v>
      </c>
      <c r="S22" s="13">
        <f t="shared" si="2"/>
        <v>8</v>
      </c>
    </row>
    <row r="23">
      <c r="A23" s="1" t="s">
        <v>22</v>
      </c>
      <c r="B23" s="12">
        <v>61.95</v>
      </c>
      <c r="C23" s="12">
        <v>77.93333333</v>
      </c>
      <c r="D23" s="13">
        <v>75.15</v>
      </c>
      <c r="E23" s="12">
        <v>108.9666667</v>
      </c>
      <c r="F23" s="12">
        <v>137.266667</v>
      </c>
      <c r="G23" s="13">
        <v>141.1</v>
      </c>
      <c r="H23" s="12">
        <v>169.725</v>
      </c>
      <c r="I23" s="12">
        <v>174.74</v>
      </c>
      <c r="J23" s="13">
        <v>180.8</v>
      </c>
      <c r="K23" s="12">
        <v>202.4</v>
      </c>
      <c r="L23" s="12">
        <v>198.4</v>
      </c>
      <c r="M23" s="12">
        <v>219.66</v>
      </c>
      <c r="N23" s="16">
        <v>202.57</v>
      </c>
      <c r="O23" s="12">
        <v>227.95</v>
      </c>
      <c r="P23" s="13">
        <v>233.96</v>
      </c>
      <c r="Q23" s="9">
        <v>200.3866667</v>
      </c>
      <c r="R23" s="9">
        <v>224.5636364</v>
      </c>
      <c r="S23" s="11">
        <v>249.2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12" t="s">
        <v>24</v>
      </c>
      <c r="F24" s="12" t="s">
        <v>24</v>
      </c>
      <c r="G24" s="13" t="s">
        <v>24</v>
      </c>
      <c r="H24" s="12" t="s">
        <v>24</v>
      </c>
      <c r="I24" s="12" t="s">
        <v>24</v>
      </c>
      <c r="J24" s="13" t="s">
        <v>24</v>
      </c>
      <c r="K24" s="12" t="s">
        <v>24</v>
      </c>
      <c r="L24" s="12" t="s">
        <v>24</v>
      </c>
      <c r="M24" s="13" t="s">
        <v>24</v>
      </c>
      <c r="N24" s="12" t="s">
        <v>24</v>
      </c>
      <c r="O24" s="12" t="s">
        <v>24</v>
      </c>
      <c r="P24" s="13" t="s">
        <v>24</v>
      </c>
      <c r="Q24" s="9">
        <v>7.057352941</v>
      </c>
      <c r="R24" s="9">
        <v>6.442835821</v>
      </c>
      <c r="S24" s="11">
        <v>7.368116883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12" t="s">
        <v>24</v>
      </c>
      <c r="F25" s="12" t="s">
        <v>24</v>
      </c>
      <c r="G25" s="13" t="s">
        <v>24</v>
      </c>
      <c r="H25" s="12" t="s">
        <v>24</v>
      </c>
      <c r="I25" s="12" t="s">
        <v>24</v>
      </c>
      <c r="J25" s="13" t="s">
        <v>24</v>
      </c>
      <c r="K25" s="12" t="s">
        <v>24</v>
      </c>
      <c r="L25" s="12" t="s">
        <v>24</v>
      </c>
      <c r="M25" s="13" t="s">
        <v>24</v>
      </c>
      <c r="N25" s="12" t="s">
        <v>24</v>
      </c>
      <c r="O25" s="12" t="s">
        <v>24</v>
      </c>
      <c r="P25" s="13" t="s">
        <v>24</v>
      </c>
      <c r="Q25" s="9">
        <v>2.0</v>
      </c>
      <c r="R25" s="17">
        <v>0.0</v>
      </c>
      <c r="S25" s="18">
        <v>0.0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19.13101266</v>
      </c>
      <c r="R26" s="12">
        <v>19.52900763</v>
      </c>
      <c r="S26" s="13">
        <v>19.70533333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20.2</v>
      </c>
      <c r="R27" s="12">
        <v>23.266666667</v>
      </c>
      <c r="S27" s="13">
        <v>23.74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18.87468354</v>
      </c>
      <c r="R28" s="12">
        <v>19.53129771</v>
      </c>
      <c r="S28" s="13">
        <v>18.56711409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>
        <v>22.45833333</v>
      </c>
      <c r="R29" s="12">
        <v>26.7</v>
      </c>
      <c r="S29" s="13">
        <v>19.52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>
        <f>11/2</f>
        <v>5.5</v>
      </c>
      <c r="R31" s="12">
        <v>6.0</v>
      </c>
      <c r="S31" s="13">
        <f>(17.8+1.9)/2</f>
        <v>9.85</v>
      </c>
    </row>
    <row r="32">
      <c r="A32" s="1" t="s">
        <v>32</v>
      </c>
      <c r="B32" s="9">
        <v>0.0</v>
      </c>
      <c r="C32" s="9">
        <v>0.0</v>
      </c>
      <c r="D32" s="11">
        <v>0.0</v>
      </c>
      <c r="E32" s="9">
        <v>0.0</v>
      </c>
      <c r="F32" s="9">
        <v>0.0</v>
      </c>
      <c r="G32" s="11">
        <v>0.0</v>
      </c>
      <c r="H32" s="9">
        <v>0.0</v>
      </c>
      <c r="I32" s="9">
        <v>0.0</v>
      </c>
      <c r="J32" s="11">
        <v>0.0</v>
      </c>
      <c r="K32" s="9">
        <v>0.0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0.0</v>
      </c>
      <c r="C34" s="9">
        <v>0.0</v>
      </c>
      <c r="D34" s="11">
        <v>0.0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0.0</v>
      </c>
      <c r="C36" s="9">
        <v>0.0</v>
      </c>
      <c r="D36" s="11">
        <v>0.0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0.0</v>
      </c>
      <c r="C37" s="9">
        <v>0.0</v>
      </c>
      <c r="D37" s="11">
        <v>0.0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  <c r="U38" s="19" t="s">
        <v>40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1.112797619</v>
      </c>
      <c r="R39" s="12">
        <v>1.04858209</v>
      </c>
      <c r="S39" s="13">
        <v>1.110980392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2.0</v>
      </c>
      <c r="C3" s="9">
        <v>4.0</v>
      </c>
      <c r="D3" s="11">
        <v>4.0</v>
      </c>
      <c r="E3" s="9">
        <v>7.0</v>
      </c>
      <c r="F3" s="9">
        <v>9.0</v>
      </c>
      <c r="G3" s="11">
        <v>7.0</v>
      </c>
      <c r="H3" s="9">
        <v>8.0</v>
      </c>
      <c r="I3" s="9">
        <v>11.0</v>
      </c>
      <c r="J3" s="11">
        <v>10.0</v>
      </c>
      <c r="K3" s="9">
        <v>11.0</v>
      </c>
      <c r="L3" s="9">
        <v>15.0</v>
      </c>
      <c r="M3" s="11">
        <v>11.0</v>
      </c>
      <c r="N3" s="9">
        <v>13.0</v>
      </c>
      <c r="O3" s="9">
        <v>15.0</v>
      </c>
      <c r="P3" s="11">
        <v>10.0</v>
      </c>
      <c r="Q3" s="9">
        <v>12.0</v>
      </c>
      <c r="R3" s="9">
        <v>16.0</v>
      </c>
      <c r="S3" s="11">
        <v>14.0</v>
      </c>
    </row>
    <row r="4">
      <c r="A4" s="8" t="s">
        <v>3</v>
      </c>
      <c r="B4" s="9">
        <v>0.0</v>
      </c>
      <c r="C4" s="9">
        <v>0.0</v>
      </c>
      <c r="D4" s="11">
        <v>0.0</v>
      </c>
      <c r="E4" s="9">
        <v>2.0</v>
      </c>
      <c r="F4" s="9">
        <v>6.0</v>
      </c>
      <c r="G4" s="11">
        <v>6.0</v>
      </c>
      <c r="H4" s="9">
        <v>10.0</v>
      </c>
      <c r="I4" s="9">
        <v>14.0</v>
      </c>
      <c r="J4" s="11">
        <v>15.0</v>
      </c>
      <c r="K4" s="9">
        <v>16.0</v>
      </c>
      <c r="L4" s="9">
        <v>23.0</v>
      </c>
      <c r="M4" s="11">
        <v>22.0</v>
      </c>
      <c r="N4" s="9">
        <v>18.0</v>
      </c>
      <c r="O4" s="9">
        <v>29.0</v>
      </c>
      <c r="P4" s="11">
        <v>30.0</v>
      </c>
      <c r="Q4" s="9">
        <v>18.0</v>
      </c>
      <c r="R4" s="9">
        <v>31.0</v>
      </c>
      <c r="S4" s="11">
        <v>34.0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1.0</v>
      </c>
      <c r="J5" s="11">
        <v>0.0</v>
      </c>
      <c r="K5" s="9">
        <v>4.0</v>
      </c>
      <c r="L5" s="9">
        <v>3.0</v>
      </c>
      <c r="M5" s="11">
        <v>1.0</v>
      </c>
      <c r="N5" s="9">
        <v>5.0</v>
      </c>
      <c r="O5" s="9">
        <v>4.0</v>
      </c>
      <c r="P5" s="11">
        <v>2.0</v>
      </c>
      <c r="Q5" s="9">
        <v>5.0</v>
      </c>
      <c r="R5" s="9">
        <v>7.0</v>
      </c>
      <c r="S5" s="11">
        <v>2.0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1.0</v>
      </c>
      <c r="O6" s="9">
        <v>0.0</v>
      </c>
      <c r="P6" s="11">
        <v>0.0</v>
      </c>
      <c r="Q6" s="9">
        <v>1.0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0.0</v>
      </c>
      <c r="D7" s="11">
        <v>0.0</v>
      </c>
      <c r="E7" s="9">
        <v>0.0</v>
      </c>
      <c r="F7" s="9">
        <v>1.0</v>
      </c>
      <c r="G7" s="11">
        <v>2.0</v>
      </c>
      <c r="H7" s="9">
        <v>2.0</v>
      </c>
      <c r="I7" s="9">
        <v>5.0</v>
      </c>
      <c r="J7" s="11">
        <v>6.0</v>
      </c>
      <c r="K7" s="9">
        <v>7.0</v>
      </c>
      <c r="L7" s="9">
        <v>11.0</v>
      </c>
      <c r="M7" s="11">
        <v>9.0</v>
      </c>
      <c r="N7" s="9">
        <v>8.0</v>
      </c>
      <c r="O7" s="9">
        <v>17.0</v>
      </c>
      <c r="P7" s="11">
        <v>14.0</v>
      </c>
      <c r="Q7" s="9">
        <v>8.0</v>
      </c>
      <c r="R7" s="9">
        <v>18.0</v>
      </c>
      <c r="S7" s="11">
        <v>17.0</v>
      </c>
    </row>
    <row r="8">
      <c r="A8" s="1" t="s">
        <v>7</v>
      </c>
      <c r="B8" s="9">
        <v>0.0</v>
      </c>
      <c r="C8" s="9">
        <v>0.0</v>
      </c>
      <c r="D8" s="11">
        <v>0.0</v>
      </c>
      <c r="E8" s="9">
        <v>2.0</v>
      </c>
      <c r="F8" s="9">
        <v>5.0</v>
      </c>
      <c r="G8" s="11">
        <v>4.0</v>
      </c>
      <c r="H8" s="9">
        <v>8.0</v>
      </c>
      <c r="I8" s="9">
        <v>9.0</v>
      </c>
      <c r="J8" s="11">
        <v>9.0</v>
      </c>
      <c r="K8" s="9">
        <v>9.0</v>
      </c>
      <c r="L8" s="9">
        <v>12.0</v>
      </c>
      <c r="M8" s="11">
        <v>13.0</v>
      </c>
      <c r="N8" s="9">
        <v>10.0</v>
      </c>
      <c r="O8" s="9">
        <v>12.0</v>
      </c>
      <c r="P8" s="11">
        <v>16.0</v>
      </c>
      <c r="Q8" s="9">
        <v>10.0</v>
      </c>
      <c r="R8" s="9">
        <v>13.0</v>
      </c>
      <c r="S8" s="11">
        <v>17.0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0.0</v>
      </c>
      <c r="I9" s="9">
        <v>0.0</v>
      </c>
      <c r="J9" s="11">
        <v>0.0</v>
      </c>
      <c r="K9" s="9">
        <v>0.0</v>
      </c>
      <c r="L9" s="9">
        <v>1.0</v>
      </c>
      <c r="M9" s="11">
        <v>0.0</v>
      </c>
      <c r="N9" s="9">
        <v>0.0</v>
      </c>
      <c r="O9" s="9">
        <v>1.0</v>
      </c>
      <c r="P9" s="11">
        <v>1.0</v>
      </c>
      <c r="Q9" s="9">
        <v>0.0</v>
      </c>
      <c r="R9" s="9">
        <v>2.0</v>
      </c>
      <c r="S9" s="11">
        <v>1.0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1.0</v>
      </c>
      <c r="I10" s="9">
        <v>1.0</v>
      </c>
      <c r="J10" s="11">
        <v>0.0</v>
      </c>
      <c r="K10" s="9">
        <v>4.0</v>
      </c>
      <c r="L10" s="9">
        <v>2.0</v>
      </c>
      <c r="M10" s="11">
        <v>1.0</v>
      </c>
      <c r="N10" s="9">
        <v>5.0</v>
      </c>
      <c r="O10" s="9">
        <v>3.0</v>
      </c>
      <c r="P10" s="11">
        <v>1.0</v>
      </c>
      <c r="Q10" s="9">
        <v>5.0</v>
      </c>
      <c r="R10" s="9">
        <v>5.0</v>
      </c>
      <c r="S10" s="11">
        <v>1.0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1.0</v>
      </c>
      <c r="O12" s="9">
        <v>0.0</v>
      </c>
      <c r="P12" s="11">
        <v>0.0</v>
      </c>
      <c r="Q12" s="9">
        <v>1.0</v>
      </c>
      <c r="R12" s="9">
        <v>0.0</v>
      </c>
      <c r="S12" s="11">
        <v>0.0</v>
      </c>
    </row>
    <row r="13">
      <c r="A13" s="1" t="s">
        <v>12</v>
      </c>
      <c r="B13" s="12">
        <v>0.0</v>
      </c>
      <c r="C13" s="12">
        <v>3.0</v>
      </c>
      <c r="D13" s="13">
        <v>3.0</v>
      </c>
      <c r="E13" s="12">
        <v>6.0</v>
      </c>
      <c r="F13" s="12">
        <v>7.0</v>
      </c>
      <c r="G13" s="13">
        <v>9.0</v>
      </c>
      <c r="H13" s="12">
        <v>14.0</v>
      </c>
      <c r="I13" s="12">
        <v>22.0</v>
      </c>
      <c r="J13" s="13">
        <v>18.0</v>
      </c>
      <c r="K13" s="12">
        <v>22.0</v>
      </c>
      <c r="L13" s="12">
        <v>36.0</v>
      </c>
      <c r="M13" s="13">
        <v>27.0</v>
      </c>
      <c r="N13" s="12">
        <v>37.0</v>
      </c>
      <c r="O13" s="12">
        <v>51.0</v>
      </c>
      <c r="P13" s="13">
        <v>35.0</v>
      </c>
      <c r="Q13" s="12">
        <v>43.0</v>
      </c>
      <c r="R13" s="12">
        <v>64.0</v>
      </c>
      <c r="S13" s="13">
        <v>43.0</v>
      </c>
    </row>
    <row r="14">
      <c r="A14" s="1" t="s">
        <v>13</v>
      </c>
      <c r="B14" s="12">
        <v>0.0</v>
      </c>
      <c r="C14" s="12">
        <v>0.0</v>
      </c>
      <c r="D14" s="13">
        <v>0.0</v>
      </c>
      <c r="E14" s="12">
        <v>2.0</v>
      </c>
      <c r="F14" s="12">
        <v>7.0</v>
      </c>
      <c r="G14" s="13">
        <v>6.0</v>
      </c>
      <c r="H14" s="12">
        <v>11.0</v>
      </c>
      <c r="I14" s="12">
        <v>19.0</v>
      </c>
      <c r="J14" s="13">
        <v>26.0</v>
      </c>
      <c r="K14" s="12">
        <v>27.0</v>
      </c>
      <c r="L14" s="12">
        <v>41.0</v>
      </c>
      <c r="M14" s="13">
        <v>45.0</v>
      </c>
      <c r="N14" s="12">
        <v>49.0</v>
      </c>
      <c r="O14" s="12">
        <v>65.0</v>
      </c>
      <c r="P14" s="13">
        <v>72.0</v>
      </c>
      <c r="Q14" s="12">
        <v>57.0</v>
      </c>
      <c r="R14" s="12">
        <v>87.0</v>
      </c>
      <c r="S14" s="13">
        <v>100.0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1.0</v>
      </c>
      <c r="J15" s="13">
        <v>0.0</v>
      </c>
      <c r="K15" s="12">
        <v>6.0</v>
      </c>
      <c r="L15" s="12">
        <v>5.0</v>
      </c>
      <c r="M15" s="13">
        <v>1.0</v>
      </c>
      <c r="N15" s="12">
        <v>13.0</v>
      </c>
      <c r="O15" s="12">
        <v>7.0</v>
      </c>
      <c r="P15" s="13">
        <v>3.0</v>
      </c>
      <c r="Q15" s="12">
        <v>14.0</v>
      </c>
      <c r="R15" s="12">
        <v>12.0</v>
      </c>
      <c r="S15" s="13">
        <v>4.0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1.0</v>
      </c>
      <c r="O16" s="12">
        <v>0.0</v>
      </c>
      <c r="P16" s="13">
        <v>0.0</v>
      </c>
      <c r="Q16" s="12">
        <v>1.0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1.0</v>
      </c>
      <c r="H17" s="12">
        <v>2.0</v>
      </c>
      <c r="I17" s="12">
        <v>0.0</v>
      </c>
      <c r="J17" s="13">
        <v>3.0</v>
      </c>
      <c r="K17" s="12">
        <v>3.0</v>
      </c>
      <c r="L17" s="12">
        <v>0.0</v>
      </c>
      <c r="M17" s="13">
        <v>5.0</v>
      </c>
      <c r="N17" s="12">
        <v>7.0</v>
      </c>
      <c r="O17" s="12">
        <v>0.0</v>
      </c>
      <c r="P17" s="13">
        <v>6.0</v>
      </c>
      <c r="Q17" s="12">
        <v>6.0</v>
      </c>
      <c r="R17" s="12">
        <v>1.0</v>
      </c>
      <c r="S17" s="13">
        <v>6.0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1.0</v>
      </c>
      <c r="I18" s="12">
        <v>2.0</v>
      </c>
      <c r="J18" s="13">
        <v>0.0</v>
      </c>
      <c r="K18" s="12">
        <v>2.0</v>
      </c>
      <c r="L18" s="12">
        <v>4.0</v>
      </c>
      <c r="M18" s="13">
        <v>0.0</v>
      </c>
      <c r="N18" s="12">
        <v>3.0</v>
      </c>
      <c r="O18" s="12">
        <v>5.0</v>
      </c>
      <c r="P18" s="13">
        <v>0.0</v>
      </c>
      <c r="Q18" s="12">
        <v>3.0</v>
      </c>
      <c r="R18" s="12">
        <v>6.0</v>
      </c>
      <c r="S18" s="13">
        <v>0.0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0</v>
      </c>
      <c r="C21" s="12">
        <f t="shared" si="1"/>
        <v>3</v>
      </c>
      <c r="D21" s="13">
        <f t="shared" si="1"/>
        <v>3</v>
      </c>
      <c r="E21" s="12">
        <f t="shared" si="1"/>
        <v>8</v>
      </c>
      <c r="F21" s="12">
        <f t="shared" si="1"/>
        <v>14</v>
      </c>
      <c r="G21" s="13">
        <f t="shared" si="1"/>
        <v>15</v>
      </c>
      <c r="H21" s="12">
        <f t="shared" si="1"/>
        <v>26</v>
      </c>
      <c r="I21" s="12">
        <f t="shared" si="1"/>
        <v>42</v>
      </c>
      <c r="J21" s="13">
        <f t="shared" si="1"/>
        <v>44</v>
      </c>
      <c r="K21" s="12">
        <f t="shared" si="1"/>
        <v>55</v>
      </c>
      <c r="L21" s="12">
        <f t="shared" si="1"/>
        <v>82</v>
      </c>
      <c r="M21" s="13">
        <f t="shared" si="1"/>
        <v>73</v>
      </c>
      <c r="N21" s="12">
        <f t="shared" si="1"/>
        <v>100</v>
      </c>
      <c r="O21" s="12">
        <f t="shared" si="1"/>
        <v>123</v>
      </c>
      <c r="P21" s="13">
        <f t="shared" si="1"/>
        <v>110</v>
      </c>
      <c r="Q21" s="12">
        <f t="shared" si="1"/>
        <v>115</v>
      </c>
      <c r="R21" s="12">
        <f t="shared" si="1"/>
        <v>163</v>
      </c>
      <c r="S21" s="13">
        <f t="shared" si="1"/>
        <v>147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1</v>
      </c>
      <c r="H22" s="12">
        <f t="shared" si="2"/>
        <v>3</v>
      </c>
      <c r="I22" s="12">
        <f t="shared" si="2"/>
        <v>2</v>
      </c>
      <c r="J22" s="13">
        <f t="shared" si="2"/>
        <v>3</v>
      </c>
      <c r="K22" s="12">
        <f t="shared" si="2"/>
        <v>5</v>
      </c>
      <c r="L22" s="12">
        <f t="shared" si="2"/>
        <v>4</v>
      </c>
      <c r="M22" s="13">
        <f t="shared" si="2"/>
        <v>5</v>
      </c>
      <c r="N22" s="12">
        <f t="shared" si="2"/>
        <v>10</v>
      </c>
      <c r="O22" s="12">
        <f t="shared" si="2"/>
        <v>5</v>
      </c>
      <c r="P22" s="13">
        <f t="shared" si="2"/>
        <v>6</v>
      </c>
      <c r="Q22" s="12">
        <f t="shared" si="2"/>
        <v>9</v>
      </c>
      <c r="R22" s="12">
        <f t="shared" si="2"/>
        <v>7</v>
      </c>
      <c r="S22" s="13">
        <f t="shared" si="2"/>
        <v>6</v>
      </c>
    </row>
    <row r="23">
      <c r="A23" s="1" t="s">
        <v>22</v>
      </c>
      <c r="B23" s="12" t="s">
        <v>24</v>
      </c>
      <c r="C23" s="12">
        <v>70.5</v>
      </c>
      <c r="D23" s="13">
        <v>96.0</v>
      </c>
      <c r="E23" s="9">
        <v>54.4</v>
      </c>
      <c r="F23" s="9">
        <v>112.225</v>
      </c>
      <c r="G23" s="11">
        <v>114.48</v>
      </c>
      <c r="H23" s="9">
        <v>111.0375</v>
      </c>
      <c r="I23" s="9">
        <v>138.8111111</v>
      </c>
      <c r="J23" s="11">
        <v>147.7</v>
      </c>
      <c r="K23" s="9">
        <v>155.43333333</v>
      </c>
      <c r="L23" s="9">
        <v>157.3461538</v>
      </c>
      <c r="M23" s="11">
        <v>172.97</v>
      </c>
      <c r="N23" s="9">
        <v>174.83333333</v>
      </c>
      <c r="O23" s="9">
        <v>174.6</v>
      </c>
      <c r="P23" s="11">
        <v>196.9909091</v>
      </c>
      <c r="Q23" s="9">
        <v>195.475</v>
      </c>
      <c r="R23" s="9">
        <v>194.88</v>
      </c>
      <c r="S23" s="11">
        <v>244.3454545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6.516741573</v>
      </c>
      <c r="R24" s="9">
        <v>7.276268657</v>
      </c>
      <c r="S24" s="11">
        <v>7.594358974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1.0</v>
      </c>
      <c r="R25" s="9">
        <v>1.0</v>
      </c>
      <c r="S25" s="20">
        <v>0.0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24.7125</v>
      </c>
      <c r="R26" s="12">
        <v>24.18461538</v>
      </c>
      <c r="S26" s="13">
        <v>23.38285714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20.877777778</v>
      </c>
      <c r="R27" s="12">
        <v>27.8</v>
      </c>
      <c r="S27" s="13">
        <v>23.64285714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19.2</v>
      </c>
      <c r="R28" s="12">
        <v>20.31076923</v>
      </c>
      <c r="S28" s="13">
        <v>20.09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3">
        <v>21.466666667</v>
      </c>
      <c r="R29" s="12">
        <v>22.4</v>
      </c>
      <c r="S29" s="13">
        <v>21.27142857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>
        <v>9.35</v>
      </c>
      <c r="R31" s="12" t="s">
        <v>24</v>
      </c>
      <c r="S31" s="13">
        <v>9.65</v>
      </c>
    </row>
    <row r="32">
      <c r="A32" s="1" t="s">
        <v>32</v>
      </c>
      <c r="B32" s="9">
        <v>1.0</v>
      </c>
      <c r="C32" s="9">
        <v>0.0</v>
      </c>
      <c r="D32" s="11">
        <v>0.0</v>
      </c>
      <c r="E32" s="9">
        <v>0.0</v>
      </c>
      <c r="F32" s="9">
        <v>0.0</v>
      </c>
      <c r="G32" s="11">
        <v>0.0</v>
      </c>
      <c r="H32" s="9">
        <v>0.0</v>
      </c>
      <c r="I32" s="9">
        <v>0.0</v>
      </c>
      <c r="J32" s="11">
        <v>0.0</v>
      </c>
      <c r="K32" s="9">
        <v>0.0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7.0</v>
      </c>
      <c r="C34" s="9">
        <v>0.0</v>
      </c>
      <c r="D34" s="11">
        <v>0.0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1.0</v>
      </c>
      <c r="C36" s="9">
        <v>0.0</v>
      </c>
      <c r="D36" s="11">
        <v>0.0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7.0</v>
      </c>
      <c r="C37" s="9">
        <v>0.0</v>
      </c>
      <c r="D37" s="11">
        <v>0.0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41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0.9415730337</v>
      </c>
      <c r="R39" s="12">
        <v>1.465223881</v>
      </c>
      <c r="S39" s="13">
        <v>1.149350649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3.0</v>
      </c>
      <c r="C3" s="9">
        <v>4.0</v>
      </c>
      <c r="D3" s="11">
        <v>4.0</v>
      </c>
      <c r="E3" s="9">
        <v>6.0</v>
      </c>
      <c r="F3" s="9">
        <v>7.0</v>
      </c>
      <c r="G3" s="11">
        <v>7.0</v>
      </c>
      <c r="H3" s="9">
        <v>8.0</v>
      </c>
      <c r="I3" s="9">
        <v>9.0</v>
      </c>
      <c r="J3" s="11">
        <v>9.0</v>
      </c>
      <c r="K3" s="9">
        <v>10.0</v>
      </c>
      <c r="L3" s="9">
        <v>11.0</v>
      </c>
      <c r="M3" s="11">
        <v>11.0</v>
      </c>
      <c r="N3" s="9">
        <v>12.0</v>
      </c>
      <c r="O3" s="9">
        <v>11.0</v>
      </c>
      <c r="P3" s="11">
        <v>12.0</v>
      </c>
      <c r="Q3" s="9">
        <v>14.0</v>
      </c>
      <c r="R3" s="9">
        <v>12.0</v>
      </c>
      <c r="S3" s="11">
        <v>14.0</v>
      </c>
    </row>
    <row r="4">
      <c r="A4" s="8" t="s">
        <v>3</v>
      </c>
      <c r="B4" s="9">
        <v>1.0</v>
      </c>
      <c r="C4" s="9">
        <v>2.0</v>
      </c>
      <c r="D4" s="11">
        <v>0.0</v>
      </c>
      <c r="E4" s="9">
        <v>6.0</v>
      </c>
      <c r="F4" s="9">
        <v>5.0</v>
      </c>
      <c r="G4" s="11">
        <v>7.0</v>
      </c>
      <c r="H4" s="9">
        <v>16.0</v>
      </c>
      <c r="I4" s="9">
        <v>13.0</v>
      </c>
      <c r="J4" s="11">
        <v>18.0</v>
      </c>
      <c r="K4" s="9">
        <v>25.0</v>
      </c>
      <c r="L4" s="9">
        <v>26.0</v>
      </c>
      <c r="M4" s="11">
        <v>28.0</v>
      </c>
      <c r="N4" s="9">
        <v>32.0</v>
      </c>
      <c r="O4" s="9">
        <v>35.0</v>
      </c>
      <c r="P4" s="11">
        <v>39.0</v>
      </c>
      <c r="Q4" s="9">
        <v>38.0</v>
      </c>
      <c r="R4" s="9">
        <v>37.0</v>
      </c>
      <c r="S4" s="11">
        <v>44.0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0.0</v>
      </c>
      <c r="I5" s="9">
        <v>1.0</v>
      </c>
      <c r="J5" s="11">
        <v>0.0</v>
      </c>
      <c r="K5" s="9">
        <v>1.0</v>
      </c>
      <c r="L5" s="9">
        <v>2.0</v>
      </c>
      <c r="M5" s="11">
        <v>1.0</v>
      </c>
      <c r="N5" s="9">
        <v>6.0</v>
      </c>
      <c r="O5" s="9">
        <v>9.0</v>
      </c>
      <c r="P5" s="11">
        <v>12.0</v>
      </c>
      <c r="Q5" s="9">
        <v>10.0</v>
      </c>
      <c r="R5" s="9">
        <v>12.0</v>
      </c>
      <c r="S5" s="11">
        <v>13.0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0.0</v>
      </c>
      <c r="D7" s="11">
        <v>0.0</v>
      </c>
      <c r="E7" s="9">
        <v>1.0</v>
      </c>
      <c r="F7" s="9">
        <v>1.0</v>
      </c>
      <c r="G7" s="11">
        <v>3.0</v>
      </c>
      <c r="H7" s="9">
        <v>7.0</v>
      </c>
      <c r="I7" s="9">
        <v>6.0</v>
      </c>
      <c r="J7" s="11">
        <v>10.0</v>
      </c>
      <c r="K7" s="9">
        <v>13.0</v>
      </c>
      <c r="L7" s="9">
        <v>15.0</v>
      </c>
      <c r="M7" s="11">
        <v>17.0</v>
      </c>
      <c r="N7" s="9">
        <v>18.0</v>
      </c>
      <c r="O7" s="9">
        <v>22.0</v>
      </c>
      <c r="P7" s="11">
        <v>25.0</v>
      </c>
      <c r="Q7" s="9">
        <v>20.0</v>
      </c>
      <c r="R7" s="9">
        <v>24.0</v>
      </c>
      <c r="S7" s="11">
        <v>29.0</v>
      </c>
    </row>
    <row r="8">
      <c r="A8" s="1" t="s">
        <v>7</v>
      </c>
      <c r="B8" s="9">
        <v>1.0</v>
      </c>
      <c r="C8" s="9">
        <v>2.0</v>
      </c>
      <c r="D8" s="11">
        <v>0.0</v>
      </c>
      <c r="E8" s="9">
        <v>5.0</v>
      </c>
      <c r="F8" s="9">
        <v>4.0</v>
      </c>
      <c r="G8" s="11">
        <v>4.0</v>
      </c>
      <c r="H8" s="9">
        <v>9.0</v>
      </c>
      <c r="I8" s="9">
        <v>7.0</v>
      </c>
      <c r="J8" s="11">
        <v>8.0</v>
      </c>
      <c r="K8" s="9">
        <v>12.0</v>
      </c>
      <c r="L8" s="9">
        <v>11.0</v>
      </c>
      <c r="M8" s="11">
        <v>11.0</v>
      </c>
      <c r="N8" s="9">
        <v>14.0</v>
      </c>
      <c r="O8" s="9">
        <v>13.0</v>
      </c>
      <c r="P8" s="11">
        <v>14.0</v>
      </c>
      <c r="Q8" s="9">
        <v>18.0</v>
      </c>
      <c r="R8" s="9">
        <v>13.0</v>
      </c>
      <c r="S8" s="11">
        <v>15.0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0.0</v>
      </c>
      <c r="I9" s="9">
        <v>0.0</v>
      </c>
      <c r="J9" s="11">
        <v>0.0</v>
      </c>
      <c r="K9" s="9">
        <v>0.0</v>
      </c>
      <c r="L9" s="9">
        <v>0.0</v>
      </c>
      <c r="M9" s="11">
        <v>1.0</v>
      </c>
      <c r="N9" s="9">
        <v>3.0</v>
      </c>
      <c r="O9" s="9">
        <v>3.0</v>
      </c>
      <c r="P9" s="11">
        <v>8.0</v>
      </c>
      <c r="Q9" s="9">
        <v>6.0</v>
      </c>
      <c r="R9" s="9">
        <v>5.0</v>
      </c>
      <c r="S9" s="11">
        <v>9.0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1.0</v>
      </c>
      <c r="J10" s="11">
        <v>0.0</v>
      </c>
      <c r="K10" s="9">
        <v>1.0</v>
      </c>
      <c r="L10" s="9">
        <v>2.0</v>
      </c>
      <c r="M10" s="11">
        <v>0.0</v>
      </c>
      <c r="N10" s="9">
        <v>3.0</v>
      </c>
      <c r="O10" s="9">
        <v>6.0</v>
      </c>
      <c r="P10" s="11">
        <v>4.0</v>
      </c>
      <c r="Q10" s="9">
        <v>4.0</v>
      </c>
      <c r="R10" s="9">
        <v>7.0</v>
      </c>
      <c r="S10" s="11">
        <v>4.0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3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4.0</v>
      </c>
      <c r="C13" s="12">
        <v>5.0</v>
      </c>
      <c r="D13" s="13">
        <v>5.0</v>
      </c>
      <c r="E13" s="12">
        <v>9.0</v>
      </c>
      <c r="F13" s="12">
        <v>10.0</v>
      </c>
      <c r="G13" s="13">
        <v>11.0</v>
      </c>
      <c r="H13" s="12">
        <v>18.0</v>
      </c>
      <c r="I13" s="12">
        <v>20.0</v>
      </c>
      <c r="J13" s="13">
        <v>18.0</v>
      </c>
      <c r="K13" s="12">
        <v>23.0</v>
      </c>
      <c r="L13" s="12">
        <v>26.0</v>
      </c>
      <c r="M13" s="13">
        <v>25.0</v>
      </c>
      <c r="N13" s="12">
        <v>31.0</v>
      </c>
      <c r="O13" s="12">
        <v>31.0</v>
      </c>
      <c r="P13" s="13">
        <v>33.0</v>
      </c>
      <c r="Q13" s="12">
        <v>38.0</v>
      </c>
      <c r="R13" s="12">
        <v>36.0</v>
      </c>
      <c r="S13" s="13">
        <v>37.0</v>
      </c>
    </row>
    <row r="14">
      <c r="A14" s="1" t="s">
        <v>13</v>
      </c>
      <c r="B14" s="12">
        <v>1.0</v>
      </c>
      <c r="C14" s="12">
        <v>2.0</v>
      </c>
      <c r="D14" s="13">
        <v>0.0</v>
      </c>
      <c r="E14" s="12">
        <v>7.0</v>
      </c>
      <c r="F14" s="12">
        <v>7.0</v>
      </c>
      <c r="G14" s="13">
        <v>8.0</v>
      </c>
      <c r="H14" s="12">
        <v>24.0</v>
      </c>
      <c r="I14" s="12">
        <v>23.0</v>
      </c>
      <c r="J14" s="13">
        <v>27.0</v>
      </c>
      <c r="K14" s="12">
        <v>47.0</v>
      </c>
      <c r="L14" s="12">
        <v>48.0</v>
      </c>
      <c r="M14" s="13">
        <v>52.0</v>
      </c>
      <c r="N14" s="12">
        <v>79.0</v>
      </c>
      <c r="O14" s="12">
        <v>91.0</v>
      </c>
      <c r="P14" s="13">
        <v>90.0</v>
      </c>
      <c r="Q14" s="12">
        <v>114.0</v>
      </c>
      <c r="R14" s="12">
        <v>124.0</v>
      </c>
      <c r="S14" s="13">
        <v>121.0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0.0</v>
      </c>
      <c r="I15" s="12">
        <v>1.0</v>
      </c>
      <c r="J15" s="13">
        <v>0.0</v>
      </c>
      <c r="K15" s="12">
        <v>1.0</v>
      </c>
      <c r="L15" s="12">
        <v>3.0</v>
      </c>
      <c r="M15" s="13">
        <v>1.0</v>
      </c>
      <c r="N15" s="12">
        <v>3.0</v>
      </c>
      <c r="O15" s="12">
        <v>13.0</v>
      </c>
      <c r="P15" s="13">
        <v>13.0</v>
      </c>
      <c r="Q15" s="12">
        <v>15.0</v>
      </c>
      <c r="R15" s="12">
        <v>22.0</v>
      </c>
      <c r="S15" s="13">
        <v>24.0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0.0</v>
      </c>
      <c r="H17" s="12">
        <v>0.0</v>
      </c>
      <c r="I17" s="12">
        <v>1.0</v>
      </c>
      <c r="J17" s="13">
        <v>1.0</v>
      </c>
      <c r="K17" s="12">
        <v>2.0</v>
      </c>
      <c r="L17" s="12">
        <v>3.0</v>
      </c>
      <c r="M17" s="13">
        <v>3.0</v>
      </c>
      <c r="N17" s="12">
        <v>7.0</v>
      </c>
      <c r="O17" s="12">
        <v>8.0</v>
      </c>
      <c r="P17" s="13">
        <v>8.0</v>
      </c>
      <c r="Q17" s="12">
        <v>10.0</v>
      </c>
      <c r="R17" s="12">
        <v>11.0</v>
      </c>
      <c r="S17" s="13">
        <v>12.0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1.0</v>
      </c>
      <c r="L18" s="12">
        <v>0.0</v>
      </c>
      <c r="M18" s="13">
        <v>1.0</v>
      </c>
      <c r="N18" s="12">
        <v>4.0</v>
      </c>
      <c r="O18" s="12">
        <v>1.0</v>
      </c>
      <c r="P18" s="13">
        <v>5.0</v>
      </c>
      <c r="Q18" s="12">
        <v>6.0</v>
      </c>
      <c r="R18" s="12">
        <v>1.0</v>
      </c>
      <c r="S18" s="13">
        <v>10.0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5</v>
      </c>
      <c r="C21" s="12">
        <f t="shared" si="1"/>
        <v>7</v>
      </c>
      <c r="D21" s="13">
        <f t="shared" si="1"/>
        <v>5</v>
      </c>
      <c r="E21" s="12">
        <f t="shared" si="1"/>
        <v>16</v>
      </c>
      <c r="F21" s="12">
        <f t="shared" si="1"/>
        <v>17</v>
      </c>
      <c r="G21" s="13">
        <f t="shared" si="1"/>
        <v>19</v>
      </c>
      <c r="H21" s="12">
        <f t="shared" si="1"/>
        <v>42</v>
      </c>
      <c r="I21" s="12">
        <f t="shared" si="1"/>
        <v>44</v>
      </c>
      <c r="J21" s="13">
        <f t="shared" si="1"/>
        <v>45</v>
      </c>
      <c r="K21" s="12">
        <f t="shared" si="1"/>
        <v>71</v>
      </c>
      <c r="L21" s="12">
        <f t="shared" si="1"/>
        <v>77</v>
      </c>
      <c r="M21" s="13">
        <f t="shared" si="1"/>
        <v>78</v>
      </c>
      <c r="N21" s="12">
        <f t="shared" si="1"/>
        <v>113</v>
      </c>
      <c r="O21" s="12">
        <f t="shared" si="1"/>
        <v>135</v>
      </c>
      <c r="P21" s="13">
        <f t="shared" si="1"/>
        <v>136</v>
      </c>
      <c r="Q21" s="12">
        <f t="shared" si="1"/>
        <v>167</v>
      </c>
      <c r="R21" s="12">
        <f t="shared" si="1"/>
        <v>182</v>
      </c>
      <c r="S21" s="13">
        <f t="shared" si="1"/>
        <v>182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0</v>
      </c>
      <c r="H22" s="12">
        <f t="shared" si="2"/>
        <v>0</v>
      </c>
      <c r="I22" s="12">
        <f t="shared" si="2"/>
        <v>1</v>
      </c>
      <c r="J22" s="13">
        <f t="shared" si="2"/>
        <v>1</v>
      </c>
      <c r="K22" s="12">
        <f t="shared" si="2"/>
        <v>3</v>
      </c>
      <c r="L22" s="12">
        <f t="shared" si="2"/>
        <v>3</v>
      </c>
      <c r="M22" s="13">
        <f t="shared" si="2"/>
        <v>4</v>
      </c>
      <c r="N22" s="12">
        <f t="shared" si="2"/>
        <v>11</v>
      </c>
      <c r="O22" s="12">
        <f t="shared" si="2"/>
        <v>9</v>
      </c>
      <c r="P22" s="13">
        <f t="shared" si="2"/>
        <v>13</v>
      </c>
      <c r="Q22" s="12">
        <f t="shared" si="2"/>
        <v>16</v>
      </c>
      <c r="R22" s="12">
        <f t="shared" si="2"/>
        <v>12</v>
      </c>
      <c r="S22" s="13">
        <f t="shared" si="2"/>
        <v>22</v>
      </c>
    </row>
    <row r="23">
      <c r="A23" s="1" t="s">
        <v>22</v>
      </c>
      <c r="B23" s="9">
        <v>86.85</v>
      </c>
      <c r="C23" s="9">
        <v>70.33333333</v>
      </c>
      <c r="D23" s="11">
        <v>79.366666667</v>
      </c>
      <c r="E23" s="9">
        <v>125.175</v>
      </c>
      <c r="F23" s="9">
        <v>112.24</v>
      </c>
      <c r="G23" s="11">
        <v>106.44</v>
      </c>
      <c r="H23" s="9">
        <v>149.3428571</v>
      </c>
      <c r="I23" s="9">
        <v>161.7</v>
      </c>
      <c r="J23" s="11">
        <v>141.4875</v>
      </c>
      <c r="K23" s="9">
        <v>181.8375</v>
      </c>
      <c r="L23" s="9">
        <v>180.17777778</v>
      </c>
      <c r="M23" s="11">
        <v>164.755556</v>
      </c>
      <c r="N23" s="9">
        <v>188.5</v>
      </c>
      <c r="O23" s="9">
        <v>198.7818182</v>
      </c>
      <c r="P23" s="11">
        <v>195.7454545</v>
      </c>
      <c r="Q23" s="9">
        <v>216.6181818</v>
      </c>
      <c r="R23" s="9">
        <v>226.4181818</v>
      </c>
      <c r="S23" s="11">
        <v>220.2818182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8.953284672</v>
      </c>
      <c r="R24" s="9">
        <v>8.080671642</v>
      </c>
      <c r="S24" s="11">
        <v>6.978216561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17">
        <v>0.0</v>
      </c>
      <c r="R25" s="17">
        <v>0.0</v>
      </c>
      <c r="S25" s="18">
        <v>0.0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23.47633588</v>
      </c>
      <c r="R26" s="12">
        <v>22.90725806</v>
      </c>
      <c r="S26" s="13">
        <v>22.94202899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26.98333333</v>
      </c>
      <c r="R27" s="12">
        <v>28.50909091</v>
      </c>
      <c r="S27" s="13">
        <v>27.06315789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16.30839695</v>
      </c>
      <c r="R28" s="12">
        <v>16.34354839</v>
      </c>
      <c r="S28" s="13">
        <v>16.3057971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>
        <v>15.966666667</v>
      </c>
      <c r="R29" s="12">
        <v>17.30909091</v>
      </c>
      <c r="S29" s="13">
        <v>16.042110526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>
        <v>5.2</v>
      </c>
      <c r="R30" s="12">
        <v>24.5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>
        <v>10.93333333</v>
      </c>
      <c r="R31" s="12">
        <v>8.95</v>
      </c>
      <c r="S31" s="13">
        <v>7.65</v>
      </c>
    </row>
    <row r="32">
      <c r="A32" s="1" t="s">
        <v>42</v>
      </c>
      <c r="B32" s="12" t="s">
        <v>24</v>
      </c>
      <c r="C32" s="12" t="s">
        <v>24</v>
      </c>
      <c r="D32" s="13" t="s">
        <v>24</v>
      </c>
      <c r="E32" s="12" t="s">
        <v>24</v>
      </c>
      <c r="F32" s="12" t="s">
        <v>24</v>
      </c>
      <c r="G32" s="13" t="s">
        <v>24</v>
      </c>
      <c r="H32" s="12" t="s">
        <v>24</v>
      </c>
      <c r="I32" s="12" t="s">
        <v>24</v>
      </c>
      <c r="J32" s="13" t="s">
        <v>24</v>
      </c>
      <c r="K32" s="12" t="s">
        <v>24</v>
      </c>
      <c r="L32" s="12" t="s">
        <v>24</v>
      </c>
      <c r="M32" s="13" t="s">
        <v>24</v>
      </c>
      <c r="N32" s="12" t="s">
        <v>24</v>
      </c>
      <c r="O32" s="12" t="s">
        <v>24</v>
      </c>
      <c r="P32" s="13" t="s">
        <v>24</v>
      </c>
      <c r="Q32" s="12" t="s">
        <v>24</v>
      </c>
      <c r="R32" s="12">
        <v>13.0</v>
      </c>
      <c r="S32" s="13" t="s">
        <v>24</v>
      </c>
    </row>
    <row r="33">
      <c r="A33" s="1" t="s">
        <v>43</v>
      </c>
      <c r="B33" s="12" t="s">
        <v>24</v>
      </c>
      <c r="C33" s="12" t="s">
        <v>24</v>
      </c>
      <c r="D33" s="13" t="s">
        <v>24</v>
      </c>
      <c r="E33" s="12" t="s">
        <v>24</v>
      </c>
      <c r="F33" s="12" t="s">
        <v>24</v>
      </c>
      <c r="G33" s="13" t="s">
        <v>24</v>
      </c>
      <c r="H33" s="12" t="s">
        <v>24</v>
      </c>
      <c r="I33" s="12" t="s">
        <v>24</v>
      </c>
      <c r="J33" s="13" t="s">
        <v>24</v>
      </c>
      <c r="K33" s="12" t="s">
        <v>24</v>
      </c>
      <c r="L33" s="12" t="s">
        <v>24</v>
      </c>
      <c r="M33" s="13" t="s">
        <v>24</v>
      </c>
      <c r="N33" s="12" t="s">
        <v>24</v>
      </c>
      <c r="O33" s="12" t="s">
        <v>24</v>
      </c>
      <c r="P33" s="13" t="s">
        <v>24</v>
      </c>
      <c r="Q33" s="12" t="s">
        <v>24</v>
      </c>
      <c r="R33" s="12" t="s">
        <v>24</v>
      </c>
      <c r="S33" s="13" t="s">
        <v>24</v>
      </c>
    </row>
    <row r="34">
      <c r="A34" s="1" t="s">
        <v>32</v>
      </c>
      <c r="B34" s="9">
        <v>0.0</v>
      </c>
      <c r="C34" s="9">
        <v>0.0</v>
      </c>
      <c r="D34" s="11">
        <v>0.0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33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34</v>
      </c>
      <c r="B36" s="9">
        <v>0.0</v>
      </c>
      <c r="C36" s="9">
        <v>0.0</v>
      </c>
      <c r="D36" s="11">
        <v>0.0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35</v>
      </c>
      <c r="B37" s="9">
        <v>0.0</v>
      </c>
      <c r="C37" s="9">
        <v>0.0</v>
      </c>
      <c r="D37" s="11">
        <v>0.0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36</v>
      </c>
      <c r="B38" s="9">
        <v>0.0</v>
      </c>
      <c r="C38" s="9">
        <v>0.0</v>
      </c>
      <c r="D38" s="11">
        <v>0.0</v>
      </c>
      <c r="E38" s="9">
        <v>0.0</v>
      </c>
      <c r="F38" s="9">
        <v>0.0</v>
      </c>
      <c r="G38" s="11">
        <v>0.0</v>
      </c>
      <c r="H38" s="9">
        <v>0.0</v>
      </c>
      <c r="I38" s="9">
        <v>0.0</v>
      </c>
      <c r="J38" s="11">
        <v>0.0</v>
      </c>
      <c r="K38" s="9">
        <v>0.0</v>
      </c>
      <c r="L38" s="9">
        <v>0.0</v>
      </c>
      <c r="M38" s="11">
        <v>0.0</v>
      </c>
      <c r="N38" s="9">
        <v>0.0</v>
      </c>
      <c r="O38" s="9">
        <v>0.0</v>
      </c>
      <c r="P38" s="11">
        <v>0.0</v>
      </c>
      <c r="Q38" s="9">
        <v>0.0</v>
      </c>
      <c r="R38" s="9">
        <v>0.0</v>
      </c>
      <c r="S38" s="11">
        <v>0.0</v>
      </c>
    </row>
    <row r="39">
      <c r="A39" s="1" t="s">
        <v>37</v>
      </c>
      <c r="B39" s="9">
        <v>0.0</v>
      </c>
      <c r="C39" s="9">
        <v>0.0</v>
      </c>
      <c r="D39" s="11">
        <v>0.0</v>
      </c>
      <c r="E39" s="9">
        <v>0.0</v>
      </c>
      <c r="F39" s="9">
        <v>0.0</v>
      </c>
      <c r="G39" s="11">
        <v>0.0</v>
      </c>
      <c r="H39" s="9">
        <v>0.0</v>
      </c>
      <c r="I39" s="9">
        <v>0.0</v>
      </c>
      <c r="J39" s="11">
        <v>0.0</v>
      </c>
      <c r="K39" s="9">
        <v>0.0</v>
      </c>
      <c r="L39" s="9">
        <v>0.0</v>
      </c>
      <c r="M39" s="11">
        <v>0.0</v>
      </c>
      <c r="N39" s="9">
        <v>0.0</v>
      </c>
      <c r="O39" s="9">
        <v>0.0</v>
      </c>
      <c r="P39" s="11">
        <v>0.0</v>
      </c>
      <c r="Q39" s="9">
        <v>0.0</v>
      </c>
      <c r="R39" s="9">
        <v>0.0</v>
      </c>
      <c r="S39" s="11">
        <v>0.0</v>
      </c>
    </row>
    <row r="40">
      <c r="A40" s="1" t="s">
        <v>38</v>
      </c>
      <c r="B40" s="9" t="s">
        <v>24</v>
      </c>
      <c r="C40" s="9" t="s">
        <v>24</v>
      </c>
      <c r="D40" s="11" t="s">
        <v>24</v>
      </c>
      <c r="E40" s="9" t="s">
        <v>24</v>
      </c>
      <c r="F40" s="9" t="s">
        <v>24</v>
      </c>
      <c r="G40" s="11" t="s">
        <v>24</v>
      </c>
      <c r="H40" s="9" t="s">
        <v>24</v>
      </c>
      <c r="I40" s="9" t="s">
        <v>24</v>
      </c>
      <c r="J40" s="11" t="s">
        <v>24</v>
      </c>
      <c r="K40" s="9" t="s">
        <v>24</v>
      </c>
      <c r="L40" s="9" t="s">
        <v>24</v>
      </c>
      <c r="M40" s="11" t="s">
        <v>24</v>
      </c>
      <c r="N40" s="9" t="s">
        <v>24</v>
      </c>
      <c r="O40" s="9" t="s">
        <v>24</v>
      </c>
      <c r="P40" s="11" t="s">
        <v>24</v>
      </c>
      <c r="Q40" s="12" t="s">
        <v>24</v>
      </c>
      <c r="R40" s="12" t="s">
        <v>24</v>
      </c>
      <c r="S40" s="13" t="s">
        <v>24</v>
      </c>
    </row>
    <row r="41">
      <c r="A41" s="1" t="s">
        <v>39</v>
      </c>
      <c r="B41" s="9" t="s">
        <v>24</v>
      </c>
      <c r="C41" s="9" t="s">
        <v>24</v>
      </c>
      <c r="D41" s="11" t="s">
        <v>24</v>
      </c>
      <c r="E41" s="9" t="s">
        <v>24</v>
      </c>
      <c r="F41" s="9" t="s">
        <v>24</v>
      </c>
      <c r="G41" s="11" t="s">
        <v>24</v>
      </c>
      <c r="H41" s="9" t="s">
        <v>24</v>
      </c>
      <c r="I41" s="9" t="s">
        <v>24</v>
      </c>
      <c r="J41" s="11" t="s">
        <v>24</v>
      </c>
      <c r="K41" s="9" t="s">
        <v>24</v>
      </c>
      <c r="L41" s="9" t="s">
        <v>24</v>
      </c>
      <c r="M41" s="11" t="s">
        <v>24</v>
      </c>
      <c r="N41" s="9" t="s">
        <v>24</v>
      </c>
      <c r="O41" s="9" t="s">
        <v>24</v>
      </c>
      <c r="P41" s="11" t="s">
        <v>24</v>
      </c>
      <c r="Q41" s="12">
        <v>1.024744526</v>
      </c>
      <c r="R41" s="12">
        <v>0.8521052632</v>
      </c>
      <c r="S41" s="13">
        <v>0.8159235669</v>
      </c>
    </row>
    <row r="4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45763.0</v>
      </c>
      <c r="C1" s="3"/>
      <c r="D1" s="4"/>
      <c r="E1" s="2">
        <v>45777.0</v>
      </c>
      <c r="F1" s="3"/>
      <c r="G1" s="4"/>
      <c r="H1" s="2">
        <v>45791.0</v>
      </c>
      <c r="I1" s="3"/>
      <c r="J1" s="4"/>
      <c r="K1" s="2">
        <v>45805.0</v>
      </c>
      <c r="L1" s="3"/>
      <c r="M1" s="4"/>
      <c r="N1" s="2">
        <v>45819.0</v>
      </c>
      <c r="O1" s="3"/>
      <c r="P1" s="4"/>
      <c r="Q1" s="2">
        <v>45833.0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2.0</v>
      </c>
      <c r="C3" s="9">
        <v>2.0</v>
      </c>
      <c r="D3" s="11">
        <v>2.0</v>
      </c>
      <c r="E3" s="9">
        <v>3.0</v>
      </c>
      <c r="F3" s="9">
        <v>4.0</v>
      </c>
      <c r="G3" s="11">
        <v>4.0</v>
      </c>
      <c r="H3" s="9">
        <v>4.0</v>
      </c>
      <c r="I3" s="9">
        <v>5.0</v>
      </c>
      <c r="J3" s="11">
        <v>4.0</v>
      </c>
      <c r="K3" s="9">
        <v>4.0</v>
      </c>
      <c r="L3" s="9">
        <v>7.0</v>
      </c>
      <c r="M3" s="11">
        <v>6.0</v>
      </c>
      <c r="N3" s="9">
        <v>4.0</v>
      </c>
      <c r="O3" s="9">
        <v>8.0</v>
      </c>
      <c r="P3" s="11">
        <v>6.0</v>
      </c>
      <c r="Q3" s="9">
        <v>4.0</v>
      </c>
      <c r="R3" s="9">
        <v>9.0</v>
      </c>
      <c r="S3" s="11">
        <v>7.0</v>
      </c>
    </row>
    <row r="4">
      <c r="A4" s="8" t="s">
        <v>3</v>
      </c>
      <c r="B4" s="9">
        <v>0.0</v>
      </c>
      <c r="C4" s="9">
        <v>0.0</v>
      </c>
      <c r="D4" s="11">
        <v>1.0</v>
      </c>
      <c r="E4" s="9">
        <v>2.0</v>
      </c>
      <c r="F4" s="9">
        <v>3.0</v>
      </c>
      <c r="G4" s="11">
        <v>4.0</v>
      </c>
      <c r="H4" s="9">
        <v>5.0</v>
      </c>
      <c r="I4" s="9">
        <v>6.0</v>
      </c>
      <c r="J4" s="11">
        <v>9.0</v>
      </c>
      <c r="K4" s="9">
        <v>8.0</v>
      </c>
      <c r="L4" s="9">
        <v>8.0</v>
      </c>
      <c r="M4" s="11">
        <v>13.0</v>
      </c>
      <c r="N4" s="9">
        <v>8.0</v>
      </c>
      <c r="O4" s="9">
        <v>13.0</v>
      </c>
      <c r="P4" s="11">
        <v>15.0</v>
      </c>
      <c r="Q4" s="9">
        <v>11.0</v>
      </c>
      <c r="R4" s="9">
        <v>19.0</v>
      </c>
      <c r="S4" s="11">
        <v>17.0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0.0</v>
      </c>
      <c r="J5" s="11">
        <v>0.0</v>
      </c>
      <c r="K5" s="9">
        <v>1.0</v>
      </c>
      <c r="L5" s="9">
        <v>0.0</v>
      </c>
      <c r="M5" s="11">
        <v>1.0</v>
      </c>
      <c r="N5" s="9">
        <v>2.0</v>
      </c>
      <c r="O5" s="9">
        <v>1.0</v>
      </c>
      <c r="P5" s="11">
        <v>1.0</v>
      </c>
      <c r="Q5" s="9">
        <v>2.0</v>
      </c>
      <c r="R5" s="9">
        <v>1.0</v>
      </c>
      <c r="S5" s="11">
        <v>2.0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0.0</v>
      </c>
      <c r="D7" s="11">
        <v>1.0</v>
      </c>
      <c r="E7" s="9">
        <v>1.0</v>
      </c>
      <c r="F7" s="9">
        <v>1.0</v>
      </c>
      <c r="G7" s="11">
        <v>1.0</v>
      </c>
      <c r="H7" s="9">
        <v>2.0</v>
      </c>
      <c r="I7" s="9">
        <v>2.0</v>
      </c>
      <c r="J7" s="11">
        <v>4.0</v>
      </c>
      <c r="K7" s="9">
        <v>4.0</v>
      </c>
      <c r="L7" s="9">
        <v>3.0</v>
      </c>
      <c r="M7" s="11">
        <v>7.0</v>
      </c>
      <c r="N7" s="9">
        <v>4.0</v>
      </c>
      <c r="O7" s="9">
        <v>8.0</v>
      </c>
      <c r="P7" s="11">
        <v>9.0</v>
      </c>
      <c r="Q7" s="9">
        <v>7.0</v>
      </c>
      <c r="R7" s="9">
        <v>13.0</v>
      </c>
      <c r="S7" s="11">
        <v>10.0</v>
      </c>
    </row>
    <row r="8">
      <c r="A8" s="1" t="s">
        <v>7</v>
      </c>
      <c r="B8" s="9">
        <v>0.0</v>
      </c>
      <c r="C8" s="9">
        <v>0.0</v>
      </c>
      <c r="D8" s="11">
        <v>0.0</v>
      </c>
      <c r="E8" s="9">
        <v>1.0</v>
      </c>
      <c r="F8" s="9">
        <v>2.0</v>
      </c>
      <c r="G8" s="11">
        <v>3.0</v>
      </c>
      <c r="H8" s="9">
        <v>3.0</v>
      </c>
      <c r="I8" s="9">
        <v>4.0</v>
      </c>
      <c r="J8" s="11">
        <v>5.0</v>
      </c>
      <c r="K8" s="9">
        <v>4.0</v>
      </c>
      <c r="L8" s="9">
        <v>5.0</v>
      </c>
      <c r="M8" s="11">
        <v>6.0</v>
      </c>
      <c r="N8" s="9">
        <v>4.0</v>
      </c>
      <c r="O8" s="9">
        <v>5.0</v>
      </c>
      <c r="P8" s="11">
        <v>6.0</v>
      </c>
      <c r="Q8" s="9">
        <v>4.0</v>
      </c>
      <c r="R8" s="9">
        <v>6.0</v>
      </c>
      <c r="S8" s="11">
        <v>7.0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1.0</v>
      </c>
      <c r="I9" s="9">
        <v>0.0</v>
      </c>
      <c r="J9" s="11">
        <v>0.0</v>
      </c>
      <c r="K9" s="9">
        <v>1.0</v>
      </c>
      <c r="L9" s="9">
        <v>0.0</v>
      </c>
      <c r="M9" s="11">
        <v>0.0</v>
      </c>
      <c r="N9" s="9">
        <v>2.0</v>
      </c>
      <c r="O9" s="9">
        <v>0.0</v>
      </c>
      <c r="P9" s="11">
        <v>2.0</v>
      </c>
      <c r="Q9" s="9">
        <v>2.0</v>
      </c>
      <c r="R9" s="9">
        <v>1.0</v>
      </c>
      <c r="S9" s="11">
        <v>1.0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0.0</v>
      </c>
      <c r="J10" s="11">
        <v>0.0</v>
      </c>
      <c r="K10" s="9">
        <v>0.0</v>
      </c>
      <c r="L10" s="9">
        <v>0.0</v>
      </c>
      <c r="M10" s="11">
        <v>1.0</v>
      </c>
      <c r="N10" s="9">
        <v>0.0</v>
      </c>
      <c r="O10" s="9">
        <v>1.0</v>
      </c>
      <c r="P10" s="11">
        <v>0.0</v>
      </c>
      <c r="Q10" s="9">
        <v>0.0</v>
      </c>
      <c r="R10" s="9">
        <v>0.0</v>
      </c>
      <c r="S10" s="11">
        <v>1.0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1.0</v>
      </c>
      <c r="C13" s="12">
        <v>1.0</v>
      </c>
      <c r="D13" s="13">
        <v>2.0</v>
      </c>
      <c r="E13" s="12">
        <v>3.0</v>
      </c>
      <c r="F13" s="12">
        <v>4.0</v>
      </c>
      <c r="G13" s="13">
        <v>5.0</v>
      </c>
      <c r="H13" s="12">
        <v>7.0</v>
      </c>
      <c r="I13" s="12">
        <v>9.0</v>
      </c>
      <c r="J13" s="13">
        <v>8.0</v>
      </c>
      <c r="K13" s="12">
        <v>11.0</v>
      </c>
      <c r="L13" s="12">
        <v>12.0</v>
      </c>
      <c r="M13" s="13">
        <v>13.0</v>
      </c>
      <c r="N13" s="12">
        <v>14.0</v>
      </c>
      <c r="O13" s="12">
        <v>22.0</v>
      </c>
      <c r="P13" s="13">
        <v>19.0</v>
      </c>
      <c r="Q13" s="12">
        <v>18.0</v>
      </c>
      <c r="R13" s="12">
        <v>31.0</v>
      </c>
      <c r="S13" s="13">
        <v>25.0</v>
      </c>
    </row>
    <row r="14">
      <c r="A14" s="1" t="s">
        <v>13</v>
      </c>
      <c r="B14" s="12">
        <v>0.0</v>
      </c>
      <c r="C14" s="12">
        <v>0.0</v>
      </c>
      <c r="D14" s="13">
        <v>1.0</v>
      </c>
      <c r="E14" s="12">
        <v>3.0</v>
      </c>
      <c r="F14" s="12">
        <v>4.0</v>
      </c>
      <c r="G14" s="13">
        <v>5.0</v>
      </c>
      <c r="H14" s="12">
        <v>8.0</v>
      </c>
      <c r="I14" s="12">
        <v>10.0</v>
      </c>
      <c r="J14" s="13">
        <v>14.0</v>
      </c>
      <c r="K14" s="12">
        <v>16.0</v>
      </c>
      <c r="L14" s="12">
        <v>14.0</v>
      </c>
      <c r="M14" s="13">
        <v>27.0</v>
      </c>
      <c r="N14" s="12">
        <v>22.0</v>
      </c>
      <c r="O14" s="12">
        <v>27.0</v>
      </c>
      <c r="P14" s="13">
        <v>41.0</v>
      </c>
      <c r="Q14" s="12">
        <v>32.0</v>
      </c>
      <c r="R14" s="12">
        <v>46.0</v>
      </c>
      <c r="S14" s="13">
        <v>51.0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0.0</v>
      </c>
      <c r="J15" s="13">
        <v>0.0</v>
      </c>
      <c r="K15" s="12">
        <v>2.0</v>
      </c>
      <c r="L15" s="12">
        <v>0.0</v>
      </c>
      <c r="M15" s="13">
        <v>1.0</v>
      </c>
      <c r="N15" s="12">
        <v>4.0</v>
      </c>
      <c r="O15" s="12">
        <v>1.0</v>
      </c>
      <c r="P15" s="13">
        <v>1.0</v>
      </c>
      <c r="Q15" s="12">
        <v>6.0</v>
      </c>
      <c r="R15" s="12">
        <v>2.0</v>
      </c>
      <c r="S15" s="13">
        <v>3.0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0.0</v>
      </c>
      <c r="H17" s="12">
        <v>0.0</v>
      </c>
      <c r="I17" s="12">
        <v>0.0</v>
      </c>
      <c r="J17" s="13">
        <v>0.0</v>
      </c>
      <c r="K17" s="12">
        <v>0.0</v>
      </c>
      <c r="L17" s="12">
        <v>0.0</v>
      </c>
      <c r="M17" s="13">
        <v>0.0</v>
      </c>
      <c r="N17" s="12">
        <v>0.0</v>
      </c>
      <c r="O17" s="12">
        <v>0.0</v>
      </c>
      <c r="P17" s="13">
        <v>0.0</v>
      </c>
      <c r="Q17" s="12">
        <v>0.0</v>
      </c>
      <c r="R17" s="12">
        <v>0.0</v>
      </c>
      <c r="S17" s="13">
        <v>0.0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0.0</v>
      </c>
      <c r="N18" s="12">
        <v>0.0</v>
      </c>
      <c r="O18" s="12">
        <v>0.0</v>
      </c>
      <c r="P18" s="13">
        <v>0.0</v>
      </c>
      <c r="Q18" s="12">
        <v>0.0</v>
      </c>
      <c r="R18" s="12">
        <v>0.0</v>
      </c>
      <c r="S18" s="13">
        <v>1.0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1</v>
      </c>
      <c r="C21" s="12">
        <f t="shared" si="1"/>
        <v>1</v>
      </c>
      <c r="D21" s="13">
        <f t="shared" si="1"/>
        <v>3</v>
      </c>
      <c r="E21" s="12">
        <f t="shared" si="1"/>
        <v>6</v>
      </c>
      <c r="F21" s="12">
        <f t="shared" si="1"/>
        <v>8</v>
      </c>
      <c r="G21" s="13">
        <f t="shared" si="1"/>
        <v>10</v>
      </c>
      <c r="H21" s="12">
        <f t="shared" si="1"/>
        <v>16</v>
      </c>
      <c r="I21" s="12">
        <f t="shared" si="1"/>
        <v>19</v>
      </c>
      <c r="J21" s="13">
        <f t="shared" si="1"/>
        <v>22</v>
      </c>
      <c r="K21" s="12">
        <f t="shared" si="1"/>
        <v>29</v>
      </c>
      <c r="L21" s="12">
        <f t="shared" si="1"/>
        <v>26</v>
      </c>
      <c r="M21" s="13">
        <f t="shared" si="1"/>
        <v>41</v>
      </c>
      <c r="N21" s="12">
        <f t="shared" si="1"/>
        <v>40</v>
      </c>
      <c r="O21" s="12">
        <f t="shared" si="1"/>
        <v>50</v>
      </c>
      <c r="P21" s="13">
        <f t="shared" si="1"/>
        <v>61</v>
      </c>
      <c r="Q21" s="12">
        <f t="shared" si="1"/>
        <v>56</v>
      </c>
      <c r="R21" s="12">
        <f t="shared" si="1"/>
        <v>79</v>
      </c>
      <c r="S21" s="13">
        <f t="shared" si="1"/>
        <v>79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0</v>
      </c>
      <c r="H22" s="12">
        <f t="shared" si="2"/>
        <v>0</v>
      </c>
      <c r="I22" s="12">
        <f t="shared" si="2"/>
        <v>0</v>
      </c>
      <c r="J22" s="13">
        <f t="shared" si="2"/>
        <v>0</v>
      </c>
      <c r="K22" s="12">
        <f t="shared" si="2"/>
        <v>0</v>
      </c>
      <c r="L22" s="12">
        <f t="shared" si="2"/>
        <v>0</v>
      </c>
      <c r="M22" s="13">
        <f t="shared" si="2"/>
        <v>0</v>
      </c>
      <c r="N22" s="12">
        <f t="shared" si="2"/>
        <v>0</v>
      </c>
      <c r="O22" s="12">
        <f t="shared" si="2"/>
        <v>0</v>
      </c>
      <c r="P22" s="13">
        <f t="shared" si="2"/>
        <v>0</v>
      </c>
      <c r="Q22" s="12">
        <f t="shared" si="2"/>
        <v>0</v>
      </c>
      <c r="R22" s="12">
        <f t="shared" si="2"/>
        <v>0</v>
      </c>
      <c r="S22" s="13">
        <f t="shared" si="2"/>
        <v>1</v>
      </c>
    </row>
    <row r="23">
      <c r="A23" s="1" t="s">
        <v>22</v>
      </c>
      <c r="B23" s="9">
        <v>91.6</v>
      </c>
      <c r="C23" s="9">
        <v>85.6</v>
      </c>
      <c r="D23" s="11">
        <v>69.0</v>
      </c>
      <c r="E23" s="9">
        <v>106.0</v>
      </c>
      <c r="F23" s="9">
        <v>95.2</v>
      </c>
      <c r="G23" s="11">
        <v>120.4</v>
      </c>
      <c r="H23" s="9">
        <v>122.9</v>
      </c>
      <c r="I23" s="9">
        <v>122.05</v>
      </c>
      <c r="J23" s="11">
        <v>131.025</v>
      </c>
      <c r="K23" s="9">
        <v>150.675</v>
      </c>
      <c r="L23" s="9">
        <v>150.3</v>
      </c>
      <c r="M23" s="11">
        <v>151.54</v>
      </c>
      <c r="N23" s="9">
        <v>190.4</v>
      </c>
      <c r="O23" s="9">
        <v>149.1125</v>
      </c>
      <c r="P23" s="11">
        <v>169.5</v>
      </c>
      <c r="Q23" s="9">
        <v>230.4</v>
      </c>
      <c r="R23" s="9">
        <v>193.2</v>
      </c>
      <c r="S23" s="11">
        <v>205.85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12">
        <v>11.877777778</v>
      </c>
      <c r="R24" s="12">
        <v>11.11319444</v>
      </c>
      <c r="S24" s="13">
        <v>10.70658228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1.0</v>
      </c>
      <c r="R25" s="9">
        <v>1.0</v>
      </c>
      <c r="S25" s="11">
        <v>1.0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26.905555556</v>
      </c>
      <c r="R26" s="12">
        <v>23.15586667</v>
      </c>
      <c r="S26" s="13">
        <v>24.54487179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 t="s">
        <v>24</v>
      </c>
      <c r="R27" s="12" t="s">
        <v>24</v>
      </c>
      <c r="S27" s="13">
        <v>22.4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20.83888889</v>
      </c>
      <c r="R28" s="12">
        <v>19.36866667</v>
      </c>
      <c r="S28" s="13">
        <v>17.77435897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 t="s">
        <v>24</v>
      </c>
      <c r="R29" s="12" t="s">
        <v>24</v>
      </c>
      <c r="S29" s="13">
        <v>7.5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>
        <v>22.0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 t="s">
        <v>24</v>
      </c>
      <c r="S31" s="13">
        <v>6.2</v>
      </c>
    </row>
    <row r="32">
      <c r="A32" s="1" t="s">
        <v>32</v>
      </c>
      <c r="B32" s="9">
        <v>1.0</v>
      </c>
      <c r="C32" s="9">
        <v>1.0</v>
      </c>
      <c r="D32" s="11">
        <v>0.0</v>
      </c>
      <c r="E32" s="9">
        <v>0.0</v>
      </c>
      <c r="F32" s="9">
        <v>1.0</v>
      </c>
      <c r="G32" s="11">
        <v>1.0</v>
      </c>
      <c r="H32" s="9">
        <v>0.0</v>
      </c>
      <c r="I32" s="9">
        <v>1.0</v>
      </c>
      <c r="J32" s="11">
        <v>2.0</v>
      </c>
      <c r="K32" s="9">
        <v>1.0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1.0</v>
      </c>
      <c r="R32" s="9">
        <v>0.0</v>
      </c>
      <c r="S32" s="11">
        <v>2.0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1.0</v>
      </c>
      <c r="R33" s="9">
        <v>1.0</v>
      </c>
      <c r="S33" s="11">
        <v>1.0</v>
      </c>
    </row>
    <row r="34">
      <c r="A34" s="1" t="s">
        <v>34</v>
      </c>
      <c r="B34" s="9">
        <v>6.0</v>
      </c>
      <c r="C34" s="9">
        <v>6.0</v>
      </c>
      <c r="D34" s="11">
        <v>0.0</v>
      </c>
      <c r="E34" s="9">
        <v>0.0</v>
      </c>
      <c r="F34" s="9">
        <v>7.0</v>
      </c>
      <c r="G34" s="11">
        <v>4.0</v>
      </c>
      <c r="H34" s="9">
        <v>0.0</v>
      </c>
      <c r="I34" s="9">
        <v>8.0</v>
      </c>
      <c r="J34" s="11">
        <v>8.0</v>
      </c>
      <c r="K34" s="9">
        <v>2.0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6.0</v>
      </c>
      <c r="R34" s="9">
        <v>0.0</v>
      </c>
      <c r="S34" s="11">
        <v>10.0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1.0</v>
      </c>
      <c r="R35" s="9">
        <v>4.0</v>
      </c>
      <c r="S35" s="11">
        <v>1.0</v>
      </c>
    </row>
    <row r="36">
      <c r="A36" s="1" t="s">
        <v>36</v>
      </c>
      <c r="B36" s="9">
        <v>1.0</v>
      </c>
      <c r="C36" s="9">
        <v>1.0</v>
      </c>
      <c r="D36" s="11">
        <v>0.0</v>
      </c>
      <c r="E36" s="9">
        <v>0.0</v>
      </c>
      <c r="F36" s="9">
        <v>1.0</v>
      </c>
      <c r="G36" s="11">
        <v>1.0</v>
      </c>
      <c r="H36" s="9">
        <v>0.0</v>
      </c>
      <c r="I36" s="9">
        <v>1.0</v>
      </c>
      <c r="J36" s="11">
        <v>2.0</v>
      </c>
      <c r="K36" s="9">
        <f>sum(H36,K32)</f>
        <v>1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f>sum(N36,Q32,Q33)</f>
        <v>2</v>
      </c>
      <c r="R36" s="9">
        <f>sum(O36,R33)</f>
        <v>1</v>
      </c>
      <c r="S36" s="11">
        <f>sum(P36,S32,S33)</f>
        <v>3</v>
      </c>
    </row>
    <row r="37">
      <c r="A37" s="1" t="s">
        <v>37</v>
      </c>
      <c r="B37" s="9">
        <v>6.0</v>
      </c>
      <c r="C37" s="9">
        <v>6.0</v>
      </c>
      <c r="D37" s="11">
        <v>0.0</v>
      </c>
      <c r="E37" s="9">
        <v>0.0</v>
      </c>
      <c r="F37" s="9">
        <v>7.0</v>
      </c>
      <c r="G37" s="11">
        <v>4.0</v>
      </c>
      <c r="H37" s="9">
        <v>0.0</v>
      </c>
      <c r="I37" s="9">
        <v>8.0</v>
      </c>
      <c r="J37" s="11">
        <v>8.0</v>
      </c>
      <c r="K37" s="9">
        <f>sum(H37,K34)</f>
        <v>2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f>sum(N37,Q34,Q35)</f>
        <v>7</v>
      </c>
      <c r="R37" s="9">
        <f>sum(O37,R35)</f>
        <v>4</v>
      </c>
      <c r="S37" s="11">
        <f>sum(P37,S34,S35)</f>
        <v>11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3.238888889</v>
      </c>
      <c r="R39" s="12">
        <v>1.8732</v>
      </c>
      <c r="S39" s="13">
        <v>1.645443038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45770.0</v>
      </c>
      <c r="C1" s="3"/>
      <c r="D1" s="4"/>
      <c r="E1" s="2">
        <v>45784.0</v>
      </c>
      <c r="F1" s="3"/>
      <c r="G1" s="4"/>
      <c r="H1" s="2">
        <v>45798.0</v>
      </c>
      <c r="I1" s="3"/>
      <c r="J1" s="4"/>
      <c r="K1" s="2">
        <v>45812.0</v>
      </c>
      <c r="L1" s="3"/>
      <c r="M1" s="4"/>
      <c r="N1" s="2">
        <v>45826.0</v>
      </c>
      <c r="O1" s="3"/>
      <c r="P1" s="4"/>
      <c r="Q1" s="2">
        <v>45840.0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6.0</v>
      </c>
      <c r="C3" s="9">
        <v>3.0</v>
      </c>
      <c r="D3" s="11">
        <v>7.0</v>
      </c>
      <c r="E3" s="9">
        <v>6.0</v>
      </c>
      <c r="F3" s="9">
        <v>3.0</v>
      </c>
      <c r="G3" s="11">
        <v>11.0</v>
      </c>
      <c r="H3" s="9">
        <v>9.0</v>
      </c>
      <c r="I3" s="9">
        <v>5.0</v>
      </c>
      <c r="J3" s="11">
        <v>14.0</v>
      </c>
      <c r="K3" s="9">
        <v>13.0</v>
      </c>
      <c r="L3" s="9">
        <v>5.0</v>
      </c>
      <c r="M3" s="11">
        <v>15.0</v>
      </c>
      <c r="N3" s="9">
        <v>15.0</v>
      </c>
      <c r="O3" s="9">
        <v>5.0</v>
      </c>
      <c r="P3" s="11">
        <v>18.0</v>
      </c>
      <c r="Q3" s="9">
        <v>15.0</v>
      </c>
      <c r="R3" s="9">
        <v>5.0</v>
      </c>
      <c r="S3" s="11">
        <v>19.0</v>
      </c>
    </row>
    <row r="4">
      <c r="A4" s="8" t="s">
        <v>3</v>
      </c>
      <c r="B4" s="9">
        <v>0.0</v>
      </c>
      <c r="C4" s="9">
        <v>0.0</v>
      </c>
      <c r="D4" s="11">
        <v>0.0</v>
      </c>
      <c r="E4" s="9">
        <v>3.0</v>
      </c>
      <c r="F4" s="9">
        <v>3.0</v>
      </c>
      <c r="G4" s="11">
        <v>4.0</v>
      </c>
      <c r="H4" s="9">
        <v>4.0</v>
      </c>
      <c r="I4" s="9">
        <v>5.0</v>
      </c>
      <c r="J4" s="11">
        <v>7.0</v>
      </c>
      <c r="K4" s="9">
        <v>6.0</v>
      </c>
      <c r="L4" s="9">
        <v>8.0</v>
      </c>
      <c r="M4" s="11">
        <v>9.0</v>
      </c>
      <c r="N4" s="9">
        <v>7.0</v>
      </c>
      <c r="O4" s="9">
        <v>11.0</v>
      </c>
      <c r="P4" s="11">
        <v>9.0</v>
      </c>
      <c r="Q4" s="9">
        <v>7.0</v>
      </c>
      <c r="R4" s="9">
        <v>12.0</v>
      </c>
      <c r="S4" s="11">
        <v>9.0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1.0</v>
      </c>
      <c r="J5" s="11">
        <v>0.0</v>
      </c>
      <c r="K5" s="9">
        <v>1.0</v>
      </c>
      <c r="L5" s="9">
        <v>3.0</v>
      </c>
      <c r="M5" s="11">
        <v>0.0</v>
      </c>
      <c r="N5" s="9">
        <v>1.0</v>
      </c>
      <c r="O5" s="9">
        <v>4.0</v>
      </c>
      <c r="P5" s="11">
        <v>0.0</v>
      </c>
      <c r="Q5" s="9">
        <v>1.0</v>
      </c>
      <c r="R5" s="9">
        <v>4.0</v>
      </c>
      <c r="S5" s="11">
        <v>0.0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0.0</v>
      </c>
      <c r="D7" s="11">
        <v>0.0</v>
      </c>
      <c r="E7" s="9">
        <v>1.0</v>
      </c>
      <c r="F7" s="9">
        <v>2.0</v>
      </c>
      <c r="G7" s="11">
        <v>1.0</v>
      </c>
      <c r="H7" s="9">
        <v>1.0</v>
      </c>
      <c r="I7" s="9">
        <v>4.0</v>
      </c>
      <c r="J7" s="11">
        <v>3.0</v>
      </c>
      <c r="K7" s="9">
        <v>3.0</v>
      </c>
      <c r="L7" s="9">
        <v>7.0</v>
      </c>
      <c r="M7" s="11">
        <v>5.0</v>
      </c>
      <c r="N7" s="9">
        <v>4.0</v>
      </c>
      <c r="O7" s="9">
        <v>9.0</v>
      </c>
      <c r="P7" s="11">
        <v>5.0</v>
      </c>
      <c r="Q7" s="9">
        <v>4.0</v>
      </c>
      <c r="R7" s="9">
        <v>9.0</v>
      </c>
      <c r="S7" s="11">
        <v>5.0</v>
      </c>
    </row>
    <row r="8">
      <c r="A8" s="1" t="s">
        <v>7</v>
      </c>
      <c r="B8" s="9">
        <v>0.0</v>
      </c>
      <c r="C8" s="9">
        <v>0.0</v>
      </c>
      <c r="D8" s="11">
        <v>0.0</v>
      </c>
      <c r="E8" s="9">
        <v>2.0</v>
      </c>
      <c r="F8" s="9">
        <v>1.0</v>
      </c>
      <c r="G8" s="11">
        <v>3.0</v>
      </c>
      <c r="H8" s="9">
        <v>3.0</v>
      </c>
      <c r="I8" s="9">
        <v>1.0</v>
      </c>
      <c r="J8" s="11">
        <v>4.0</v>
      </c>
      <c r="K8" s="9">
        <v>3.0</v>
      </c>
      <c r="L8" s="9">
        <v>1.0</v>
      </c>
      <c r="M8" s="11">
        <v>4.0</v>
      </c>
      <c r="N8" s="9">
        <v>3.0</v>
      </c>
      <c r="O8" s="9">
        <v>2.0</v>
      </c>
      <c r="P8" s="11">
        <v>4.0</v>
      </c>
      <c r="Q8" s="9">
        <v>3.0</v>
      </c>
      <c r="R8" s="9">
        <v>3.0</v>
      </c>
      <c r="S8" s="11">
        <v>4.0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1.0</v>
      </c>
      <c r="I9" s="9">
        <v>1.0</v>
      </c>
      <c r="J9" s="11">
        <v>0.0</v>
      </c>
      <c r="K9" s="9">
        <v>1.0</v>
      </c>
      <c r="L9" s="9">
        <v>3.0</v>
      </c>
      <c r="M9" s="11">
        <v>0.0</v>
      </c>
      <c r="N9" s="9">
        <v>1.0</v>
      </c>
      <c r="O9" s="9">
        <v>4.0</v>
      </c>
      <c r="P9" s="11">
        <v>0.0</v>
      </c>
      <c r="Q9" s="9">
        <v>1.0</v>
      </c>
      <c r="R9" s="9">
        <v>4.0</v>
      </c>
      <c r="S9" s="11">
        <v>0.0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0.0</v>
      </c>
      <c r="J10" s="11">
        <v>0.0</v>
      </c>
      <c r="K10" s="9">
        <v>0.0</v>
      </c>
      <c r="L10" s="9">
        <v>0.0</v>
      </c>
      <c r="M10" s="11">
        <v>0.0</v>
      </c>
      <c r="N10" s="9">
        <v>0.0</v>
      </c>
      <c r="O10" s="9">
        <v>0.0</v>
      </c>
      <c r="P10" s="11">
        <v>0.0</v>
      </c>
      <c r="Q10" s="9">
        <v>0.0</v>
      </c>
      <c r="R10" s="9">
        <v>0.0</v>
      </c>
      <c r="S10" s="11">
        <v>0.0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3.0</v>
      </c>
      <c r="C13" s="12">
        <v>4.0</v>
      </c>
      <c r="D13" s="13">
        <v>5.0</v>
      </c>
      <c r="E13" s="12">
        <v>10.0</v>
      </c>
      <c r="F13" s="12">
        <v>6.0</v>
      </c>
      <c r="G13" s="13">
        <v>14.0</v>
      </c>
      <c r="H13" s="12">
        <v>14.0</v>
      </c>
      <c r="I13" s="12">
        <v>8.0</v>
      </c>
      <c r="J13" s="13">
        <v>24.0</v>
      </c>
      <c r="K13" s="12">
        <v>22.0</v>
      </c>
      <c r="L13" s="12">
        <v>15.0</v>
      </c>
      <c r="M13" s="13">
        <v>40.0</v>
      </c>
      <c r="N13" s="12">
        <v>35.0</v>
      </c>
      <c r="O13" s="12">
        <v>18.0</v>
      </c>
      <c r="P13" s="13">
        <v>56.0</v>
      </c>
      <c r="Q13" s="12">
        <v>44.0</v>
      </c>
      <c r="R13" s="12">
        <v>21.0</v>
      </c>
      <c r="S13" s="13">
        <v>67.0</v>
      </c>
    </row>
    <row r="14">
      <c r="A14" s="1" t="s">
        <v>13</v>
      </c>
      <c r="B14" s="12">
        <v>0.0</v>
      </c>
      <c r="C14" s="12">
        <v>0.0</v>
      </c>
      <c r="D14" s="13">
        <v>0.0</v>
      </c>
      <c r="E14" s="12">
        <v>4.0</v>
      </c>
      <c r="F14" s="12">
        <v>3.0</v>
      </c>
      <c r="G14" s="13">
        <v>4.0</v>
      </c>
      <c r="H14" s="12">
        <v>6.0</v>
      </c>
      <c r="I14" s="12">
        <v>8.0</v>
      </c>
      <c r="J14" s="13">
        <v>11.0</v>
      </c>
      <c r="K14" s="12">
        <v>11.0</v>
      </c>
      <c r="L14" s="12">
        <v>16.0</v>
      </c>
      <c r="M14" s="13">
        <v>20.0</v>
      </c>
      <c r="N14" s="12">
        <v>14.0</v>
      </c>
      <c r="O14" s="12">
        <v>26.0</v>
      </c>
      <c r="P14" s="13">
        <v>26.0</v>
      </c>
      <c r="Q14" s="12">
        <v>16.0</v>
      </c>
      <c r="R14" s="12">
        <v>31.0</v>
      </c>
      <c r="S14" s="13">
        <v>29.0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1.0</v>
      </c>
      <c r="J15" s="13">
        <v>0.0</v>
      </c>
      <c r="K15" s="12">
        <v>2.0</v>
      </c>
      <c r="L15" s="12">
        <v>4.0</v>
      </c>
      <c r="M15" s="13">
        <v>0.0</v>
      </c>
      <c r="N15" s="12">
        <v>3.0</v>
      </c>
      <c r="O15" s="12">
        <v>7.0</v>
      </c>
      <c r="P15" s="13">
        <v>0.0</v>
      </c>
      <c r="Q15" s="12">
        <v>4.0</v>
      </c>
      <c r="R15" s="12">
        <v>9.0</v>
      </c>
      <c r="S15" s="13">
        <v>0.0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0.0</v>
      </c>
      <c r="H17" s="12">
        <v>0.0</v>
      </c>
      <c r="I17" s="12">
        <v>0.0</v>
      </c>
      <c r="J17" s="13">
        <v>0.0</v>
      </c>
      <c r="K17" s="12">
        <v>0.0</v>
      </c>
      <c r="L17" s="12">
        <v>0.0</v>
      </c>
      <c r="M17" s="13">
        <v>0.0</v>
      </c>
      <c r="N17" s="12">
        <v>2.0</v>
      </c>
      <c r="O17" s="12">
        <v>2.0</v>
      </c>
      <c r="P17" s="13">
        <v>0.0</v>
      </c>
      <c r="Q17" s="12">
        <v>3.0</v>
      </c>
      <c r="R17" s="12">
        <v>3.0</v>
      </c>
      <c r="S17" s="13">
        <v>0.0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0.0</v>
      </c>
      <c r="N18" s="12">
        <v>0.0</v>
      </c>
      <c r="O18" s="12">
        <v>0.0</v>
      </c>
      <c r="P18" s="13">
        <v>0.0</v>
      </c>
      <c r="Q18" s="12">
        <v>0.0</v>
      </c>
      <c r="R18" s="12">
        <v>1.0</v>
      </c>
      <c r="S18" s="13">
        <v>0.0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3</v>
      </c>
      <c r="C21" s="12">
        <f t="shared" si="1"/>
        <v>4</v>
      </c>
      <c r="D21" s="13">
        <f t="shared" si="1"/>
        <v>5</v>
      </c>
      <c r="E21" s="12">
        <f t="shared" si="1"/>
        <v>14</v>
      </c>
      <c r="F21" s="12">
        <f t="shared" si="1"/>
        <v>9</v>
      </c>
      <c r="G21" s="13">
        <f t="shared" si="1"/>
        <v>18</v>
      </c>
      <c r="H21" s="12">
        <f t="shared" si="1"/>
        <v>21</v>
      </c>
      <c r="I21" s="12">
        <f t="shared" si="1"/>
        <v>17</v>
      </c>
      <c r="J21" s="13">
        <f t="shared" si="1"/>
        <v>35</v>
      </c>
      <c r="K21" s="12">
        <f t="shared" si="1"/>
        <v>35</v>
      </c>
      <c r="L21" s="12">
        <f t="shared" si="1"/>
        <v>35</v>
      </c>
      <c r="M21" s="13">
        <f t="shared" si="1"/>
        <v>60</v>
      </c>
      <c r="N21" s="12">
        <f t="shared" si="1"/>
        <v>52</v>
      </c>
      <c r="O21" s="12">
        <f t="shared" si="1"/>
        <v>51</v>
      </c>
      <c r="P21" s="13">
        <f t="shared" si="1"/>
        <v>82</v>
      </c>
      <c r="Q21" s="12">
        <f t="shared" si="1"/>
        <v>64</v>
      </c>
      <c r="R21" s="12">
        <f t="shared" si="1"/>
        <v>61</v>
      </c>
      <c r="S21" s="13">
        <f t="shared" si="1"/>
        <v>96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0</v>
      </c>
      <c r="H22" s="12">
        <f t="shared" si="2"/>
        <v>0</v>
      </c>
      <c r="I22" s="12">
        <f t="shared" si="2"/>
        <v>0</v>
      </c>
      <c r="J22" s="13">
        <f t="shared" si="2"/>
        <v>0</v>
      </c>
      <c r="K22" s="12">
        <f t="shared" si="2"/>
        <v>0</v>
      </c>
      <c r="L22" s="12">
        <f t="shared" si="2"/>
        <v>0</v>
      </c>
      <c r="M22" s="13">
        <f t="shared" si="2"/>
        <v>0</v>
      </c>
      <c r="N22" s="12">
        <f t="shared" si="2"/>
        <v>2</v>
      </c>
      <c r="O22" s="12">
        <f t="shared" si="2"/>
        <v>2</v>
      </c>
      <c r="P22" s="13">
        <f t="shared" si="2"/>
        <v>0</v>
      </c>
      <c r="Q22" s="12">
        <f t="shared" si="2"/>
        <v>3</v>
      </c>
      <c r="R22" s="12">
        <f t="shared" si="2"/>
        <v>4</v>
      </c>
      <c r="S22" s="13">
        <f t="shared" si="2"/>
        <v>0</v>
      </c>
    </row>
    <row r="23">
      <c r="A23" s="1" t="s">
        <v>22</v>
      </c>
      <c r="B23" s="9">
        <v>57.8</v>
      </c>
      <c r="C23" s="9">
        <v>65.25</v>
      </c>
      <c r="D23" s="11">
        <v>58.5</v>
      </c>
      <c r="E23" s="9">
        <v>78.8</v>
      </c>
      <c r="F23" s="9">
        <v>97.0666667</v>
      </c>
      <c r="G23" s="11">
        <v>69.45</v>
      </c>
      <c r="H23" s="9">
        <v>118.5166667</v>
      </c>
      <c r="I23" s="9">
        <v>142.6</v>
      </c>
      <c r="J23" s="11">
        <v>106.2727273</v>
      </c>
      <c r="K23" s="9">
        <v>117.54444444</v>
      </c>
      <c r="L23" s="9">
        <v>130.96</v>
      </c>
      <c r="M23" s="11">
        <v>124.2714286</v>
      </c>
      <c r="N23" s="9">
        <v>108.5071429</v>
      </c>
      <c r="O23" s="9">
        <v>163.06</v>
      </c>
      <c r="P23" s="13">
        <v>133.43125</v>
      </c>
      <c r="Q23" s="9">
        <v>131.1307692</v>
      </c>
      <c r="R23" s="9">
        <v>180.82</v>
      </c>
      <c r="S23" s="11">
        <v>149.4375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9.653125</v>
      </c>
      <c r="R24" s="9">
        <v>9.198923077</v>
      </c>
      <c r="S24" s="11">
        <v>8.87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21">
        <v>4.0</v>
      </c>
      <c r="R25" s="9">
        <v>2.0</v>
      </c>
      <c r="S25" s="11">
        <v>3.0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17.5877551</v>
      </c>
      <c r="R26" s="12">
        <v>19.50163934</v>
      </c>
      <c r="S26" s="13">
        <v>18.96229508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 t="s">
        <v>24</v>
      </c>
      <c r="R27" s="12">
        <v>17.4</v>
      </c>
      <c r="S27" s="13" t="s">
        <v>24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15.27346939</v>
      </c>
      <c r="R28" s="12">
        <v>17.18852459</v>
      </c>
      <c r="S28" s="13">
        <v>15.59836066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 t="s">
        <v>24</v>
      </c>
      <c r="R29" s="12">
        <v>18.36666667</v>
      </c>
      <c r="S29" s="13" t="s">
        <v>24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>
        <v>16.6</v>
      </c>
      <c r="S31" s="13" t="s">
        <v>24</v>
      </c>
    </row>
    <row r="32">
      <c r="A32" s="1" t="s">
        <v>32</v>
      </c>
      <c r="B32" s="9">
        <v>1.0</v>
      </c>
      <c r="C32" s="9">
        <v>1.0</v>
      </c>
      <c r="D32" s="11">
        <v>1.0</v>
      </c>
      <c r="E32" s="9">
        <v>3.0</v>
      </c>
      <c r="F32" s="9">
        <v>0.0</v>
      </c>
      <c r="G32" s="11">
        <v>2.0</v>
      </c>
      <c r="H32" s="9">
        <v>7.0</v>
      </c>
      <c r="I32" s="9">
        <v>0.0</v>
      </c>
      <c r="J32" s="11">
        <v>1.0</v>
      </c>
      <c r="K32" s="9">
        <v>2.0</v>
      </c>
      <c r="L32" s="9">
        <v>0.0</v>
      </c>
      <c r="M32" s="11">
        <v>0.0</v>
      </c>
      <c r="N32" s="9">
        <v>4.0</v>
      </c>
      <c r="O32" s="9">
        <v>0.0</v>
      </c>
      <c r="P32" s="11">
        <v>0.0</v>
      </c>
      <c r="Q32" s="9">
        <v>6.0</v>
      </c>
      <c r="R32" s="9">
        <v>1.0</v>
      </c>
      <c r="S32" s="11">
        <v>1.0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2.0</v>
      </c>
      <c r="F33" s="9">
        <v>0.0</v>
      </c>
      <c r="G33" s="11">
        <v>1.0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2.0</v>
      </c>
      <c r="S33" s="11">
        <v>0.0</v>
      </c>
    </row>
    <row r="34">
      <c r="A34" s="1" t="s">
        <v>34</v>
      </c>
      <c r="B34" s="9">
        <v>5.0</v>
      </c>
      <c r="C34" s="9">
        <v>6.0</v>
      </c>
      <c r="D34" s="11">
        <v>2.0</v>
      </c>
      <c r="E34" s="9">
        <v>9.0</v>
      </c>
      <c r="F34" s="9">
        <v>0.0</v>
      </c>
      <c r="G34" s="11">
        <v>18.0</v>
      </c>
      <c r="H34" s="9">
        <v>29.0</v>
      </c>
      <c r="I34" s="9">
        <v>0.0</v>
      </c>
      <c r="J34" s="11">
        <v>4.0</v>
      </c>
      <c r="K34" s="9">
        <v>8.0</v>
      </c>
      <c r="L34" s="9">
        <v>0.0</v>
      </c>
      <c r="M34" s="11">
        <v>0.0</v>
      </c>
      <c r="N34" s="9">
        <v>14.0</v>
      </c>
      <c r="O34" s="9">
        <v>0.0</v>
      </c>
      <c r="P34" s="11">
        <v>0.0</v>
      </c>
      <c r="Q34" s="9">
        <v>26.0</v>
      </c>
      <c r="R34" s="9">
        <v>4.0</v>
      </c>
      <c r="S34" s="11">
        <v>6.0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6.0</v>
      </c>
      <c r="F35" s="9">
        <v>0.0</v>
      </c>
      <c r="G35" s="11">
        <v>9.0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9.0</v>
      </c>
      <c r="S35" s="11">
        <v>0.0</v>
      </c>
    </row>
    <row r="36">
      <c r="A36" s="1" t="s">
        <v>36</v>
      </c>
      <c r="B36" s="9">
        <v>1.0</v>
      </c>
      <c r="C36" s="9">
        <v>1.0</v>
      </c>
      <c r="D36" s="11">
        <v>1.0</v>
      </c>
      <c r="E36" s="9">
        <v>5.0</v>
      </c>
      <c r="F36" s="9">
        <v>0.0</v>
      </c>
      <c r="G36" s="11">
        <v>3.0</v>
      </c>
      <c r="H36" s="9">
        <v>7.0</v>
      </c>
      <c r="I36" s="9">
        <v>0.0</v>
      </c>
      <c r="J36" s="11">
        <v>1.0</v>
      </c>
      <c r="K36" s="9">
        <v>2.0</v>
      </c>
      <c r="L36" s="9">
        <v>0.0</v>
      </c>
      <c r="M36" s="11">
        <v>0.0</v>
      </c>
      <c r="N36" s="9">
        <v>4.0</v>
      </c>
      <c r="O36" s="9">
        <v>0.0</v>
      </c>
      <c r="P36" s="11">
        <v>0.0</v>
      </c>
      <c r="Q36" s="9">
        <v>6.0</v>
      </c>
      <c r="R36" s="9">
        <v>3.0</v>
      </c>
      <c r="S36" s="11">
        <v>1.0</v>
      </c>
    </row>
    <row r="37">
      <c r="A37" s="1" t="s">
        <v>37</v>
      </c>
      <c r="B37" s="9">
        <v>5.0</v>
      </c>
      <c r="C37" s="9">
        <v>6.0</v>
      </c>
      <c r="D37" s="11">
        <v>2.0</v>
      </c>
      <c r="E37" s="9">
        <v>15.0</v>
      </c>
      <c r="F37" s="9">
        <v>0.0</v>
      </c>
      <c r="G37" s="11">
        <v>27.0</v>
      </c>
      <c r="H37" s="9">
        <v>29.0</v>
      </c>
      <c r="I37" s="9">
        <v>0.0</v>
      </c>
      <c r="J37" s="11">
        <v>4.0</v>
      </c>
      <c r="K37" s="9">
        <v>8.0</v>
      </c>
      <c r="L37" s="9">
        <v>0.0</v>
      </c>
      <c r="M37" s="11">
        <v>0.0</v>
      </c>
      <c r="N37" s="9">
        <v>14.0</v>
      </c>
      <c r="O37" s="9">
        <v>0.0</v>
      </c>
      <c r="P37" s="11">
        <v>0.0</v>
      </c>
      <c r="Q37" s="9">
        <v>26.0</v>
      </c>
      <c r="R37" s="9">
        <v>13.0</v>
      </c>
      <c r="S37" s="11">
        <v>6.0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1.573617021</v>
      </c>
      <c r="R39" s="12">
        <v>1.673384615</v>
      </c>
      <c r="S39" s="13">
        <v>1.621147541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45770.0</v>
      </c>
      <c r="C1" s="3"/>
      <c r="D1" s="4"/>
      <c r="E1" s="2">
        <v>45784.0</v>
      </c>
      <c r="F1" s="3"/>
      <c r="G1" s="4"/>
      <c r="H1" s="2">
        <v>45798.0</v>
      </c>
      <c r="I1" s="3"/>
      <c r="J1" s="4"/>
      <c r="K1" s="2">
        <v>45812.0</v>
      </c>
      <c r="L1" s="3"/>
      <c r="M1" s="4"/>
      <c r="N1" s="2">
        <v>45826.0</v>
      </c>
      <c r="O1" s="3"/>
      <c r="P1" s="4"/>
      <c r="Q1" s="2">
        <v>45840.0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5.0</v>
      </c>
      <c r="C3" s="9">
        <v>6.0</v>
      </c>
      <c r="D3" s="11">
        <v>4.0</v>
      </c>
      <c r="E3" s="9">
        <v>8.0</v>
      </c>
      <c r="F3" s="9">
        <v>8.0</v>
      </c>
      <c r="G3" s="11">
        <v>7.0</v>
      </c>
      <c r="H3" s="9">
        <v>9.0</v>
      </c>
      <c r="I3" s="9">
        <v>13.0</v>
      </c>
      <c r="J3" s="11">
        <v>10.0</v>
      </c>
      <c r="K3" s="9">
        <v>9.0</v>
      </c>
      <c r="L3" s="9">
        <v>13.0</v>
      </c>
      <c r="M3" s="11">
        <v>15.0</v>
      </c>
      <c r="N3" s="9">
        <v>11.0</v>
      </c>
      <c r="O3" s="9">
        <v>19.0</v>
      </c>
      <c r="P3" s="11">
        <v>19.0</v>
      </c>
      <c r="Q3" s="9">
        <v>16.0</v>
      </c>
      <c r="R3" s="9">
        <v>25.0</v>
      </c>
      <c r="S3" s="11">
        <v>23.0</v>
      </c>
    </row>
    <row r="4">
      <c r="A4" s="8" t="s">
        <v>3</v>
      </c>
      <c r="B4" s="9">
        <v>0.0</v>
      </c>
      <c r="C4" s="9">
        <v>1.0</v>
      </c>
      <c r="D4" s="11">
        <v>1.0</v>
      </c>
      <c r="E4" s="9">
        <v>7.0</v>
      </c>
      <c r="F4" s="9">
        <v>4.0</v>
      </c>
      <c r="G4" s="11">
        <v>3.0</v>
      </c>
      <c r="H4" s="9">
        <v>13.0</v>
      </c>
      <c r="I4" s="9">
        <v>10.0</v>
      </c>
      <c r="J4" s="11">
        <v>6.0</v>
      </c>
      <c r="K4" s="9">
        <v>15.0</v>
      </c>
      <c r="L4" s="9">
        <v>14.0</v>
      </c>
      <c r="M4" s="11">
        <v>14.0</v>
      </c>
      <c r="N4" s="9">
        <v>16.0</v>
      </c>
      <c r="O4" s="9">
        <v>20.0</v>
      </c>
      <c r="P4" s="11">
        <v>16.0</v>
      </c>
      <c r="Q4" s="9">
        <v>17.0</v>
      </c>
      <c r="R4" s="9">
        <v>24.0</v>
      </c>
      <c r="S4" s="11">
        <v>19.0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1.0</v>
      </c>
      <c r="J5" s="11">
        <v>2.0</v>
      </c>
      <c r="K5" s="9">
        <v>3.0</v>
      </c>
      <c r="L5" s="9">
        <v>2.0</v>
      </c>
      <c r="M5" s="11">
        <v>3.0</v>
      </c>
      <c r="N5" s="9">
        <v>3.0</v>
      </c>
      <c r="O5" s="9">
        <v>4.0</v>
      </c>
      <c r="P5" s="11">
        <v>3.0</v>
      </c>
      <c r="Q5" s="9">
        <v>3.0</v>
      </c>
      <c r="R5" s="9">
        <v>5.0</v>
      </c>
      <c r="S5" s="11">
        <v>5.0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0.0</v>
      </c>
      <c r="C7" s="9">
        <v>1.0</v>
      </c>
      <c r="D7" s="11">
        <v>0.0</v>
      </c>
      <c r="E7" s="9">
        <v>2.0</v>
      </c>
      <c r="F7" s="9">
        <v>2.0</v>
      </c>
      <c r="G7" s="11">
        <v>1.0</v>
      </c>
      <c r="H7" s="9">
        <v>7.0</v>
      </c>
      <c r="I7" s="9">
        <v>6.0</v>
      </c>
      <c r="J7" s="11">
        <v>3.0</v>
      </c>
      <c r="K7" s="9">
        <v>9.0</v>
      </c>
      <c r="L7" s="9">
        <v>10.0</v>
      </c>
      <c r="M7" s="11">
        <v>10.0</v>
      </c>
      <c r="N7" s="9">
        <v>10.0</v>
      </c>
      <c r="O7" s="9">
        <v>16.0</v>
      </c>
      <c r="P7" s="11">
        <v>12.0</v>
      </c>
      <c r="Q7" s="9">
        <v>11.0</v>
      </c>
      <c r="R7" s="9">
        <v>19.0</v>
      </c>
      <c r="S7" s="11">
        <v>15.0</v>
      </c>
    </row>
    <row r="8">
      <c r="A8" s="1" t="s">
        <v>7</v>
      </c>
      <c r="B8" s="9">
        <v>0.0</v>
      </c>
      <c r="C8" s="9">
        <v>0.0</v>
      </c>
      <c r="D8" s="11">
        <v>1.0</v>
      </c>
      <c r="E8" s="9">
        <v>5.0</v>
      </c>
      <c r="F8" s="9">
        <v>2.0</v>
      </c>
      <c r="G8" s="11">
        <v>2.0</v>
      </c>
      <c r="H8" s="9">
        <v>6.0</v>
      </c>
      <c r="I8" s="9">
        <v>4.0</v>
      </c>
      <c r="J8" s="11">
        <v>3.0</v>
      </c>
      <c r="K8" s="9">
        <v>6.0</v>
      </c>
      <c r="L8" s="9">
        <v>4.0</v>
      </c>
      <c r="M8" s="11">
        <v>4.0</v>
      </c>
      <c r="N8" s="9">
        <v>6.0</v>
      </c>
      <c r="O8" s="9">
        <v>4.0</v>
      </c>
      <c r="P8" s="11">
        <v>4.0</v>
      </c>
      <c r="Q8" s="9">
        <v>6.0</v>
      </c>
      <c r="R8" s="9">
        <v>5.0</v>
      </c>
      <c r="S8" s="11">
        <v>4.0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1.0</v>
      </c>
      <c r="I9" s="9">
        <v>1.0</v>
      </c>
      <c r="J9" s="11">
        <v>1.0</v>
      </c>
      <c r="K9" s="9">
        <v>3.0</v>
      </c>
      <c r="L9" s="9">
        <v>1.0</v>
      </c>
      <c r="M9" s="11">
        <v>2.0</v>
      </c>
      <c r="N9" s="9">
        <v>3.0</v>
      </c>
      <c r="O9" s="9">
        <v>3.0</v>
      </c>
      <c r="P9" s="11">
        <v>2.0</v>
      </c>
      <c r="Q9" s="9">
        <v>3.0</v>
      </c>
      <c r="R9" s="9">
        <v>4.0</v>
      </c>
      <c r="S9" s="11">
        <v>5.0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0.0</v>
      </c>
      <c r="J10" s="11">
        <v>1.0</v>
      </c>
      <c r="K10" s="9">
        <v>0.0</v>
      </c>
      <c r="L10" s="9">
        <v>1.0</v>
      </c>
      <c r="M10" s="11">
        <v>1.0</v>
      </c>
      <c r="N10" s="9">
        <v>0.0</v>
      </c>
      <c r="O10" s="9">
        <v>1.0</v>
      </c>
      <c r="P10" s="11">
        <v>1.0</v>
      </c>
      <c r="Q10" s="9">
        <v>0.0</v>
      </c>
      <c r="R10" s="9">
        <v>1.0</v>
      </c>
      <c r="S10" s="11">
        <v>4.0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5.0</v>
      </c>
      <c r="C13" s="12">
        <v>3.0</v>
      </c>
      <c r="D13" s="13">
        <v>2.0</v>
      </c>
      <c r="E13" s="12">
        <v>12.0</v>
      </c>
      <c r="F13" s="12">
        <v>11.0</v>
      </c>
      <c r="G13" s="13">
        <v>7.0</v>
      </c>
      <c r="H13" s="12">
        <v>19.0</v>
      </c>
      <c r="I13" s="12">
        <v>20.0</v>
      </c>
      <c r="J13" s="13">
        <v>15.0</v>
      </c>
      <c r="K13" s="12">
        <v>24.0</v>
      </c>
      <c r="L13" s="12">
        <v>33.0</v>
      </c>
      <c r="M13" s="13">
        <v>31.0</v>
      </c>
      <c r="N13" s="12">
        <v>30.0</v>
      </c>
      <c r="O13" s="12">
        <v>44.0</v>
      </c>
      <c r="P13" s="13">
        <v>44.0</v>
      </c>
      <c r="Q13" s="12">
        <v>33.0</v>
      </c>
      <c r="R13" s="12">
        <v>62.0</v>
      </c>
      <c r="S13" s="13">
        <v>61.0</v>
      </c>
    </row>
    <row r="14">
      <c r="A14" s="1" t="s">
        <v>13</v>
      </c>
      <c r="B14" s="12">
        <v>0.0</v>
      </c>
      <c r="C14" s="12">
        <v>1.0</v>
      </c>
      <c r="D14" s="13">
        <v>1.0</v>
      </c>
      <c r="E14" s="12">
        <v>8.0</v>
      </c>
      <c r="F14" s="12">
        <v>5.0</v>
      </c>
      <c r="G14" s="13">
        <v>2.0</v>
      </c>
      <c r="H14" s="12">
        <v>22.0</v>
      </c>
      <c r="I14" s="12">
        <v>14.0</v>
      </c>
      <c r="J14" s="13">
        <v>6.0</v>
      </c>
      <c r="K14" s="12">
        <v>32.0</v>
      </c>
      <c r="L14" s="12">
        <v>26.0</v>
      </c>
      <c r="M14" s="13">
        <v>20.0</v>
      </c>
      <c r="N14" s="12">
        <v>41.0</v>
      </c>
      <c r="O14" s="12">
        <v>45.0</v>
      </c>
      <c r="P14" s="13">
        <v>31.0</v>
      </c>
      <c r="Q14" s="12">
        <v>43.0</v>
      </c>
      <c r="R14" s="12">
        <v>64.0</v>
      </c>
      <c r="S14" s="13">
        <v>47.0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1.0</v>
      </c>
      <c r="J15" s="13">
        <v>2.0</v>
      </c>
      <c r="K15" s="12">
        <v>3.0</v>
      </c>
      <c r="L15" s="12">
        <v>3.0</v>
      </c>
      <c r="M15" s="13">
        <v>5.0</v>
      </c>
      <c r="N15" s="12">
        <v>4.0</v>
      </c>
      <c r="O15" s="12">
        <v>7.0</v>
      </c>
      <c r="P15" s="13">
        <v>6.0</v>
      </c>
      <c r="Q15" s="12">
        <v>5.0</v>
      </c>
      <c r="R15" s="12">
        <v>10.0</v>
      </c>
      <c r="S15" s="13">
        <v>9.0</v>
      </c>
      <c r="T15" s="19"/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  <c r="T16" s="19"/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0.0</v>
      </c>
      <c r="H17" s="12">
        <v>2.0</v>
      </c>
      <c r="I17" s="12">
        <v>1.0</v>
      </c>
      <c r="J17" s="13">
        <v>0.0</v>
      </c>
      <c r="K17" s="12">
        <v>3.0</v>
      </c>
      <c r="L17" s="12">
        <v>2.0</v>
      </c>
      <c r="M17" s="13">
        <v>0.0</v>
      </c>
      <c r="N17" s="12">
        <v>5.0</v>
      </c>
      <c r="O17" s="12">
        <v>3.0</v>
      </c>
      <c r="P17" s="13">
        <v>0.0</v>
      </c>
      <c r="Q17" s="12">
        <v>5.0</v>
      </c>
      <c r="R17" s="12">
        <v>4.0</v>
      </c>
      <c r="S17" s="13">
        <v>0.0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2.0</v>
      </c>
      <c r="H18" s="12">
        <v>0.0</v>
      </c>
      <c r="I18" s="12">
        <v>1.0</v>
      </c>
      <c r="J18" s="13">
        <v>4.0</v>
      </c>
      <c r="K18" s="12">
        <v>0.0</v>
      </c>
      <c r="L18" s="12">
        <v>1.0</v>
      </c>
      <c r="M18" s="13">
        <v>6.0</v>
      </c>
      <c r="N18" s="12">
        <v>0.0</v>
      </c>
      <c r="O18" s="12">
        <v>0.0</v>
      </c>
      <c r="P18" s="13">
        <v>8.0</v>
      </c>
      <c r="Q18" s="12">
        <v>0.0</v>
      </c>
      <c r="R18" s="12">
        <v>1.0</v>
      </c>
      <c r="S18" s="13">
        <v>10.0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5</v>
      </c>
      <c r="C21" s="12">
        <f t="shared" si="1"/>
        <v>4</v>
      </c>
      <c r="D21" s="13">
        <f t="shared" si="1"/>
        <v>3</v>
      </c>
      <c r="E21" s="12">
        <f t="shared" si="1"/>
        <v>20</v>
      </c>
      <c r="F21" s="12">
        <f t="shared" si="1"/>
        <v>16</v>
      </c>
      <c r="G21" s="13">
        <f t="shared" si="1"/>
        <v>9</v>
      </c>
      <c r="H21" s="12">
        <f t="shared" si="1"/>
        <v>42</v>
      </c>
      <c r="I21" s="12">
        <f t="shared" si="1"/>
        <v>35</v>
      </c>
      <c r="J21" s="13">
        <f t="shared" si="1"/>
        <v>23</v>
      </c>
      <c r="K21" s="12">
        <f t="shared" si="1"/>
        <v>59</v>
      </c>
      <c r="L21" s="12">
        <f t="shared" si="1"/>
        <v>62</v>
      </c>
      <c r="M21" s="13">
        <f t="shared" si="1"/>
        <v>56</v>
      </c>
      <c r="N21" s="12">
        <f t="shared" si="1"/>
        <v>75</v>
      </c>
      <c r="O21" s="12">
        <f t="shared" si="1"/>
        <v>96</v>
      </c>
      <c r="P21" s="13">
        <f t="shared" si="1"/>
        <v>81</v>
      </c>
      <c r="Q21" s="12">
        <f t="shared" si="1"/>
        <v>81</v>
      </c>
      <c r="R21" s="12">
        <f t="shared" si="1"/>
        <v>136</v>
      </c>
      <c r="S21" s="13">
        <f t="shared" si="1"/>
        <v>117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2</v>
      </c>
      <c r="H22" s="12">
        <f t="shared" si="2"/>
        <v>2</v>
      </c>
      <c r="I22" s="12">
        <f t="shared" si="2"/>
        <v>2</v>
      </c>
      <c r="J22" s="13">
        <f t="shared" si="2"/>
        <v>4</v>
      </c>
      <c r="K22" s="12">
        <f t="shared" si="2"/>
        <v>3</v>
      </c>
      <c r="L22" s="12">
        <f t="shared" si="2"/>
        <v>3</v>
      </c>
      <c r="M22" s="13">
        <f t="shared" si="2"/>
        <v>6</v>
      </c>
      <c r="N22" s="12">
        <f t="shared" si="2"/>
        <v>5</v>
      </c>
      <c r="O22" s="12">
        <f t="shared" si="2"/>
        <v>3</v>
      </c>
      <c r="P22" s="13">
        <f t="shared" si="2"/>
        <v>8</v>
      </c>
      <c r="Q22" s="12">
        <f t="shared" si="2"/>
        <v>5</v>
      </c>
      <c r="R22" s="12">
        <f t="shared" si="2"/>
        <v>5</v>
      </c>
      <c r="S22" s="13">
        <f t="shared" si="2"/>
        <v>10</v>
      </c>
    </row>
    <row r="23">
      <c r="A23" s="1" t="s">
        <v>22</v>
      </c>
      <c r="B23" s="9">
        <v>63.93333333</v>
      </c>
      <c r="C23" s="9">
        <v>71.8</v>
      </c>
      <c r="D23" s="11">
        <v>82.9</v>
      </c>
      <c r="E23" s="9">
        <v>95.46666667</v>
      </c>
      <c r="F23" s="9">
        <v>89.7</v>
      </c>
      <c r="G23" s="11">
        <v>82.12</v>
      </c>
      <c r="H23" s="9">
        <v>127.2375</v>
      </c>
      <c r="I23" s="9">
        <v>117.5555556</v>
      </c>
      <c r="J23" s="11">
        <v>117.55</v>
      </c>
      <c r="K23" s="9">
        <v>155.0333333</v>
      </c>
      <c r="L23" s="9">
        <v>140.4538462</v>
      </c>
      <c r="M23" s="11">
        <v>131.8583333</v>
      </c>
      <c r="N23" s="9">
        <v>156.2</v>
      </c>
      <c r="O23" s="9">
        <v>181.0</v>
      </c>
      <c r="P23" s="11">
        <v>145.5785714</v>
      </c>
      <c r="Q23" s="9">
        <v>166.1666667</v>
      </c>
      <c r="R23" s="9">
        <v>199.4615385</v>
      </c>
      <c r="S23" s="11">
        <v>159.8714286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10.64</v>
      </c>
      <c r="R24" s="9">
        <v>9.222197802</v>
      </c>
      <c r="S24" s="11">
        <v>8.653218391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1.0</v>
      </c>
      <c r="R25" s="9">
        <v>2.0</v>
      </c>
      <c r="S25" s="11">
        <v>2.0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20.91791045</v>
      </c>
      <c r="R26" s="12">
        <v>19.65</v>
      </c>
      <c r="S26" s="13">
        <v>20.28051948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22.34</v>
      </c>
      <c r="R27" s="12">
        <v>19.9</v>
      </c>
      <c r="S27" s="13">
        <v>18.006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18.32686567</v>
      </c>
      <c r="R28" s="12">
        <v>17.4433333</v>
      </c>
      <c r="S28" s="13">
        <v>18.84545455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>
        <v>18.48</v>
      </c>
      <c r="R29" s="12">
        <v>18.8</v>
      </c>
      <c r="S29" s="13">
        <v>18.45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>
        <v>10.9</v>
      </c>
      <c r="R31" s="12">
        <v>1.8</v>
      </c>
      <c r="S31" s="13">
        <v>14.8</v>
      </c>
    </row>
    <row r="32">
      <c r="A32" s="1" t="s">
        <v>32</v>
      </c>
      <c r="B32" s="9">
        <v>1.0</v>
      </c>
      <c r="C32" s="9">
        <v>1.0</v>
      </c>
      <c r="D32" s="11">
        <v>3.0</v>
      </c>
      <c r="E32" s="9">
        <v>0.0</v>
      </c>
      <c r="F32" s="9">
        <v>0.0</v>
      </c>
      <c r="G32" s="11">
        <v>0.0</v>
      </c>
      <c r="H32" s="9">
        <v>0.0</v>
      </c>
      <c r="I32" s="9">
        <v>0.0</v>
      </c>
      <c r="J32" s="11">
        <v>0.0</v>
      </c>
      <c r="K32" s="9">
        <v>0.0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8.0</v>
      </c>
      <c r="C34" s="9">
        <v>5.0</v>
      </c>
      <c r="D34" s="11">
        <v>8.0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1.0</v>
      </c>
      <c r="C36" s="9">
        <v>1.0</v>
      </c>
      <c r="D36" s="11">
        <v>3.0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8.0</v>
      </c>
      <c r="C37" s="9">
        <v>5.0</v>
      </c>
      <c r="D37" s="11">
        <v>8.0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2.082352941</v>
      </c>
      <c r="R39" s="12">
        <v>1.442307692</v>
      </c>
      <c r="S39" s="13">
        <v>1.449069767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45770.0</v>
      </c>
      <c r="C1" s="3"/>
      <c r="D1" s="4"/>
      <c r="E1" s="2">
        <v>45784.0</v>
      </c>
      <c r="F1" s="3"/>
      <c r="G1" s="4"/>
      <c r="H1" s="2">
        <v>45798.0</v>
      </c>
      <c r="I1" s="3"/>
      <c r="J1" s="4"/>
      <c r="K1" s="2">
        <v>45812.0</v>
      </c>
      <c r="L1" s="3"/>
      <c r="M1" s="4"/>
      <c r="N1" s="2">
        <v>45826.0</v>
      </c>
      <c r="O1" s="3"/>
      <c r="P1" s="4"/>
      <c r="Q1" s="2">
        <v>45840.0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4.0</v>
      </c>
      <c r="C3" s="9">
        <v>5.0</v>
      </c>
      <c r="D3" s="11">
        <v>4.0</v>
      </c>
      <c r="E3" s="9">
        <v>7.0</v>
      </c>
      <c r="F3" s="9">
        <v>7.0</v>
      </c>
      <c r="G3" s="11">
        <v>7.0</v>
      </c>
      <c r="H3" s="9">
        <v>9.0</v>
      </c>
      <c r="I3" s="9">
        <v>9.0</v>
      </c>
      <c r="J3" s="11">
        <v>9.0</v>
      </c>
      <c r="K3" s="9">
        <v>10.0</v>
      </c>
      <c r="L3" s="9">
        <v>10.0</v>
      </c>
      <c r="M3" s="11">
        <v>10.0</v>
      </c>
      <c r="N3" s="9">
        <v>11.0</v>
      </c>
      <c r="O3" s="9">
        <v>11.0</v>
      </c>
      <c r="P3" s="11">
        <v>13.0</v>
      </c>
      <c r="Q3" s="9">
        <v>13.0</v>
      </c>
      <c r="R3" s="9">
        <v>12.0</v>
      </c>
      <c r="S3" s="11">
        <v>13.0</v>
      </c>
    </row>
    <row r="4">
      <c r="A4" s="8" t="s">
        <v>3</v>
      </c>
      <c r="B4" s="9">
        <v>3.0</v>
      </c>
      <c r="C4" s="9">
        <v>4.0</v>
      </c>
      <c r="D4" s="11">
        <v>2.0</v>
      </c>
      <c r="E4" s="9">
        <v>8.0</v>
      </c>
      <c r="F4" s="9">
        <v>9.0</v>
      </c>
      <c r="G4" s="11">
        <v>7.0</v>
      </c>
      <c r="H4" s="9">
        <v>13.0</v>
      </c>
      <c r="I4" s="9">
        <v>17.0</v>
      </c>
      <c r="J4" s="11">
        <v>13.0</v>
      </c>
      <c r="K4" s="9">
        <v>20.0</v>
      </c>
      <c r="L4" s="9">
        <v>24.0</v>
      </c>
      <c r="M4" s="11">
        <v>22.0</v>
      </c>
      <c r="N4" s="9">
        <v>23.0</v>
      </c>
      <c r="O4" s="9">
        <v>29.0</v>
      </c>
      <c r="P4" s="11">
        <v>27.0</v>
      </c>
      <c r="Q4" s="9">
        <v>26.0</v>
      </c>
      <c r="R4" s="9">
        <v>32.0</v>
      </c>
      <c r="S4" s="11">
        <v>28.0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1.0</v>
      </c>
      <c r="H5" s="9">
        <v>5.0</v>
      </c>
      <c r="I5" s="9">
        <v>2.0</v>
      </c>
      <c r="J5" s="11">
        <v>5.0</v>
      </c>
      <c r="K5" s="9">
        <v>6.0</v>
      </c>
      <c r="L5" s="9">
        <v>7.0</v>
      </c>
      <c r="M5" s="11">
        <v>7.0</v>
      </c>
      <c r="N5" s="9">
        <v>8.0</v>
      </c>
      <c r="O5" s="9">
        <v>11.0</v>
      </c>
      <c r="P5" s="11">
        <v>12.0</v>
      </c>
      <c r="Q5" s="9">
        <v>10.0</v>
      </c>
      <c r="R5" s="9">
        <v>14.0</v>
      </c>
      <c r="S5" s="11">
        <v>13.0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0.0</v>
      </c>
      <c r="S6" s="11">
        <v>0.0</v>
      </c>
    </row>
    <row r="7">
      <c r="A7" s="1" t="s">
        <v>6</v>
      </c>
      <c r="B7" s="9">
        <v>1.0</v>
      </c>
      <c r="C7" s="9">
        <v>1.0</v>
      </c>
      <c r="D7" s="11">
        <v>2.0</v>
      </c>
      <c r="E7" s="9">
        <v>4.0</v>
      </c>
      <c r="F7" s="9">
        <v>3.0</v>
      </c>
      <c r="G7" s="11">
        <v>3.0</v>
      </c>
      <c r="H7" s="9">
        <v>5.0</v>
      </c>
      <c r="I7" s="9">
        <v>7.0</v>
      </c>
      <c r="J7" s="11">
        <v>4.0</v>
      </c>
      <c r="K7" s="9">
        <v>11.0</v>
      </c>
      <c r="L7" s="9">
        <v>12.0</v>
      </c>
      <c r="M7" s="11">
        <v>9.0</v>
      </c>
      <c r="N7" s="9">
        <v>14.0</v>
      </c>
      <c r="O7" s="9">
        <v>16.0</v>
      </c>
      <c r="P7" s="11">
        <v>14.0</v>
      </c>
      <c r="Q7" s="9">
        <v>16.0</v>
      </c>
      <c r="R7" s="9">
        <v>19.0</v>
      </c>
      <c r="S7" s="11">
        <v>15.0</v>
      </c>
    </row>
    <row r="8">
      <c r="A8" s="1" t="s">
        <v>7</v>
      </c>
      <c r="B8" s="9">
        <v>2.0</v>
      </c>
      <c r="C8" s="9">
        <v>3.0</v>
      </c>
      <c r="D8" s="11">
        <v>0.0</v>
      </c>
      <c r="E8" s="9">
        <v>4.0</v>
      </c>
      <c r="F8" s="9">
        <v>6.0</v>
      </c>
      <c r="G8" s="11">
        <v>4.0</v>
      </c>
      <c r="H8" s="9">
        <v>8.0</v>
      </c>
      <c r="I8" s="9">
        <v>10.0</v>
      </c>
      <c r="J8" s="11">
        <v>9.0</v>
      </c>
      <c r="K8" s="9">
        <v>9.0</v>
      </c>
      <c r="L8" s="9">
        <v>12.0</v>
      </c>
      <c r="M8" s="11">
        <v>13.0</v>
      </c>
      <c r="N8" s="9">
        <v>9.0</v>
      </c>
      <c r="O8" s="9">
        <v>13.0</v>
      </c>
      <c r="P8" s="11">
        <v>13.0</v>
      </c>
      <c r="Q8" s="9">
        <v>10.0</v>
      </c>
      <c r="R8" s="9">
        <v>13.0</v>
      </c>
      <c r="S8" s="11">
        <v>13.0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1.0</v>
      </c>
      <c r="H9" s="9">
        <v>2.0</v>
      </c>
      <c r="I9" s="9">
        <v>0.0</v>
      </c>
      <c r="J9" s="11">
        <v>3.0</v>
      </c>
      <c r="K9" s="9">
        <v>2.0</v>
      </c>
      <c r="L9" s="9">
        <v>2.0</v>
      </c>
      <c r="M9" s="11">
        <v>3.0</v>
      </c>
      <c r="N9" s="9">
        <v>3.0</v>
      </c>
      <c r="O9" s="9">
        <v>4.0</v>
      </c>
      <c r="P9" s="11">
        <v>6.0</v>
      </c>
      <c r="Q9" s="9">
        <v>5.0</v>
      </c>
      <c r="R9" s="9">
        <v>5.0</v>
      </c>
      <c r="S9" s="11">
        <v>6.0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3.0</v>
      </c>
      <c r="I10" s="9">
        <v>2.0</v>
      </c>
      <c r="J10" s="11">
        <v>2.0</v>
      </c>
      <c r="K10" s="9">
        <v>4.0</v>
      </c>
      <c r="L10" s="9">
        <v>5.0</v>
      </c>
      <c r="M10" s="11">
        <v>4.0</v>
      </c>
      <c r="N10" s="9">
        <v>5.0</v>
      </c>
      <c r="O10" s="9">
        <v>7.0</v>
      </c>
      <c r="P10" s="11">
        <v>6.0</v>
      </c>
      <c r="Q10" s="9">
        <v>5.0</v>
      </c>
      <c r="R10" s="9">
        <v>9.0</v>
      </c>
      <c r="S10" s="11">
        <v>7.0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0.0</v>
      </c>
      <c r="S12" s="11">
        <v>0.0</v>
      </c>
    </row>
    <row r="13">
      <c r="A13" s="1" t="s">
        <v>12</v>
      </c>
      <c r="B13" s="12">
        <v>3.0</v>
      </c>
      <c r="C13" s="12">
        <v>6.0</v>
      </c>
      <c r="D13" s="13">
        <v>6.0</v>
      </c>
      <c r="E13" s="12">
        <v>8.0</v>
      </c>
      <c r="F13" s="12">
        <v>14.0</v>
      </c>
      <c r="G13" s="13">
        <v>14.0</v>
      </c>
      <c r="H13" s="12">
        <v>16.0</v>
      </c>
      <c r="I13" s="12">
        <v>20.0</v>
      </c>
      <c r="J13" s="13">
        <v>20.0</v>
      </c>
      <c r="K13" s="12">
        <v>28.0</v>
      </c>
      <c r="L13" s="12">
        <v>33.0</v>
      </c>
      <c r="M13" s="13">
        <v>33.0</v>
      </c>
      <c r="N13" s="12">
        <v>36.0</v>
      </c>
      <c r="O13" s="12">
        <v>44.0</v>
      </c>
      <c r="P13" s="13">
        <v>41.0</v>
      </c>
      <c r="Q13" s="12">
        <v>44.0</v>
      </c>
      <c r="R13" s="12">
        <v>53.0</v>
      </c>
      <c r="S13" s="13">
        <v>51.0</v>
      </c>
    </row>
    <row r="14">
      <c r="A14" s="1" t="s">
        <v>13</v>
      </c>
      <c r="B14" s="12">
        <v>3.0</v>
      </c>
      <c r="C14" s="12">
        <v>4.0</v>
      </c>
      <c r="D14" s="13">
        <v>2.0</v>
      </c>
      <c r="E14" s="12">
        <v>12.0</v>
      </c>
      <c r="F14" s="12">
        <v>16.0</v>
      </c>
      <c r="G14" s="13">
        <v>10.0</v>
      </c>
      <c r="H14" s="12">
        <v>25.0</v>
      </c>
      <c r="I14" s="12">
        <v>34.0</v>
      </c>
      <c r="J14" s="13">
        <v>22.0</v>
      </c>
      <c r="K14" s="12">
        <v>49.0</v>
      </c>
      <c r="L14" s="12">
        <v>63.0</v>
      </c>
      <c r="M14" s="13">
        <v>50.0</v>
      </c>
      <c r="N14" s="12">
        <v>72.0</v>
      </c>
      <c r="O14" s="12">
        <v>90.0</v>
      </c>
      <c r="P14" s="13">
        <v>73.0</v>
      </c>
      <c r="Q14" s="12">
        <v>96.0</v>
      </c>
      <c r="R14" s="12">
        <v>109.0</v>
      </c>
      <c r="S14" s="13">
        <v>93.0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1.0</v>
      </c>
      <c r="H15" s="12">
        <v>5.0</v>
      </c>
      <c r="I15" s="12">
        <v>2.0</v>
      </c>
      <c r="J15" s="13">
        <v>7.0</v>
      </c>
      <c r="K15" s="12">
        <v>11.0</v>
      </c>
      <c r="L15" s="12">
        <v>10.0</v>
      </c>
      <c r="M15" s="13">
        <v>15.0</v>
      </c>
      <c r="N15" s="12">
        <v>18.0</v>
      </c>
      <c r="O15" s="12">
        <v>21.0</v>
      </c>
      <c r="P15" s="13">
        <v>25.0</v>
      </c>
      <c r="Q15" s="12">
        <v>26.0</v>
      </c>
      <c r="R15" s="12">
        <v>28.0</v>
      </c>
      <c r="S15" s="13">
        <v>29.0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0.0</v>
      </c>
      <c r="S16" s="13">
        <v>0.0</v>
      </c>
    </row>
    <row r="17">
      <c r="A17" s="1" t="s">
        <v>16</v>
      </c>
      <c r="B17" s="12">
        <v>3.0</v>
      </c>
      <c r="C17" s="12">
        <v>0.0</v>
      </c>
      <c r="D17" s="13">
        <v>0.0</v>
      </c>
      <c r="E17" s="12">
        <v>4.0</v>
      </c>
      <c r="F17" s="12">
        <v>0.0</v>
      </c>
      <c r="G17" s="13">
        <v>0.0</v>
      </c>
      <c r="H17" s="12">
        <v>5.0</v>
      </c>
      <c r="I17" s="12">
        <v>0.0</v>
      </c>
      <c r="J17" s="13">
        <v>0.0</v>
      </c>
      <c r="K17" s="12">
        <v>6.0</v>
      </c>
      <c r="L17" s="12">
        <v>0.0</v>
      </c>
      <c r="M17" s="13">
        <v>0.0</v>
      </c>
      <c r="N17" s="12">
        <v>7.0</v>
      </c>
      <c r="O17" s="12">
        <v>0.0</v>
      </c>
      <c r="P17" s="13">
        <v>0.0</v>
      </c>
      <c r="Q17" s="12">
        <v>8.0</v>
      </c>
      <c r="R17" s="12">
        <v>0.0</v>
      </c>
      <c r="S17" s="13">
        <v>0.0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0.0</v>
      </c>
      <c r="N18" s="12">
        <v>0.0</v>
      </c>
      <c r="O18" s="12">
        <v>0.0</v>
      </c>
      <c r="P18" s="13">
        <v>0.0</v>
      </c>
      <c r="Q18" s="12">
        <v>0.0</v>
      </c>
      <c r="R18" s="12">
        <v>0.0</v>
      </c>
      <c r="S18" s="13">
        <v>0.0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6</v>
      </c>
      <c r="C21" s="12">
        <f t="shared" si="1"/>
        <v>10</v>
      </c>
      <c r="D21" s="13">
        <f t="shared" si="1"/>
        <v>8</v>
      </c>
      <c r="E21" s="12">
        <f t="shared" si="1"/>
        <v>20</v>
      </c>
      <c r="F21" s="12">
        <f t="shared" si="1"/>
        <v>30</v>
      </c>
      <c r="G21" s="13">
        <f t="shared" si="1"/>
        <v>25</v>
      </c>
      <c r="H21" s="12">
        <f t="shared" si="1"/>
        <v>46</v>
      </c>
      <c r="I21" s="12">
        <f t="shared" si="1"/>
        <v>56</v>
      </c>
      <c r="J21" s="13">
        <f t="shared" si="1"/>
        <v>49</v>
      </c>
      <c r="K21" s="12">
        <f t="shared" si="1"/>
        <v>88</v>
      </c>
      <c r="L21" s="12">
        <f t="shared" si="1"/>
        <v>106</v>
      </c>
      <c r="M21" s="13">
        <f t="shared" si="1"/>
        <v>98</v>
      </c>
      <c r="N21" s="12">
        <f t="shared" si="1"/>
        <v>126</v>
      </c>
      <c r="O21" s="12">
        <f t="shared" si="1"/>
        <v>155</v>
      </c>
      <c r="P21" s="13">
        <f t="shared" si="1"/>
        <v>139</v>
      </c>
      <c r="Q21" s="12">
        <f t="shared" si="1"/>
        <v>166</v>
      </c>
      <c r="R21" s="12">
        <f t="shared" si="1"/>
        <v>190</v>
      </c>
      <c r="S21" s="13">
        <f t="shared" si="1"/>
        <v>173</v>
      </c>
    </row>
    <row r="22">
      <c r="A22" s="1" t="s">
        <v>21</v>
      </c>
      <c r="B22" s="12">
        <f t="shared" ref="B22:S22" si="2">sum(B17:B20)</f>
        <v>3</v>
      </c>
      <c r="C22" s="12">
        <f t="shared" si="2"/>
        <v>0</v>
      </c>
      <c r="D22" s="13">
        <f t="shared" si="2"/>
        <v>0</v>
      </c>
      <c r="E22" s="12">
        <f t="shared" si="2"/>
        <v>4</v>
      </c>
      <c r="F22" s="12">
        <f t="shared" si="2"/>
        <v>0</v>
      </c>
      <c r="G22" s="13">
        <f t="shared" si="2"/>
        <v>0</v>
      </c>
      <c r="H22" s="12">
        <f t="shared" si="2"/>
        <v>5</v>
      </c>
      <c r="I22" s="12">
        <f t="shared" si="2"/>
        <v>0</v>
      </c>
      <c r="J22" s="13">
        <f t="shared" si="2"/>
        <v>0</v>
      </c>
      <c r="K22" s="12">
        <f t="shared" si="2"/>
        <v>6</v>
      </c>
      <c r="L22" s="12">
        <f t="shared" si="2"/>
        <v>0</v>
      </c>
      <c r="M22" s="13">
        <f t="shared" si="2"/>
        <v>0</v>
      </c>
      <c r="N22" s="12">
        <f t="shared" si="2"/>
        <v>7</v>
      </c>
      <c r="O22" s="12">
        <f t="shared" si="2"/>
        <v>0</v>
      </c>
      <c r="P22" s="13">
        <f t="shared" si="2"/>
        <v>0</v>
      </c>
      <c r="Q22" s="12">
        <f t="shared" si="2"/>
        <v>8</v>
      </c>
      <c r="R22" s="12">
        <f t="shared" si="2"/>
        <v>0</v>
      </c>
      <c r="S22" s="13">
        <f t="shared" si="2"/>
        <v>0</v>
      </c>
    </row>
    <row r="23">
      <c r="A23" s="1" t="s">
        <v>22</v>
      </c>
      <c r="B23" s="9">
        <v>115.05</v>
      </c>
      <c r="C23" s="9">
        <v>116.55</v>
      </c>
      <c r="D23" s="11">
        <v>115.65</v>
      </c>
      <c r="E23" s="9">
        <v>113.82</v>
      </c>
      <c r="F23" s="9">
        <v>102.8</v>
      </c>
      <c r="G23" s="11">
        <v>99.78333333</v>
      </c>
      <c r="H23" s="9">
        <v>146.4571429</v>
      </c>
      <c r="I23" s="9">
        <v>140.5</v>
      </c>
      <c r="J23" s="11">
        <v>144.2</v>
      </c>
      <c r="K23" s="9">
        <v>155.21</v>
      </c>
      <c r="L23" s="9">
        <v>162.5111111</v>
      </c>
      <c r="M23" s="11">
        <v>160.39</v>
      </c>
      <c r="N23" s="9">
        <v>184.0</v>
      </c>
      <c r="O23" s="9">
        <v>160.42</v>
      </c>
      <c r="P23" s="11">
        <v>165.9363636</v>
      </c>
      <c r="Q23" s="9">
        <v>203.94</v>
      </c>
      <c r="R23" s="9">
        <v>203.16</v>
      </c>
      <c r="S23" s="11">
        <v>189.6181818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8.298082192</v>
      </c>
      <c r="R24" s="9">
        <v>7.55033557</v>
      </c>
      <c r="S24" s="11">
        <v>6.0325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17">
        <v>0.0</v>
      </c>
      <c r="R25" s="17">
        <v>0.0</v>
      </c>
      <c r="S25" s="18">
        <v>0.0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17.67985612</v>
      </c>
      <c r="R26" s="12">
        <v>18.60134228</v>
      </c>
      <c r="S26" s="13">
        <v>20.35542169</v>
      </c>
      <c r="T26" s="19" t="s">
        <v>40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15.97142857</v>
      </c>
      <c r="R27" s="12" t="s">
        <v>24</v>
      </c>
      <c r="S27" s="13" t="s">
        <v>24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14.43623188</v>
      </c>
      <c r="R28" s="12">
        <v>14.89060403</v>
      </c>
      <c r="S28" s="13">
        <v>16.99638554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>
        <v>11.8125</v>
      </c>
      <c r="R29" s="12" t="s">
        <v>24</v>
      </c>
      <c r="S29" s="13" t="s">
        <v>24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 t="s">
        <v>24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 t="s">
        <v>24</v>
      </c>
      <c r="S31" s="13" t="s">
        <v>24</v>
      </c>
    </row>
    <row r="32">
      <c r="A32" s="1" t="s">
        <v>32</v>
      </c>
      <c r="B32" s="9">
        <v>0.0</v>
      </c>
      <c r="C32" s="9">
        <v>0.0</v>
      </c>
      <c r="D32" s="11">
        <v>1.0</v>
      </c>
      <c r="E32" s="9">
        <v>0.0</v>
      </c>
      <c r="F32" s="9">
        <v>0.0</v>
      </c>
      <c r="G32" s="11">
        <v>0.0</v>
      </c>
      <c r="H32" s="9">
        <v>0.0</v>
      </c>
      <c r="I32" s="9">
        <v>0.0</v>
      </c>
      <c r="J32" s="11">
        <v>0.0</v>
      </c>
      <c r="K32" s="9">
        <v>0.0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0.0</v>
      </c>
      <c r="C34" s="9">
        <v>0.0</v>
      </c>
      <c r="D34" s="11">
        <v>5.0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0.0</v>
      </c>
      <c r="C36" s="9">
        <v>0.0</v>
      </c>
      <c r="D36" s="11">
        <v>1.0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0.0</v>
      </c>
      <c r="C37" s="9">
        <v>0.0</v>
      </c>
      <c r="D37" s="11">
        <v>5.0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1.061328671</v>
      </c>
      <c r="R39" s="12">
        <v>0.9922297297</v>
      </c>
      <c r="S39" s="13">
        <v>0.8704819277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sheetData>
    <row r="1">
      <c r="A1" s="1" t="s">
        <v>0</v>
      </c>
      <c r="B1" s="2">
        <v>45770.0</v>
      </c>
      <c r="C1" s="3"/>
      <c r="D1" s="4"/>
      <c r="E1" s="2">
        <v>45784.0</v>
      </c>
      <c r="F1" s="3"/>
      <c r="G1" s="4"/>
      <c r="H1" s="2">
        <v>45798.0</v>
      </c>
      <c r="I1" s="3"/>
      <c r="J1" s="4"/>
      <c r="K1" s="2">
        <v>45812.0</v>
      </c>
      <c r="L1" s="3"/>
      <c r="M1" s="4"/>
      <c r="N1" s="2">
        <v>45826.0</v>
      </c>
      <c r="O1" s="3"/>
      <c r="P1" s="4"/>
      <c r="Q1" s="2">
        <v>45840.0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3.0</v>
      </c>
      <c r="C3" s="9">
        <v>5.0</v>
      </c>
      <c r="D3" s="11">
        <v>3.0</v>
      </c>
      <c r="E3" s="9">
        <v>3.0</v>
      </c>
      <c r="F3" s="9">
        <v>6.0</v>
      </c>
      <c r="G3" s="11">
        <v>5.0</v>
      </c>
      <c r="H3" s="9">
        <v>5.0</v>
      </c>
      <c r="I3" s="9">
        <v>10.0</v>
      </c>
      <c r="J3" s="11">
        <v>7.0</v>
      </c>
      <c r="K3" s="9">
        <v>7.0</v>
      </c>
      <c r="L3" s="9">
        <v>11.0</v>
      </c>
      <c r="M3" s="11">
        <v>9.0</v>
      </c>
      <c r="N3" s="9">
        <v>9.0</v>
      </c>
      <c r="O3" s="9">
        <v>11.0</v>
      </c>
      <c r="P3" s="11">
        <v>10.0</v>
      </c>
      <c r="Q3" s="9">
        <v>10.0</v>
      </c>
      <c r="R3" s="9">
        <v>11.0</v>
      </c>
      <c r="S3" s="11">
        <v>10.0</v>
      </c>
    </row>
    <row r="4">
      <c r="A4" s="8" t="s">
        <v>3</v>
      </c>
      <c r="B4" s="9">
        <v>2.0</v>
      </c>
      <c r="C4" s="9">
        <v>3.0</v>
      </c>
      <c r="D4" s="11">
        <v>1.0</v>
      </c>
      <c r="E4" s="9">
        <v>6.0</v>
      </c>
      <c r="F4" s="9">
        <v>11.0</v>
      </c>
      <c r="G4" s="11">
        <v>7.0</v>
      </c>
      <c r="H4" s="9">
        <v>11.0</v>
      </c>
      <c r="I4" s="9">
        <v>22.0</v>
      </c>
      <c r="J4" s="11">
        <v>17.0</v>
      </c>
      <c r="K4" s="9">
        <v>15.0</v>
      </c>
      <c r="L4" s="9">
        <v>28.0</v>
      </c>
      <c r="M4" s="11">
        <v>19.0</v>
      </c>
      <c r="N4" s="9">
        <v>19.0</v>
      </c>
      <c r="O4" s="9">
        <v>31.0</v>
      </c>
      <c r="P4" s="11">
        <v>23.0</v>
      </c>
      <c r="Q4" s="9">
        <v>21.0</v>
      </c>
      <c r="R4" s="9">
        <v>37.0</v>
      </c>
      <c r="S4" s="11">
        <v>27.0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0.0</v>
      </c>
      <c r="F5" s="9">
        <v>0.0</v>
      </c>
      <c r="G5" s="11">
        <v>0.0</v>
      </c>
      <c r="H5" s="9">
        <v>1.0</v>
      </c>
      <c r="I5" s="9">
        <v>6.0</v>
      </c>
      <c r="J5" s="11">
        <v>3.0</v>
      </c>
      <c r="K5" s="9">
        <v>3.0</v>
      </c>
      <c r="L5" s="9">
        <v>11.0</v>
      </c>
      <c r="M5" s="11">
        <v>7.0</v>
      </c>
      <c r="N5" s="9">
        <v>3.0</v>
      </c>
      <c r="O5" s="9">
        <v>13.0</v>
      </c>
      <c r="P5" s="11">
        <v>9.0</v>
      </c>
      <c r="Q5" s="9">
        <v>4.0</v>
      </c>
      <c r="R5" s="9">
        <v>18.0</v>
      </c>
      <c r="S5" s="11">
        <v>12.0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0">
        <v>0.0</v>
      </c>
      <c r="K6" s="9">
        <v>0.0</v>
      </c>
      <c r="L6" s="9">
        <v>0.0</v>
      </c>
      <c r="M6" s="10">
        <v>0.0</v>
      </c>
      <c r="N6" s="9">
        <v>0.0</v>
      </c>
      <c r="O6" s="9">
        <v>0.0</v>
      </c>
      <c r="P6" s="11">
        <v>0.0</v>
      </c>
      <c r="Q6" s="9">
        <v>0.0</v>
      </c>
      <c r="R6" s="9">
        <v>1.0</v>
      </c>
      <c r="S6" s="11">
        <v>0.0</v>
      </c>
    </row>
    <row r="7">
      <c r="A7" s="1" t="s">
        <v>6</v>
      </c>
      <c r="B7" s="9">
        <v>1.0</v>
      </c>
      <c r="C7" s="9">
        <v>2.0</v>
      </c>
      <c r="D7" s="11">
        <v>0.0</v>
      </c>
      <c r="E7" s="9">
        <v>3.0</v>
      </c>
      <c r="F7" s="9">
        <v>6.0</v>
      </c>
      <c r="G7" s="11">
        <v>4.0</v>
      </c>
      <c r="H7" s="9">
        <v>6.0</v>
      </c>
      <c r="I7" s="9">
        <v>14.0</v>
      </c>
      <c r="J7" s="11">
        <v>11.0</v>
      </c>
      <c r="K7" s="9">
        <v>10.0</v>
      </c>
      <c r="L7" s="9">
        <v>19.0</v>
      </c>
      <c r="M7" s="11">
        <v>15.0</v>
      </c>
      <c r="N7" s="9">
        <v>12.0</v>
      </c>
      <c r="O7" s="9">
        <v>22.0</v>
      </c>
      <c r="P7" s="11">
        <v>15.0</v>
      </c>
      <c r="Q7" s="9">
        <v>13.0</v>
      </c>
      <c r="R7" s="9">
        <v>26.0</v>
      </c>
      <c r="S7" s="11">
        <v>18.0</v>
      </c>
    </row>
    <row r="8">
      <c r="A8" s="1" t="s">
        <v>7</v>
      </c>
      <c r="B8" s="9">
        <v>1.0</v>
      </c>
      <c r="C8" s="9">
        <v>1.0</v>
      </c>
      <c r="D8" s="11">
        <v>1.0</v>
      </c>
      <c r="E8" s="9">
        <v>3.0</v>
      </c>
      <c r="F8" s="9">
        <v>5.0</v>
      </c>
      <c r="G8" s="11">
        <v>3.0</v>
      </c>
      <c r="H8" s="9">
        <v>5.0</v>
      </c>
      <c r="I8" s="9">
        <v>8.0</v>
      </c>
      <c r="J8" s="11">
        <v>6.0</v>
      </c>
      <c r="K8" s="9">
        <v>5.0</v>
      </c>
      <c r="L8" s="9">
        <v>9.0</v>
      </c>
      <c r="M8" s="11">
        <v>4.0</v>
      </c>
      <c r="N8" s="9">
        <v>7.0</v>
      </c>
      <c r="O8" s="9">
        <v>9.0</v>
      </c>
      <c r="P8" s="11">
        <v>8.0</v>
      </c>
      <c r="Q8" s="9">
        <v>8.0</v>
      </c>
      <c r="R8" s="9">
        <v>11.0</v>
      </c>
      <c r="S8" s="11">
        <v>9.0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0.0</v>
      </c>
      <c r="G9" s="11">
        <v>0.0</v>
      </c>
      <c r="H9" s="9">
        <v>1.0</v>
      </c>
      <c r="I9" s="9">
        <v>4.0</v>
      </c>
      <c r="J9" s="11">
        <v>2.0</v>
      </c>
      <c r="K9" s="9">
        <v>2.0</v>
      </c>
      <c r="L9" s="9">
        <v>7.0</v>
      </c>
      <c r="M9" s="11">
        <v>4.0</v>
      </c>
      <c r="N9" s="9">
        <v>2.0</v>
      </c>
      <c r="O9" s="9">
        <v>9.0</v>
      </c>
      <c r="P9" s="11">
        <v>6.0</v>
      </c>
      <c r="Q9" s="9">
        <v>3.0</v>
      </c>
      <c r="R9" s="9">
        <v>13.0</v>
      </c>
      <c r="S9" s="11">
        <v>8.0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0.0</v>
      </c>
      <c r="F10" s="9">
        <v>0.0</v>
      </c>
      <c r="G10" s="11">
        <v>0.0</v>
      </c>
      <c r="H10" s="9">
        <v>0.0</v>
      </c>
      <c r="I10" s="9">
        <v>2.0</v>
      </c>
      <c r="J10" s="11">
        <v>1.0</v>
      </c>
      <c r="K10" s="9">
        <v>1.0</v>
      </c>
      <c r="L10" s="9">
        <v>4.0</v>
      </c>
      <c r="M10" s="11">
        <v>3.0</v>
      </c>
      <c r="N10" s="9">
        <v>1.0</v>
      </c>
      <c r="O10" s="9">
        <v>4.0</v>
      </c>
      <c r="P10" s="11">
        <v>3.0</v>
      </c>
      <c r="Q10" s="9">
        <v>1.0</v>
      </c>
      <c r="R10" s="9">
        <v>5.0</v>
      </c>
      <c r="S10" s="11">
        <v>4.0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0.0</v>
      </c>
      <c r="L11" s="9">
        <v>0.0</v>
      </c>
      <c r="M11" s="11">
        <v>0.0</v>
      </c>
      <c r="N11" s="9">
        <v>0.0</v>
      </c>
      <c r="O11" s="9">
        <v>0.0</v>
      </c>
      <c r="P11" s="11">
        <v>0.0</v>
      </c>
      <c r="Q11" s="9">
        <v>0.0</v>
      </c>
      <c r="R11" s="9">
        <v>0.0</v>
      </c>
      <c r="S11" s="11">
        <v>0.0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0.0</v>
      </c>
      <c r="L12" s="9">
        <v>0.0</v>
      </c>
      <c r="M12" s="11">
        <v>0.0</v>
      </c>
      <c r="N12" s="9">
        <v>0.0</v>
      </c>
      <c r="O12" s="9">
        <v>0.0</v>
      </c>
      <c r="P12" s="11">
        <v>0.0</v>
      </c>
      <c r="Q12" s="9">
        <v>0.0</v>
      </c>
      <c r="R12" s="9">
        <v>1.0</v>
      </c>
      <c r="S12" s="11">
        <v>0.0</v>
      </c>
    </row>
    <row r="13">
      <c r="A13" s="1" t="s">
        <v>12</v>
      </c>
      <c r="B13" s="12">
        <v>6.0</v>
      </c>
      <c r="C13" s="12">
        <v>7.0</v>
      </c>
      <c r="D13" s="13">
        <v>5.0</v>
      </c>
      <c r="E13" s="12">
        <v>9.0</v>
      </c>
      <c r="F13" s="12">
        <v>13.0</v>
      </c>
      <c r="G13" s="13">
        <v>9.0</v>
      </c>
      <c r="H13" s="12">
        <v>13.0</v>
      </c>
      <c r="I13" s="12">
        <v>21.0</v>
      </c>
      <c r="J13" s="13">
        <v>15.0</v>
      </c>
      <c r="K13" s="12">
        <v>15.0</v>
      </c>
      <c r="L13" s="12">
        <v>31.0</v>
      </c>
      <c r="M13" s="13">
        <v>24.0</v>
      </c>
      <c r="N13" s="12">
        <v>20.0</v>
      </c>
      <c r="O13" s="12">
        <v>43.0</v>
      </c>
      <c r="P13" s="13">
        <v>33.0</v>
      </c>
      <c r="Q13" s="12">
        <v>13.0</v>
      </c>
      <c r="R13" s="12">
        <v>55.0</v>
      </c>
      <c r="S13" s="13">
        <v>41.0</v>
      </c>
    </row>
    <row r="14">
      <c r="A14" s="1" t="s">
        <v>13</v>
      </c>
      <c r="B14" s="12">
        <v>2.0</v>
      </c>
      <c r="C14" s="12">
        <v>3.0</v>
      </c>
      <c r="D14" s="13">
        <v>1.0</v>
      </c>
      <c r="E14" s="12">
        <v>7.0</v>
      </c>
      <c r="F14" s="12">
        <v>14.0</v>
      </c>
      <c r="G14" s="13">
        <v>9.0</v>
      </c>
      <c r="H14" s="12">
        <v>18.0</v>
      </c>
      <c r="I14" s="12">
        <v>39.0</v>
      </c>
      <c r="J14" s="13">
        <v>28.0</v>
      </c>
      <c r="K14" s="12">
        <v>30.0</v>
      </c>
      <c r="L14" s="12">
        <v>64.0</v>
      </c>
      <c r="M14" s="13">
        <v>49.0</v>
      </c>
      <c r="N14" s="12">
        <v>44.0</v>
      </c>
      <c r="O14" s="12">
        <v>84.0</v>
      </c>
      <c r="P14" s="13">
        <v>71.0</v>
      </c>
      <c r="Q14" s="12">
        <v>58.0</v>
      </c>
      <c r="R14" s="12">
        <v>112.0</v>
      </c>
      <c r="S14" s="13">
        <v>94.0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0.0</v>
      </c>
      <c r="F15" s="12">
        <v>0.0</v>
      </c>
      <c r="G15" s="13">
        <v>0.0</v>
      </c>
      <c r="H15" s="12">
        <v>1.0</v>
      </c>
      <c r="I15" s="12">
        <v>6.0</v>
      </c>
      <c r="J15" s="13">
        <v>3.0</v>
      </c>
      <c r="K15" s="12">
        <v>3.0</v>
      </c>
      <c r="L15" s="12">
        <v>15.0</v>
      </c>
      <c r="M15" s="13">
        <v>11.0</v>
      </c>
      <c r="N15" s="12">
        <v>5.0</v>
      </c>
      <c r="O15" s="12">
        <v>24.0</v>
      </c>
      <c r="P15" s="13">
        <v>21.0</v>
      </c>
      <c r="Q15" s="12">
        <v>8.0</v>
      </c>
      <c r="R15" s="12">
        <v>36.0</v>
      </c>
      <c r="S15" s="13">
        <v>31.0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0.0</v>
      </c>
      <c r="L16" s="12">
        <v>0.0</v>
      </c>
      <c r="M16" s="10">
        <v>0.0</v>
      </c>
      <c r="N16" s="12">
        <v>0.0</v>
      </c>
      <c r="O16" s="12">
        <v>0.0</v>
      </c>
      <c r="P16" s="13">
        <v>0.0</v>
      </c>
      <c r="Q16" s="12">
        <v>0.0</v>
      </c>
      <c r="R16" s="12">
        <v>1.0</v>
      </c>
      <c r="S16" s="13">
        <v>0.0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0.0</v>
      </c>
      <c r="F17" s="12">
        <v>0.0</v>
      </c>
      <c r="G17" s="13">
        <v>0.0</v>
      </c>
      <c r="H17" s="12">
        <v>0.0</v>
      </c>
      <c r="I17" s="12">
        <v>0.0</v>
      </c>
      <c r="J17" s="13">
        <v>0.0</v>
      </c>
      <c r="K17" s="12">
        <v>0.0</v>
      </c>
      <c r="L17" s="12">
        <v>0.0</v>
      </c>
      <c r="M17" s="13">
        <v>0.0</v>
      </c>
      <c r="N17" s="12">
        <v>0.0</v>
      </c>
      <c r="O17" s="12">
        <v>0.0</v>
      </c>
      <c r="P17" s="13">
        <v>0.0</v>
      </c>
      <c r="Q17" s="12">
        <v>0.0</v>
      </c>
      <c r="R17" s="12">
        <v>0.0</v>
      </c>
      <c r="S17" s="13">
        <v>1.0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0.0</v>
      </c>
      <c r="F18" s="12">
        <v>0.0</v>
      </c>
      <c r="G18" s="13">
        <v>0.0</v>
      </c>
      <c r="H18" s="12">
        <v>0.0</v>
      </c>
      <c r="I18" s="12">
        <v>0.0</v>
      </c>
      <c r="J18" s="13">
        <v>0.0</v>
      </c>
      <c r="K18" s="12">
        <v>0.0</v>
      </c>
      <c r="L18" s="12">
        <v>0.0</v>
      </c>
      <c r="M18" s="13">
        <v>0.0</v>
      </c>
      <c r="N18" s="12">
        <v>0.0</v>
      </c>
      <c r="O18" s="12">
        <v>0.0</v>
      </c>
      <c r="P18" s="13">
        <v>0.0</v>
      </c>
      <c r="Q18" s="12">
        <v>0.0</v>
      </c>
      <c r="R18" s="12">
        <v>0.0</v>
      </c>
      <c r="S18" s="13">
        <v>1.0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0.0</v>
      </c>
      <c r="J19" s="13">
        <v>0.0</v>
      </c>
      <c r="K19" s="12">
        <v>0.0</v>
      </c>
      <c r="L19" s="12">
        <v>0.0</v>
      </c>
      <c r="M19" s="13">
        <v>0.0</v>
      </c>
      <c r="N19" s="12">
        <v>0.0</v>
      </c>
      <c r="O19" s="12">
        <v>0.0</v>
      </c>
      <c r="P19" s="13">
        <v>0.0</v>
      </c>
      <c r="Q19" s="12">
        <v>0.0</v>
      </c>
      <c r="R19" s="12">
        <v>0.0</v>
      </c>
      <c r="S19" s="13">
        <v>0.0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0">
        <v>0.0</v>
      </c>
      <c r="K20" s="12">
        <v>0.0</v>
      </c>
      <c r="L20" s="12">
        <v>0.0</v>
      </c>
      <c r="M20" s="10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8</v>
      </c>
      <c r="C21" s="12">
        <f t="shared" si="1"/>
        <v>10</v>
      </c>
      <c r="D21" s="13">
        <f t="shared" si="1"/>
        <v>6</v>
      </c>
      <c r="E21" s="12">
        <f t="shared" si="1"/>
        <v>16</v>
      </c>
      <c r="F21" s="12">
        <f t="shared" si="1"/>
        <v>27</v>
      </c>
      <c r="G21" s="13">
        <f t="shared" si="1"/>
        <v>18</v>
      </c>
      <c r="H21" s="12">
        <f t="shared" si="1"/>
        <v>32</v>
      </c>
      <c r="I21" s="12">
        <f t="shared" si="1"/>
        <v>66</v>
      </c>
      <c r="J21" s="13">
        <f t="shared" si="1"/>
        <v>46</v>
      </c>
      <c r="K21" s="12">
        <f t="shared" si="1"/>
        <v>48</v>
      </c>
      <c r="L21" s="12">
        <f t="shared" si="1"/>
        <v>110</v>
      </c>
      <c r="M21" s="13">
        <f t="shared" si="1"/>
        <v>84</v>
      </c>
      <c r="N21" s="12">
        <f t="shared" si="1"/>
        <v>69</v>
      </c>
      <c r="O21" s="12">
        <f t="shared" si="1"/>
        <v>151</v>
      </c>
      <c r="P21" s="13">
        <f t="shared" si="1"/>
        <v>125</v>
      </c>
      <c r="Q21" s="12">
        <f t="shared" si="1"/>
        <v>79</v>
      </c>
      <c r="R21" s="12">
        <f t="shared" si="1"/>
        <v>204</v>
      </c>
      <c r="S21" s="13">
        <f t="shared" si="1"/>
        <v>166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0</v>
      </c>
      <c r="F22" s="12">
        <f t="shared" si="2"/>
        <v>0</v>
      </c>
      <c r="G22" s="13">
        <f t="shared" si="2"/>
        <v>0</v>
      </c>
      <c r="H22" s="12">
        <f t="shared" si="2"/>
        <v>0</v>
      </c>
      <c r="I22" s="12">
        <f t="shared" si="2"/>
        <v>0</v>
      </c>
      <c r="J22" s="13">
        <f t="shared" si="2"/>
        <v>0</v>
      </c>
      <c r="K22" s="12">
        <f t="shared" si="2"/>
        <v>0</v>
      </c>
      <c r="L22" s="12">
        <f t="shared" si="2"/>
        <v>0</v>
      </c>
      <c r="M22" s="13">
        <f t="shared" si="2"/>
        <v>0</v>
      </c>
      <c r="N22" s="12">
        <f t="shared" si="2"/>
        <v>0</v>
      </c>
      <c r="O22" s="12">
        <f t="shared" si="2"/>
        <v>0</v>
      </c>
      <c r="P22" s="13">
        <f t="shared" si="2"/>
        <v>0</v>
      </c>
      <c r="Q22" s="12">
        <f t="shared" si="2"/>
        <v>0</v>
      </c>
      <c r="R22" s="12">
        <f t="shared" si="2"/>
        <v>0</v>
      </c>
      <c r="S22" s="13">
        <f t="shared" si="2"/>
        <v>2</v>
      </c>
    </row>
    <row r="23">
      <c r="A23" s="1" t="s">
        <v>22</v>
      </c>
      <c r="B23" s="9">
        <v>95.666666667</v>
      </c>
      <c r="C23" s="9">
        <v>70.825</v>
      </c>
      <c r="D23" s="11">
        <v>94.65</v>
      </c>
      <c r="E23" s="9">
        <v>145.3333333</v>
      </c>
      <c r="F23" s="9">
        <v>123.02</v>
      </c>
      <c r="G23" s="11">
        <v>115.825</v>
      </c>
      <c r="H23" s="9">
        <v>177.0</v>
      </c>
      <c r="I23" s="9">
        <v>158.25</v>
      </c>
      <c r="J23" s="11">
        <v>155.18</v>
      </c>
      <c r="K23" s="9">
        <v>182.4666667</v>
      </c>
      <c r="L23" s="9">
        <v>138.2</v>
      </c>
      <c r="M23" s="11">
        <v>157.1428571</v>
      </c>
      <c r="N23" s="9">
        <v>142.91666667</v>
      </c>
      <c r="O23" s="9">
        <v>152.46</v>
      </c>
      <c r="P23" s="11">
        <v>158.94</v>
      </c>
      <c r="Q23" s="9">
        <v>159.9166667</v>
      </c>
      <c r="R23" s="9">
        <v>185.98</v>
      </c>
      <c r="S23" s="11">
        <v>179.733333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9">
        <v>7.572151899</v>
      </c>
      <c r="R24" s="9">
        <v>6.878778626</v>
      </c>
      <c r="S24" s="11">
        <v>9.874357143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2.0</v>
      </c>
      <c r="R25" s="9">
        <v>2.0</v>
      </c>
      <c r="S25" s="11">
        <v>4.0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19.74936709</v>
      </c>
      <c r="R26" s="12">
        <v>20.24921875</v>
      </c>
      <c r="S26" s="13">
        <v>20.36267606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 t="s">
        <v>24</v>
      </c>
      <c r="R27" s="12" t="s">
        <v>24</v>
      </c>
      <c r="S27" s="13">
        <v>15.8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14.31139241</v>
      </c>
      <c r="R28" s="12">
        <v>14.61923077</v>
      </c>
      <c r="S28" s="13">
        <v>15.5278169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 t="s">
        <v>24</v>
      </c>
      <c r="R29" s="12" t="s">
        <v>24</v>
      </c>
      <c r="S29" s="13">
        <v>15.8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 t="s">
        <v>24</v>
      </c>
      <c r="R30" s="12" t="s">
        <v>24</v>
      </c>
      <c r="S30" s="13">
        <v>17.7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 t="s">
        <v>24</v>
      </c>
      <c r="R31" s="12" t="s">
        <v>24</v>
      </c>
      <c r="S31" s="13" t="s">
        <v>24</v>
      </c>
    </row>
    <row r="32">
      <c r="A32" s="1" t="s">
        <v>32</v>
      </c>
      <c r="B32" s="9">
        <v>1.0</v>
      </c>
      <c r="C32" s="9">
        <v>0.0</v>
      </c>
      <c r="D32" s="11">
        <v>0.0</v>
      </c>
      <c r="E32" s="9">
        <v>1.0</v>
      </c>
      <c r="F32" s="9">
        <v>0.0</v>
      </c>
      <c r="G32" s="11">
        <v>1.0</v>
      </c>
      <c r="H32" s="9">
        <v>3.0</v>
      </c>
      <c r="I32" s="9">
        <v>1.0</v>
      </c>
      <c r="J32" s="11">
        <v>2.0</v>
      </c>
      <c r="K32" s="9">
        <v>0.0</v>
      </c>
      <c r="L32" s="9">
        <v>0.0</v>
      </c>
      <c r="M32" s="11">
        <v>2.0</v>
      </c>
      <c r="N32" s="9">
        <v>0.0</v>
      </c>
      <c r="O32" s="9">
        <v>0.0</v>
      </c>
      <c r="P32" s="11">
        <v>4.0</v>
      </c>
      <c r="Q32" s="9">
        <v>0.0</v>
      </c>
      <c r="R32" s="9">
        <v>8.0</v>
      </c>
      <c r="S32" s="11">
        <v>4.0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3.0</v>
      </c>
      <c r="Q33" s="9">
        <v>1.0</v>
      </c>
      <c r="R33" s="9">
        <v>4.0</v>
      </c>
      <c r="S33" s="11">
        <v>2.0</v>
      </c>
    </row>
    <row r="34">
      <c r="A34" s="1" t="s">
        <v>34</v>
      </c>
      <c r="B34" s="9">
        <v>4.0</v>
      </c>
      <c r="C34" s="9">
        <v>0.0</v>
      </c>
      <c r="D34" s="11">
        <v>0.0</v>
      </c>
      <c r="E34" s="9">
        <v>7.0</v>
      </c>
      <c r="F34" s="9">
        <v>0.0</v>
      </c>
      <c r="G34" s="11">
        <v>6.0</v>
      </c>
      <c r="H34" s="9">
        <v>15.0</v>
      </c>
      <c r="I34" s="9">
        <v>6.0</v>
      </c>
      <c r="J34" s="11">
        <v>5.0</v>
      </c>
      <c r="K34" s="9">
        <v>0.0</v>
      </c>
      <c r="L34" s="9">
        <v>0.0</v>
      </c>
      <c r="M34" s="11">
        <v>9.0</v>
      </c>
      <c r="N34" s="9">
        <v>0.0</v>
      </c>
      <c r="O34" s="9">
        <v>0.0</v>
      </c>
      <c r="P34" s="11">
        <v>18.0</v>
      </c>
      <c r="Q34" s="9">
        <v>0.0</v>
      </c>
      <c r="R34" s="9">
        <v>40.0</v>
      </c>
      <c r="S34" s="11">
        <v>11.0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10.0</v>
      </c>
      <c r="Q35" s="9">
        <v>3.0</v>
      </c>
      <c r="R35" s="9">
        <v>15.0</v>
      </c>
      <c r="S35" s="11">
        <v>6.0</v>
      </c>
    </row>
    <row r="36">
      <c r="A36" s="1" t="s">
        <v>36</v>
      </c>
      <c r="B36" s="9">
        <v>1.0</v>
      </c>
      <c r="C36" s="9">
        <v>0.0</v>
      </c>
      <c r="D36" s="11">
        <v>0.0</v>
      </c>
      <c r="E36" s="9">
        <v>1.0</v>
      </c>
      <c r="F36" s="9">
        <v>0.0</v>
      </c>
      <c r="G36" s="11">
        <v>1.0</v>
      </c>
      <c r="H36" s="9">
        <v>3.0</v>
      </c>
      <c r="I36" s="9">
        <v>1.0</v>
      </c>
      <c r="J36" s="11">
        <v>2.0</v>
      </c>
      <c r="K36" s="9">
        <v>0.0</v>
      </c>
      <c r="L36" s="9">
        <v>0.0</v>
      </c>
      <c r="M36" s="11">
        <v>2.0</v>
      </c>
      <c r="N36" s="9">
        <v>0.0</v>
      </c>
      <c r="O36" s="9">
        <v>0.0</v>
      </c>
      <c r="P36" s="11">
        <v>7.0</v>
      </c>
      <c r="Q36" s="9">
        <v>1.0</v>
      </c>
      <c r="R36" s="9">
        <v>12.0</v>
      </c>
      <c r="S36" s="11">
        <v>6.0</v>
      </c>
    </row>
    <row r="37">
      <c r="A37" s="1" t="s">
        <v>37</v>
      </c>
      <c r="B37" s="9">
        <v>4.0</v>
      </c>
      <c r="C37" s="9">
        <v>0.0</v>
      </c>
      <c r="D37" s="11">
        <v>0.0</v>
      </c>
      <c r="E37" s="9">
        <v>7.0</v>
      </c>
      <c r="F37" s="9">
        <v>0.0</v>
      </c>
      <c r="G37" s="11">
        <v>6.0</v>
      </c>
      <c r="H37" s="9">
        <v>15.0</v>
      </c>
      <c r="I37" s="9">
        <v>6.0</v>
      </c>
      <c r="J37" s="11">
        <v>5.0</v>
      </c>
      <c r="K37" s="9">
        <v>0.0</v>
      </c>
      <c r="L37" s="9">
        <v>0.0</v>
      </c>
      <c r="M37" s="11">
        <v>9.0</v>
      </c>
      <c r="N37" s="9">
        <v>0.0</v>
      </c>
      <c r="O37" s="9">
        <v>0.0</v>
      </c>
      <c r="P37" s="11">
        <v>28.0</v>
      </c>
      <c r="Q37" s="9">
        <v>3.0</v>
      </c>
      <c r="R37" s="9">
        <v>55.0</v>
      </c>
      <c r="S37" s="11">
        <v>17.0</v>
      </c>
    </row>
    <row r="38">
      <c r="A38" s="1" t="s">
        <v>38</v>
      </c>
      <c r="B38" s="9" t="s">
        <v>24</v>
      </c>
      <c r="C38" s="9" t="s">
        <v>24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24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0.8672727273</v>
      </c>
      <c r="R39" s="12">
        <v>0.814375</v>
      </c>
      <c r="S39" s="13">
        <v>0.9611888112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8.13"/>
  </cols>
  <sheetData>
    <row r="1">
      <c r="A1" s="1" t="s">
        <v>0</v>
      </c>
      <c r="B1" s="2">
        <v>45770.0</v>
      </c>
      <c r="C1" s="3"/>
      <c r="D1" s="4"/>
      <c r="E1" s="2">
        <v>45784.0</v>
      </c>
      <c r="F1" s="3"/>
      <c r="G1" s="4"/>
      <c r="H1" s="2">
        <v>45798.0</v>
      </c>
      <c r="I1" s="3"/>
      <c r="J1" s="4"/>
      <c r="K1" s="2">
        <v>45812.0</v>
      </c>
      <c r="L1" s="3"/>
      <c r="M1" s="4"/>
      <c r="N1" s="2">
        <v>45826.0</v>
      </c>
      <c r="O1" s="3"/>
      <c r="P1" s="4"/>
      <c r="Q1" s="2">
        <v>45840.0</v>
      </c>
      <c r="R1" s="3"/>
      <c r="S1" s="4"/>
    </row>
    <row r="2">
      <c r="A2" s="1" t="s">
        <v>1</v>
      </c>
      <c r="B2" s="5">
        <v>1.0</v>
      </c>
      <c r="C2" s="5">
        <v>2.0</v>
      </c>
      <c r="D2" s="6">
        <v>3.0</v>
      </c>
      <c r="E2" s="5">
        <v>1.0</v>
      </c>
      <c r="F2" s="5">
        <v>2.0</v>
      </c>
      <c r="G2" s="7">
        <v>3.0</v>
      </c>
      <c r="H2" s="5">
        <v>1.0</v>
      </c>
      <c r="I2" s="5">
        <v>2.0</v>
      </c>
      <c r="J2" s="7">
        <v>3.0</v>
      </c>
      <c r="K2" s="5">
        <v>1.0</v>
      </c>
      <c r="L2" s="5">
        <v>2.0</v>
      </c>
      <c r="M2" s="7">
        <v>3.0</v>
      </c>
      <c r="N2" s="5">
        <v>1.0</v>
      </c>
      <c r="O2" s="5">
        <v>2.0</v>
      </c>
      <c r="P2" s="7">
        <v>3.0</v>
      </c>
      <c r="Q2" s="5">
        <v>1.0</v>
      </c>
      <c r="R2" s="5">
        <v>2.0</v>
      </c>
      <c r="S2" s="7">
        <v>3.0</v>
      </c>
    </row>
    <row r="3">
      <c r="A3" s="8" t="s">
        <v>2</v>
      </c>
      <c r="B3" s="9">
        <v>8.0</v>
      </c>
      <c r="C3" s="9">
        <v>18.0</v>
      </c>
      <c r="D3" s="11">
        <v>16.0</v>
      </c>
      <c r="E3" s="9">
        <v>15.0</v>
      </c>
      <c r="F3" s="9">
        <v>23.0</v>
      </c>
      <c r="G3" s="11">
        <v>20.0</v>
      </c>
      <c r="H3" s="9">
        <v>19.0</v>
      </c>
      <c r="I3" s="9">
        <v>26.0</v>
      </c>
      <c r="J3" s="11">
        <v>24.0</v>
      </c>
      <c r="K3" s="9">
        <v>21.0</v>
      </c>
      <c r="L3" s="9">
        <v>29.0</v>
      </c>
      <c r="M3" s="11">
        <v>30.0</v>
      </c>
      <c r="N3" s="9">
        <v>24.0</v>
      </c>
      <c r="O3" s="9">
        <v>35.0</v>
      </c>
      <c r="P3" s="11">
        <v>45.0</v>
      </c>
      <c r="Q3" s="9">
        <v>27.0</v>
      </c>
      <c r="R3" s="9">
        <v>38.0</v>
      </c>
      <c r="S3" s="11">
        <v>48.0</v>
      </c>
    </row>
    <row r="4">
      <c r="A4" s="8" t="s">
        <v>3</v>
      </c>
      <c r="B4" s="9">
        <v>3.0</v>
      </c>
      <c r="C4" s="9">
        <v>1.0</v>
      </c>
      <c r="D4" s="11">
        <v>2.0</v>
      </c>
      <c r="E4" s="9">
        <v>11.0</v>
      </c>
      <c r="F4" s="9">
        <v>14.0</v>
      </c>
      <c r="G4" s="11">
        <v>16.0</v>
      </c>
      <c r="H4" s="9">
        <v>25.0</v>
      </c>
      <c r="I4" s="9">
        <v>37.0</v>
      </c>
      <c r="J4" s="11">
        <v>36.0</v>
      </c>
      <c r="K4" s="9">
        <v>39.0</v>
      </c>
      <c r="L4" s="9">
        <v>60.0</v>
      </c>
      <c r="M4" s="11">
        <v>49.0</v>
      </c>
      <c r="N4" s="9">
        <v>53.0</v>
      </c>
      <c r="O4" s="9">
        <v>68.0</v>
      </c>
      <c r="P4" s="11">
        <v>65.0</v>
      </c>
      <c r="Q4" s="9">
        <v>55.0</v>
      </c>
      <c r="R4" s="9">
        <v>75.0</v>
      </c>
      <c r="S4" s="11">
        <v>75.0</v>
      </c>
    </row>
    <row r="5">
      <c r="A5" s="8" t="s">
        <v>4</v>
      </c>
      <c r="B5" s="9">
        <v>0.0</v>
      </c>
      <c r="C5" s="9">
        <v>0.0</v>
      </c>
      <c r="D5" s="11">
        <v>0.0</v>
      </c>
      <c r="E5" s="9">
        <v>1.0</v>
      </c>
      <c r="F5" s="9">
        <v>1.0</v>
      </c>
      <c r="G5" s="11">
        <v>1.0</v>
      </c>
      <c r="H5" s="9">
        <v>12.0</v>
      </c>
      <c r="I5" s="9">
        <v>6.0</v>
      </c>
      <c r="J5" s="11">
        <v>7.0</v>
      </c>
      <c r="K5" s="9">
        <v>26.0</v>
      </c>
      <c r="L5" s="9">
        <v>14.0</v>
      </c>
      <c r="M5" s="11">
        <v>18.0</v>
      </c>
      <c r="N5" s="9">
        <v>34.0</v>
      </c>
      <c r="O5" s="9">
        <v>20.0</v>
      </c>
      <c r="P5" s="11">
        <v>32.0</v>
      </c>
      <c r="Q5" s="9">
        <v>34.0</v>
      </c>
      <c r="R5" s="9">
        <v>22.0</v>
      </c>
      <c r="S5" s="11">
        <v>35.0</v>
      </c>
    </row>
    <row r="6">
      <c r="A6" s="1" t="s">
        <v>5</v>
      </c>
      <c r="B6" s="9">
        <v>0.0</v>
      </c>
      <c r="C6" s="9">
        <v>0.0</v>
      </c>
      <c r="D6" s="10">
        <v>0.0</v>
      </c>
      <c r="E6" s="9">
        <v>0.0</v>
      </c>
      <c r="F6" s="9">
        <v>0.0</v>
      </c>
      <c r="G6" s="10">
        <v>0.0</v>
      </c>
      <c r="H6" s="9">
        <v>0.0</v>
      </c>
      <c r="I6" s="9">
        <v>0.0</v>
      </c>
      <c r="J6" s="11">
        <v>0.0</v>
      </c>
      <c r="K6" s="9">
        <v>2.0</v>
      </c>
      <c r="L6" s="9">
        <v>0.0</v>
      </c>
      <c r="M6" s="11">
        <v>0.0</v>
      </c>
      <c r="N6" s="9">
        <v>6.0</v>
      </c>
      <c r="O6" s="9">
        <v>0.0</v>
      </c>
      <c r="P6" s="11">
        <v>2.0</v>
      </c>
      <c r="Q6" s="9">
        <v>6.0</v>
      </c>
      <c r="R6" s="9">
        <v>0.0</v>
      </c>
      <c r="S6" s="11">
        <v>2.0</v>
      </c>
    </row>
    <row r="7">
      <c r="A7" s="1" t="s">
        <v>6</v>
      </c>
      <c r="B7" s="9">
        <v>1.0</v>
      </c>
      <c r="C7" s="9">
        <v>0.0</v>
      </c>
      <c r="D7" s="11">
        <v>1.0</v>
      </c>
      <c r="E7" s="9">
        <v>6.0</v>
      </c>
      <c r="F7" s="9">
        <v>6.0</v>
      </c>
      <c r="G7" s="11">
        <v>10.0</v>
      </c>
      <c r="H7" s="9">
        <v>16.0</v>
      </c>
      <c r="I7" s="9">
        <v>26.0</v>
      </c>
      <c r="J7" s="11">
        <v>28.0</v>
      </c>
      <c r="K7" s="9">
        <v>25.0</v>
      </c>
      <c r="L7" s="9">
        <v>48.0</v>
      </c>
      <c r="M7" s="11">
        <v>39.0</v>
      </c>
      <c r="N7" s="9">
        <v>35.0</v>
      </c>
      <c r="O7" s="9">
        <v>53.0</v>
      </c>
      <c r="P7" s="11">
        <v>53.0</v>
      </c>
      <c r="Q7" s="9">
        <v>37.0</v>
      </c>
      <c r="R7" s="9">
        <v>60.0</v>
      </c>
      <c r="S7" s="11">
        <v>63.0</v>
      </c>
    </row>
    <row r="8">
      <c r="A8" s="1" t="s">
        <v>7</v>
      </c>
      <c r="B8" s="9">
        <v>2.0</v>
      </c>
      <c r="C8" s="9">
        <v>1.0</v>
      </c>
      <c r="D8" s="11">
        <v>1.0</v>
      </c>
      <c r="E8" s="9">
        <v>5.0</v>
      </c>
      <c r="F8" s="9">
        <v>8.0</v>
      </c>
      <c r="G8" s="11">
        <v>6.0</v>
      </c>
      <c r="H8" s="9">
        <v>9.0</v>
      </c>
      <c r="I8" s="9">
        <v>11.0</v>
      </c>
      <c r="J8" s="11">
        <v>8.0</v>
      </c>
      <c r="K8" s="9">
        <v>14.0</v>
      </c>
      <c r="L8" s="9">
        <v>12.0</v>
      </c>
      <c r="M8" s="11">
        <v>10.0</v>
      </c>
      <c r="N8" s="9">
        <v>18.0</v>
      </c>
      <c r="O8" s="9">
        <v>15.0</v>
      </c>
      <c r="P8" s="11">
        <v>12.0</v>
      </c>
      <c r="Q8" s="9">
        <v>18.0</v>
      </c>
      <c r="R8" s="9">
        <v>15.0</v>
      </c>
      <c r="S8" s="11">
        <v>12.0</v>
      </c>
    </row>
    <row r="9">
      <c r="A9" s="1" t="s">
        <v>8</v>
      </c>
      <c r="B9" s="9">
        <v>0.0</v>
      </c>
      <c r="C9" s="9">
        <v>0.0</v>
      </c>
      <c r="D9" s="11">
        <v>0.0</v>
      </c>
      <c r="E9" s="9">
        <v>0.0</v>
      </c>
      <c r="F9" s="9">
        <v>1.0</v>
      </c>
      <c r="G9" s="11">
        <v>1.0</v>
      </c>
      <c r="H9" s="9">
        <v>7.0</v>
      </c>
      <c r="I9" s="9">
        <v>4.0</v>
      </c>
      <c r="J9" s="11">
        <v>5.0</v>
      </c>
      <c r="K9" s="9">
        <v>17.0</v>
      </c>
      <c r="L9" s="9">
        <v>11.0</v>
      </c>
      <c r="M9" s="11">
        <v>14.0</v>
      </c>
      <c r="N9" s="9">
        <v>24.0</v>
      </c>
      <c r="O9" s="9">
        <v>16.0</v>
      </c>
      <c r="P9" s="11">
        <v>25.0</v>
      </c>
      <c r="Q9" s="9">
        <v>24.0</v>
      </c>
      <c r="R9" s="9">
        <v>19.0</v>
      </c>
      <c r="S9" s="11">
        <v>27.0</v>
      </c>
    </row>
    <row r="10">
      <c r="A10" s="1" t="s">
        <v>9</v>
      </c>
      <c r="B10" s="9">
        <v>0.0</v>
      </c>
      <c r="C10" s="9">
        <v>0.0</v>
      </c>
      <c r="D10" s="11">
        <v>0.0</v>
      </c>
      <c r="E10" s="9">
        <v>1.0</v>
      </c>
      <c r="F10" s="9">
        <v>0.0</v>
      </c>
      <c r="G10" s="11">
        <v>0.0</v>
      </c>
      <c r="H10" s="9">
        <v>5.0</v>
      </c>
      <c r="I10" s="9">
        <v>2.0</v>
      </c>
      <c r="J10" s="11">
        <v>2.0</v>
      </c>
      <c r="K10" s="9">
        <v>9.0</v>
      </c>
      <c r="L10" s="9">
        <v>3.0</v>
      </c>
      <c r="M10" s="11">
        <v>4.0</v>
      </c>
      <c r="N10" s="9">
        <v>10.0</v>
      </c>
      <c r="O10" s="9">
        <v>4.0</v>
      </c>
      <c r="P10" s="11">
        <v>7.0</v>
      </c>
      <c r="Q10" s="9">
        <v>10.0</v>
      </c>
      <c r="R10" s="9">
        <v>3.0</v>
      </c>
      <c r="S10" s="11">
        <v>8.0</v>
      </c>
    </row>
    <row r="11">
      <c r="A11" s="1" t="s">
        <v>10</v>
      </c>
      <c r="B11" s="9">
        <v>0.0</v>
      </c>
      <c r="C11" s="9">
        <v>0.0</v>
      </c>
      <c r="D11" s="11">
        <v>0.0</v>
      </c>
      <c r="E11" s="9">
        <v>0.0</v>
      </c>
      <c r="F11" s="9">
        <v>0.0</v>
      </c>
      <c r="G11" s="11">
        <v>0.0</v>
      </c>
      <c r="H11" s="9">
        <v>0.0</v>
      </c>
      <c r="I11" s="9">
        <v>0.0</v>
      </c>
      <c r="J11" s="11">
        <v>0.0</v>
      </c>
      <c r="K11" s="9">
        <v>1.0</v>
      </c>
      <c r="L11" s="9">
        <v>0.0</v>
      </c>
      <c r="M11" s="11">
        <v>0.0</v>
      </c>
      <c r="N11" s="9">
        <v>2.0</v>
      </c>
      <c r="O11" s="9">
        <v>0.0</v>
      </c>
      <c r="P11" s="11">
        <v>2.0</v>
      </c>
      <c r="Q11" s="9">
        <v>2.0</v>
      </c>
      <c r="R11" s="9">
        <v>0.0</v>
      </c>
      <c r="S11" s="11">
        <v>2.0</v>
      </c>
    </row>
    <row r="12">
      <c r="A12" s="1" t="s">
        <v>11</v>
      </c>
      <c r="B12" s="9">
        <v>0.0</v>
      </c>
      <c r="C12" s="9">
        <v>0.0</v>
      </c>
      <c r="D12" s="11">
        <v>0.0</v>
      </c>
      <c r="E12" s="9">
        <v>0.0</v>
      </c>
      <c r="F12" s="9">
        <v>0.0</v>
      </c>
      <c r="G12" s="11">
        <v>0.0</v>
      </c>
      <c r="H12" s="9">
        <v>0.0</v>
      </c>
      <c r="I12" s="9">
        <v>0.0</v>
      </c>
      <c r="J12" s="11">
        <v>0.0</v>
      </c>
      <c r="K12" s="9">
        <v>1.0</v>
      </c>
      <c r="L12" s="9">
        <v>0.0</v>
      </c>
      <c r="M12" s="11">
        <v>0.0</v>
      </c>
      <c r="N12" s="9">
        <v>4.0</v>
      </c>
      <c r="O12" s="9">
        <v>0.0</v>
      </c>
      <c r="P12" s="11">
        <v>0.0</v>
      </c>
      <c r="Q12" s="9">
        <v>4.0</v>
      </c>
      <c r="R12" s="9">
        <v>0.0</v>
      </c>
      <c r="S12" s="11">
        <v>0.0</v>
      </c>
    </row>
    <row r="13">
      <c r="A13" s="1" t="s">
        <v>12</v>
      </c>
      <c r="B13" s="12">
        <v>8.0</v>
      </c>
      <c r="C13" s="12">
        <v>16.0</v>
      </c>
      <c r="D13" s="13">
        <v>19.0</v>
      </c>
      <c r="E13" s="12">
        <v>18.0</v>
      </c>
      <c r="F13" s="12">
        <v>39.0</v>
      </c>
      <c r="G13" s="13">
        <v>43.0</v>
      </c>
      <c r="H13" s="12">
        <v>35.0</v>
      </c>
      <c r="I13" s="12">
        <v>63.0</v>
      </c>
      <c r="J13" s="13">
        <v>65.0</v>
      </c>
      <c r="K13" s="12">
        <v>52.0</v>
      </c>
      <c r="L13" s="12">
        <v>92.0</v>
      </c>
      <c r="M13" s="13">
        <v>88.0</v>
      </c>
      <c r="N13" s="12">
        <v>65.0</v>
      </c>
      <c r="O13" s="12">
        <v>118.0</v>
      </c>
      <c r="P13" s="13">
        <v>118.0</v>
      </c>
      <c r="Q13" s="12">
        <v>79.0</v>
      </c>
      <c r="R13" s="12">
        <v>143.0</v>
      </c>
      <c r="S13" s="13">
        <v>163.0</v>
      </c>
    </row>
    <row r="14">
      <c r="A14" s="1" t="s">
        <v>13</v>
      </c>
      <c r="B14" s="12">
        <v>3.0</v>
      </c>
      <c r="C14" s="12">
        <v>1.0</v>
      </c>
      <c r="D14" s="13">
        <v>2.0</v>
      </c>
      <c r="E14" s="12">
        <v>12.0</v>
      </c>
      <c r="F14" s="12">
        <v>14.0</v>
      </c>
      <c r="G14" s="13">
        <v>19.0</v>
      </c>
      <c r="H14" s="12">
        <v>40.0</v>
      </c>
      <c r="I14" s="12">
        <v>48.0</v>
      </c>
      <c r="J14" s="13">
        <v>47.0</v>
      </c>
      <c r="K14" s="12">
        <v>71.0</v>
      </c>
      <c r="L14" s="12">
        <v>101.0</v>
      </c>
      <c r="M14" s="13">
        <v>83.0</v>
      </c>
      <c r="N14" s="12">
        <v>107.0</v>
      </c>
      <c r="O14" s="12">
        <v>155.0</v>
      </c>
      <c r="P14" s="13">
        <v>124.0</v>
      </c>
      <c r="Q14" s="12">
        <v>127.0</v>
      </c>
      <c r="R14" s="12">
        <v>196.0</v>
      </c>
      <c r="S14" s="13">
        <v>159.0</v>
      </c>
    </row>
    <row r="15">
      <c r="A15" s="1" t="s">
        <v>14</v>
      </c>
      <c r="B15" s="12">
        <v>0.0</v>
      </c>
      <c r="C15" s="12">
        <v>0.0</v>
      </c>
      <c r="D15" s="13">
        <v>0.0</v>
      </c>
      <c r="E15" s="12">
        <v>1.0</v>
      </c>
      <c r="F15" s="12">
        <v>1.0</v>
      </c>
      <c r="G15" s="13">
        <v>1.0</v>
      </c>
      <c r="H15" s="12">
        <v>14.0</v>
      </c>
      <c r="I15" s="12">
        <v>6.0</v>
      </c>
      <c r="J15" s="13">
        <v>8.0</v>
      </c>
      <c r="K15" s="12">
        <v>41.0</v>
      </c>
      <c r="L15" s="12">
        <v>18.0</v>
      </c>
      <c r="M15" s="13">
        <v>27.0</v>
      </c>
      <c r="N15" s="12">
        <v>60.0</v>
      </c>
      <c r="O15" s="12">
        <v>34.0</v>
      </c>
      <c r="P15" s="13">
        <v>54.0</v>
      </c>
      <c r="Q15" s="12">
        <v>69.0</v>
      </c>
      <c r="R15" s="12">
        <v>47.0</v>
      </c>
      <c r="S15" s="13">
        <v>75.0</v>
      </c>
    </row>
    <row r="16">
      <c r="A16" s="1" t="s">
        <v>15</v>
      </c>
      <c r="B16" s="12">
        <v>0.0</v>
      </c>
      <c r="C16" s="12">
        <v>0.0</v>
      </c>
      <c r="D16" s="10">
        <v>0.0</v>
      </c>
      <c r="E16" s="12">
        <v>0.0</v>
      </c>
      <c r="F16" s="12">
        <v>0.0</v>
      </c>
      <c r="G16" s="10">
        <v>0.0</v>
      </c>
      <c r="H16" s="12">
        <v>0.0</v>
      </c>
      <c r="I16" s="12">
        <v>0.0</v>
      </c>
      <c r="J16" s="10">
        <v>0.0</v>
      </c>
      <c r="K16" s="12">
        <v>2.0</v>
      </c>
      <c r="L16" s="12">
        <v>0.0</v>
      </c>
      <c r="M16" s="13">
        <v>0.0</v>
      </c>
      <c r="N16" s="12">
        <v>7.0</v>
      </c>
      <c r="O16" s="12">
        <v>0.0</v>
      </c>
      <c r="P16" s="13">
        <v>2.0</v>
      </c>
      <c r="Q16" s="12">
        <v>10.0</v>
      </c>
      <c r="R16" s="12">
        <v>0.0</v>
      </c>
      <c r="S16" s="13">
        <v>3.0</v>
      </c>
    </row>
    <row r="17">
      <c r="A17" s="1" t="s">
        <v>16</v>
      </c>
      <c r="B17" s="12">
        <v>0.0</v>
      </c>
      <c r="C17" s="12">
        <v>0.0</v>
      </c>
      <c r="D17" s="13">
        <v>0.0</v>
      </c>
      <c r="E17" s="12">
        <v>2.0</v>
      </c>
      <c r="F17" s="12">
        <v>0.0</v>
      </c>
      <c r="G17" s="13">
        <v>0.0</v>
      </c>
      <c r="H17" s="12">
        <v>5.0</v>
      </c>
      <c r="I17" s="12">
        <v>2.0</v>
      </c>
      <c r="J17" s="13">
        <v>2.0</v>
      </c>
      <c r="K17" s="12">
        <v>7.0</v>
      </c>
      <c r="L17" s="12">
        <v>5.0</v>
      </c>
      <c r="M17" s="13">
        <v>3.0</v>
      </c>
      <c r="N17" s="12">
        <v>9.0</v>
      </c>
      <c r="O17" s="12">
        <v>8.0</v>
      </c>
      <c r="P17" s="13">
        <v>4.0</v>
      </c>
      <c r="Q17" s="12">
        <v>11.0</v>
      </c>
      <c r="R17" s="12">
        <v>11.0</v>
      </c>
      <c r="S17" s="13">
        <v>5.0</v>
      </c>
    </row>
    <row r="18">
      <c r="A18" s="1" t="s">
        <v>17</v>
      </c>
      <c r="B18" s="12">
        <v>0.0</v>
      </c>
      <c r="C18" s="12">
        <v>0.0</v>
      </c>
      <c r="D18" s="13">
        <v>0.0</v>
      </c>
      <c r="E18" s="12">
        <v>2.0</v>
      </c>
      <c r="F18" s="12">
        <v>2.0</v>
      </c>
      <c r="G18" s="13">
        <v>3.0</v>
      </c>
      <c r="H18" s="12">
        <v>6.0</v>
      </c>
      <c r="I18" s="12">
        <v>6.0</v>
      </c>
      <c r="J18" s="13">
        <v>11.0</v>
      </c>
      <c r="K18" s="12">
        <v>13.0</v>
      </c>
      <c r="L18" s="12">
        <v>11.0</v>
      </c>
      <c r="M18" s="13">
        <v>20.0</v>
      </c>
      <c r="N18" s="12">
        <v>23.0</v>
      </c>
      <c r="O18" s="12">
        <v>17.0</v>
      </c>
      <c r="P18" s="13">
        <v>35.0</v>
      </c>
      <c r="Q18" s="12">
        <v>24.0</v>
      </c>
      <c r="R18" s="12">
        <v>20.0</v>
      </c>
      <c r="S18" s="13">
        <v>41.0</v>
      </c>
    </row>
    <row r="19">
      <c r="A19" s="1" t="s">
        <v>18</v>
      </c>
      <c r="B19" s="12">
        <v>0.0</v>
      </c>
      <c r="C19" s="12">
        <v>0.0</v>
      </c>
      <c r="D19" s="13">
        <v>0.0</v>
      </c>
      <c r="E19" s="12">
        <v>0.0</v>
      </c>
      <c r="F19" s="12">
        <v>0.0</v>
      </c>
      <c r="G19" s="13">
        <v>0.0</v>
      </c>
      <c r="H19" s="12">
        <v>0.0</v>
      </c>
      <c r="I19" s="12">
        <v>1.0</v>
      </c>
      <c r="J19" s="13">
        <v>0.0</v>
      </c>
      <c r="K19" s="12">
        <v>0.0</v>
      </c>
      <c r="L19" s="12">
        <v>2.0</v>
      </c>
      <c r="M19" s="13">
        <v>0.0</v>
      </c>
      <c r="N19" s="12">
        <v>0.0</v>
      </c>
      <c r="O19" s="12">
        <v>4.0</v>
      </c>
      <c r="P19" s="13">
        <v>0.0</v>
      </c>
      <c r="Q19" s="12">
        <v>1.0</v>
      </c>
      <c r="R19" s="12">
        <v>4.0</v>
      </c>
      <c r="S19" s="13">
        <v>1.0</v>
      </c>
    </row>
    <row r="20">
      <c r="A20" s="1" t="s">
        <v>19</v>
      </c>
      <c r="B20" s="12">
        <v>0.0</v>
      </c>
      <c r="C20" s="12">
        <v>0.0</v>
      </c>
      <c r="D20" s="10">
        <v>0.0</v>
      </c>
      <c r="E20" s="12">
        <v>0.0</v>
      </c>
      <c r="F20" s="12">
        <v>0.0</v>
      </c>
      <c r="G20" s="10">
        <v>0.0</v>
      </c>
      <c r="H20" s="12">
        <v>0.0</v>
      </c>
      <c r="I20" s="12">
        <v>0.0</v>
      </c>
      <c r="J20" s="13">
        <v>0.0</v>
      </c>
      <c r="K20" s="12">
        <v>0.0</v>
      </c>
      <c r="L20" s="12">
        <v>0.0</v>
      </c>
      <c r="M20" s="13">
        <v>0.0</v>
      </c>
      <c r="N20" s="12">
        <v>0.0</v>
      </c>
      <c r="O20" s="12">
        <v>0.0</v>
      </c>
      <c r="P20" s="13">
        <v>0.0</v>
      </c>
      <c r="Q20" s="12">
        <v>0.0</v>
      </c>
      <c r="R20" s="12">
        <v>0.0</v>
      </c>
      <c r="S20" s="13">
        <v>0.0</v>
      </c>
    </row>
    <row r="21">
      <c r="A21" s="1" t="s">
        <v>20</v>
      </c>
      <c r="B21" s="12">
        <f t="shared" ref="B21:S21" si="1">sum(B13:B16)</f>
        <v>11</v>
      </c>
      <c r="C21" s="12">
        <f t="shared" si="1"/>
        <v>17</v>
      </c>
      <c r="D21" s="13">
        <f t="shared" si="1"/>
        <v>21</v>
      </c>
      <c r="E21" s="12">
        <f t="shared" si="1"/>
        <v>31</v>
      </c>
      <c r="F21" s="12">
        <f t="shared" si="1"/>
        <v>54</v>
      </c>
      <c r="G21" s="13">
        <f t="shared" si="1"/>
        <v>63</v>
      </c>
      <c r="H21" s="12">
        <f t="shared" si="1"/>
        <v>89</v>
      </c>
      <c r="I21" s="12">
        <f t="shared" si="1"/>
        <v>117</v>
      </c>
      <c r="J21" s="13">
        <f t="shared" si="1"/>
        <v>120</v>
      </c>
      <c r="K21" s="12">
        <f t="shared" si="1"/>
        <v>166</v>
      </c>
      <c r="L21" s="12">
        <f t="shared" si="1"/>
        <v>211</v>
      </c>
      <c r="M21" s="13">
        <f t="shared" si="1"/>
        <v>198</v>
      </c>
      <c r="N21" s="12">
        <f t="shared" si="1"/>
        <v>239</v>
      </c>
      <c r="O21" s="12">
        <f t="shared" si="1"/>
        <v>307</v>
      </c>
      <c r="P21" s="13">
        <f t="shared" si="1"/>
        <v>298</v>
      </c>
      <c r="Q21" s="12">
        <f t="shared" si="1"/>
        <v>285</v>
      </c>
      <c r="R21" s="12">
        <f t="shared" si="1"/>
        <v>386</v>
      </c>
      <c r="S21" s="13">
        <f t="shared" si="1"/>
        <v>400</v>
      </c>
    </row>
    <row r="22">
      <c r="A22" s="1" t="s">
        <v>21</v>
      </c>
      <c r="B22" s="12">
        <f t="shared" ref="B22:S22" si="2">sum(B17:B20)</f>
        <v>0</v>
      </c>
      <c r="C22" s="12">
        <f t="shared" si="2"/>
        <v>0</v>
      </c>
      <c r="D22" s="13">
        <f t="shared" si="2"/>
        <v>0</v>
      </c>
      <c r="E22" s="12">
        <f t="shared" si="2"/>
        <v>4</v>
      </c>
      <c r="F22" s="12">
        <f t="shared" si="2"/>
        <v>2</v>
      </c>
      <c r="G22" s="13">
        <f t="shared" si="2"/>
        <v>3</v>
      </c>
      <c r="H22" s="12">
        <f t="shared" si="2"/>
        <v>11</v>
      </c>
      <c r="I22" s="12">
        <f t="shared" si="2"/>
        <v>9</v>
      </c>
      <c r="J22" s="13">
        <f t="shared" si="2"/>
        <v>13</v>
      </c>
      <c r="K22" s="12">
        <f t="shared" si="2"/>
        <v>20</v>
      </c>
      <c r="L22" s="12">
        <f t="shared" si="2"/>
        <v>18</v>
      </c>
      <c r="M22" s="13">
        <f t="shared" si="2"/>
        <v>23</v>
      </c>
      <c r="N22" s="12">
        <f t="shared" si="2"/>
        <v>32</v>
      </c>
      <c r="O22" s="12">
        <f t="shared" si="2"/>
        <v>29</v>
      </c>
      <c r="P22" s="13">
        <f t="shared" si="2"/>
        <v>39</v>
      </c>
      <c r="Q22" s="12">
        <f t="shared" si="2"/>
        <v>36</v>
      </c>
      <c r="R22" s="12">
        <f t="shared" si="2"/>
        <v>35</v>
      </c>
      <c r="S22" s="13">
        <f t="shared" si="2"/>
        <v>47</v>
      </c>
    </row>
    <row r="23">
      <c r="A23" s="1" t="s">
        <v>22</v>
      </c>
      <c r="B23" s="9">
        <v>79.68</v>
      </c>
      <c r="C23" s="9">
        <v>78.17</v>
      </c>
      <c r="D23" s="13">
        <v>80.71666667</v>
      </c>
      <c r="E23" s="9">
        <v>121.03</v>
      </c>
      <c r="F23" s="9">
        <v>136.7222222</v>
      </c>
      <c r="G23" s="11">
        <v>140.3647059</v>
      </c>
      <c r="H23" s="9">
        <v>159.56875</v>
      </c>
      <c r="I23" s="9">
        <v>172.4913043</v>
      </c>
      <c r="J23" s="11">
        <v>159.4826087</v>
      </c>
      <c r="K23" s="9">
        <v>181.105</v>
      </c>
      <c r="L23" s="9">
        <v>186.3448276</v>
      </c>
      <c r="M23" s="11">
        <v>171.762963</v>
      </c>
      <c r="N23" s="9">
        <v>187.8636364</v>
      </c>
      <c r="O23" s="9">
        <v>198.0242424</v>
      </c>
      <c r="P23" s="11">
        <v>166.1394737</v>
      </c>
      <c r="Q23" s="9">
        <v>204.1136364</v>
      </c>
      <c r="R23" s="9">
        <v>223.2454545</v>
      </c>
      <c r="S23" s="11">
        <v>194.5815789</v>
      </c>
    </row>
    <row r="24">
      <c r="A24" s="1" t="s">
        <v>23</v>
      </c>
      <c r="B24" s="9" t="s">
        <v>24</v>
      </c>
      <c r="C24" s="9" t="s">
        <v>24</v>
      </c>
      <c r="D24" s="11" t="s">
        <v>24</v>
      </c>
      <c r="E24" s="9" t="s">
        <v>24</v>
      </c>
      <c r="F24" s="9" t="s">
        <v>24</v>
      </c>
      <c r="G24" s="11" t="s">
        <v>24</v>
      </c>
      <c r="H24" s="9" t="s">
        <v>24</v>
      </c>
      <c r="I24" s="9" t="s">
        <v>24</v>
      </c>
      <c r="J24" s="11" t="s">
        <v>24</v>
      </c>
      <c r="K24" s="9" t="s">
        <v>24</v>
      </c>
      <c r="L24" s="9" t="s">
        <v>24</v>
      </c>
      <c r="M24" s="11" t="s">
        <v>24</v>
      </c>
      <c r="N24" s="9" t="s">
        <v>24</v>
      </c>
      <c r="O24" s="9" t="s">
        <v>24</v>
      </c>
      <c r="P24" s="11" t="s">
        <v>24</v>
      </c>
      <c r="Q24" s="19">
        <v>8.56</v>
      </c>
      <c r="R24" s="19">
        <v>7.42</v>
      </c>
      <c r="S24" s="15">
        <v>6.03</v>
      </c>
    </row>
    <row r="25">
      <c r="A25" s="8" t="s">
        <v>25</v>
      </c>
      <c r="B25" s="9" t="s">
        <v>24</v>
      </c>
      <c r="C25" s="9" t="s">
        <v>24</v>
      </c>
      <c r="D25" s="11" t="s">
        <v>24</v>
      </c>
      <c r="E25" s="9" t="s">
        <v>24</v>
      </c>
      <c r="F25" s="9" t="s">
        <v>24</v>
      </c>
      <c r="G25" s="11" t="s">
        <v>24</v>
      </c>
      <c r="H25" s="9" t="s">
        <v>24</v>
      </c>
      <c r="I25" s="9" t="s">
        <v>24</v>
      </c>
      <c r="J25" s="11" t="s">
        <v>24</v>
      </c>
      <c r="K25" s="9" t="s">
        <v>24</v>
      </c>
      <c r="L25" s="9" t="s">
        <v>24</v>
      </c>
      <c r="M25" s="11" t="s">
        <v>24</v>
      </c>
      <c r="N25" s="9" t="s">
        <v>24</v>
      </c>
      <c r="O25" s="9" t="s">
        <v>24</v>
      </c>
      <c r="P25" s="11" t="s">
        <v>24</v>
      </c>
      <c r="Q25" s="9">
        <v>2.0</v>
      </c>
      <c r="R25" s="9">
        <v>3.0</v>
      </c>
      <c r="S25" s="11">
        <v>4.0</v>
      </c>
    </row>
    <row r="26">
      <c r="A26" s="1" t="s">
        <v>26</v>
      </c>
      <c r="B26" s="12" t="s">
        <v>24</v>
      </c>
      <c r="C26" s="12" t="s">
        <v>24</v>
      </c>
      <c r="D26" s="13" t="s">
        <v>24</v>
      </c>
      <c r="E26" s="12" t="s">
        <v>24</v>
      </c>
      <c r="F26" s="12" t="s">
        <v>24</v>
      </c>
      <c r="G26" s="13" t="s">
        <v>24</v>
      </c>
      <c r="H26" s="12" t="s">
        <v>24</v>
      </c>
      <c r="I26" s="12" t="s">
        <v>24</v>
      </c>
      <c r="J26" s="13" t="s">
        <v>24</v>
      </c>
      <c r="K26" s="12" t="s">
        <v>24</v>
      </c>
      <c r="L26" s="12" t="s">
        <v>24</v>
      </c>
      <c r="M26" s="13" t="s">
        <v>24</v>
      </c>
      <c r="N26" s="12" t="s">
        <v>24</v>
      </c>
      <c r="O26" s="12" t="s">
        <v>24</v>
      </c>
      <c r="P26" s="13" t="s">
        <v>24</v>
      </c>
      <c r="Q26" s="12">
        <v>21.53065693</v>
      </c>
      <c r="R26" s="12">
        <v>19.75819672</v>
      </c>
      <c r="S26" s="13">
        <v>19.29906542</v>
      </c>
    </row>
    <row r="27">
      <c r="A27" s="1" t="s">
        <v>27</v>
      </c>
      <c r="B27" s="12" t="s">
        <v>24</v>
      </c>
      <c r="C27" s="12" t="s">
        <v>24</v>
      </c>
      <c r="D27" s="13" t="s">
        <v>24</v>
      </c>
      <c r="E27" s="12" t="s">
        <v>24</v>
      </c>
      <c r="F27" s="12" t="s">
        <v>24</v>
      </c>
      <c r="G27" s="13" t="s">
        <v>24</v>
      </c>
      <c r="H27" s="12" t="s">
        <v>24</v>
      </c>
      <c r="I27" s="12" t="s">
        <v>24</v>
      </c>
      <c r="J27" s="13" t="s">
        <v>24</v>
      </c>
      <c r="K27" s="12" t="s">
        <v>24</v>
      </c>
      <c r="L27" s="12" t="s">
        <v>24</v>
      </c>
      <c r="M27" s="13" t="s">
        <v>24</v>
      </c>
      <c r="N27" s="12" t="s">
        <v>24</v>
      </c>
      <c r="O27" s="12" t="s">
        <v>24</v>
      </c>
      <c r="P27" s="13" t="s">
        <v>24</v>
      </c>
      <c r="Q27" s="12">
        <v>23.875</v>
      </c>
      <c r="R27" s="12">
        <v>23.50714286</v>
      </c>
      <c r="S27" s="13">
        <v>22.08823529</v>
      </c>
    </row>
    <row r="28">
      <c r="A28" s="1" t="s">
        <v>28</v>
      </c>
      <c r="B28" s="12" t="s">
        <v>24</v>
      </c>
      <c r="C28" s="12" t="s">
        <v>24</v>
      </c>
      <c r="D28" s="13" t="s">
        <v>24</v>
      </c>
      <c r="E28" s="12" t="s">
        <v>24</v>
      </c>
      <c r="F28" s="12" t="s">
        <v>24</v>
      </c>
      <c r="G28" s="13" t="s">
        <v>24</v>
      </c>
      <c r="H28" s="12" t="s">
        <v>24</v>
      </c>
      <c r="I28" s="12" t="s">
        <v>24</v>
      </c>
      <c r="J28" s="13" t="s">
        <v>24</v>
      </c>
      <c r="K28" s="12" t="s">
        <v>24</v>
      </c>
      <c r="L28" s="12" t="s">
        <v>24</v>
      </c>
      <c r="M28" s="13" t="s">
        <v>24</v>
      </c>
      <c r="N28" s="12" t="s">
        <v>24</v>
      </c>
      <c r="O28" s="12" t="s">
        <v>24</v>
      </c>
      <c r="P28" s="13" t="s">
        <v>24</v>
      </c>
      <c r="Q28" s="12">
        <v>18.72189781</v>
      </c>
      <c r="R28" s="12">
        <v>18.73089431</v>
      </c>
      <c r="S28" s="13">
        <v>18.9728972</v>
      </c>
    </row>
    <row r="29">
      <c r="A29" s="1" t="s">
        <v>29</v>
      </c>
      <c r="B29" s="12" t="s">
        <v>24</v>
      </c>
      <c r="C29" s="12" t="s">
        <v>24</v>
      </c>
      <c r="D29" s="13" t="s">
        <v>24</v>
      </c>
      <c r="E29" s="12" t="s">
        <v>24</v>
      </c>
      <c r="F29" s="12" t="s">
        <v>24</v>
      </c>
      <c r="G29" s="13" t="s">
        <v>24</v>
      </c>
      <c r="H29" s="12" t="s">
        <v>24</v>
      </c>
      <c r="I29" s="12" t="s">
        <v>24</v>
      </c>
      <c r="J29" s="13" t="s">
        <v>24</v>
      </c>
      <c r="K29" s="12" t="s">
        <v>24</v>
      </c>
      <c r="L29" s="12" t="s">
        <v>24</v>
      </c>
      <c r="M29" s="13" t="s">
        <v>24</v>
      </c>
      <c r="N29" s="12" t="s">
        <v>24</v>
      </c>
      <c r="O29" s="12" t="s">
        <v>24</v>
      </c>
      <c r="P29" s="13" t="s">
        <v>24</v>
      </c>
      <c r="Q29" s="12">
        <v>20.2</v>
      </c>
      <c r="R29" s="12">
        <v>23.65714286</v>
      </c>
      <c r="S29" s="13">
        <v>21.92352941</v>
      </c>
    </row>
    <row r="30">
      <c r="A30" s="1" t="s">
        <v>30</v>
      </c>
      <c r="B30" s="12" t="s">
        <v>24</v>
      </c>
      <c r="C30" s="12" t="s">
        <v>24</v>
      </c>
      <c r="D30" s="13" t="s">
        <v>24</v>
      </c>
      <c r="E30" s="12" t="s">
        <v>24</v>
      </c>
      <c r="F30" s="12" t="s">
        <v>24</v>
      </c>
      <c r="G30" s="13" t="s">
        <v>24</v>
      </c>
      <c r="H30" s="12" t="s">
        <v>24</v>
      </c>
      <c r="I30" s="12" t="s">
        <v>24</v>
      </c>
      <c r="J30" s="13" t="s">
        <v>24</v>
      </c>
      <c r="K30" s="12" t="s">
        <v>24</v>
      </c>
      <c r="L30" s="12" t="s">
        <v>24</v>
      </c>
      <c r="M30" s="13" t="s">
        <v>24</v>
      </c>
      <c r="N30" s="12" t="s">
        <v>24</v>
      </c>
      <c r="O30" s="12" t="s">
        <v>24</v>
      </c>
      <c r="P30" s="13" t="s">
        <v>24</v>
      </c>
      <c r="Q30" s="12">
        <v>7.9</v>
      </c>
      <c r="R30" s="12" t="s">
        <v>24</v>
      </c>
      <c r="S30" s="13">
        <v>11.0</v>
      </c>
    </row>
    <row r="31">
      <c r="A31" s="1" t="s">
        <v>31</v>
      </c>
      <c r="B31" s="12" t="s">
        <v>24</v>
      </c>
      <c r="C31" s="12" t="s">
        <v>24</v>
      </c>
      <c r="D31" s="13" t="s">
        <v>24</v>
      </c>
      <c r="E31" s="12" t="s">
        <v>24</v>
      </c>
      <c r="F31" s="12" t="s">
        <v>24</v>
      </c>
      <c r="G31" s="13" t="s">
        <v>24</v>
      </c>
      <c r="H31" s="12" t="s">
        <v>24</v>
      </c>
      <c r="I31" s="12" t="s">
        <v>24</v>
      </c>
      <c r="J31" s="13" t="s">
        <v>24</v>
      </c>
      <c r="K31" s="12" t="s">
        <v>24</v>
      </c>
      <c r="L31" s="12" t="s">
        <v>24</v>
      </c>
      <c r="M31" s="13" t="s">
        <v>24</v>
      </c>
      <c r="N31" s="12" t="s">
        <v>24</v>
      </c>
      <c r="O31" s="12" t="s">
        <v>24</v>
      </c>
      <c r="P31" s="13" t="s">
        <v>24</v>
      </c>
      <c r="Q31" s="12">
        <v>11.066666667</v>
      </c>
      <c r="R31" s="12">
        <v>7.583333333</v>
      </c>
      <c r="S31" s="13">
        <v>10.05</v>
      </c>
    </row>
    <row r="32">
      <c r="A32" s="1" t="s">
        <v>32</v>
      </c>
      <c r="B32" s="9">
        <v>0.0</v>
      </c>
      <c r="C32" s="9">
        <v>0.0</v>
      </c>
      <c r="D32" s="11">
        <v>0.0</v>
      </c>
      <c r="E32" s="9">
        <v>0.0</v>
      </c>
      <c r="F32" s="9">
        <v>0.0</v>
      </c>
      <c r="G32" s="11">
        <v>0.0</v>
      </c>
      <c r="H32" s="9">
        <v>0.0</v>
      </c>
      <c r="I32" s="9">
        <v>0.0</v>
      </c>
      <c r="J32" s="11">
        <v>0.0</v>
      </c>
      <c r="K32" s="9">
        <v>0.0</v>
      </c>
      <c r="L32" s="9">
        <v>0.0</v>
      </c>
      <c r="M32" s="11">
        <v>0.0</v>
      </c>
      <c r="N32" s="9">
        <v>0.0</v>
      </c>
      <c r="O32" s="9">
        <v>0.0</v>
      </c>
      <c r="P32" s="11">
        <v>0.0</v>
      </c>
      <c r="Q32" s="9">
        <v>0.0</v>
      </c>
      <c r="R32" s="9">
        <v>0.0</v>
      </c>
      <c r="S32" s="11">
        <v>0.0</v>
      </c>
    </row>
    <row r="33">
      <c r="A33" s="1" t="s">
        <v>33</v>
      </c>
      <c r="B33" s="9">
        <v>0.0</v>
      </c>
      <c r="C33" s="9">
        <v>0.0</v>
      </c>
      <c r="D33" s="11">
        <v>0.0</v>
      </c>
      <c r="E33" s="9">
        <v>0.0</v>
      </c>
      <c r="F33" s="9">
        <v>0.0</v>
      </c>
      <c r="G33" s="11">
        <v>0.0</v>
      </c>
      <c r="H33" s="9">
        <v>0.0</v>
      </c>
      <c r="I33" s="9">
        <v>0.0</v>
      </c>
      <c r="J33" s="11">
        <v>0.0</v>
      </c>
      <c r="K33" s="9">
        <v>0.0</v>
      </c>
      <c r="L33" s="9">
        <v>0.0</v>
      </c>
      <c r="M33" s="11">
        <v>0.0</v>
      </c>
      <c r="N33" s="9">
        <v>0.0</v>
      </c>
      <c r="O33" s="9">
        <v>0.0</v>
      </c>
      <c r="P33" s="11">
        <v>0.0</v>
      </c>
      <c r="Q33" s="9">
        <v>0.0</v>
      </c>
      <c r="R33" s="9">
        <v>0.0</v>
      </c>
      <c r="S33" s="11">
        <v>0.0</v>
      </c>
    </row>
    <row r="34">
      <c r="A34" s="1" t="s">
        <v>34</v>
      </c>
      <c r="B34" s="9">
        <v>0.0</v>
      </c>
      <c r="C34" s="9">
        <v>0.0</v>
      </c>
      <c r="D34" s="11">
        <v>0.0</v>
      </c>
      <c r="E34" s="9">
        <v>0.0</v>
      </c>
      <c r="F34" s="9">
        <v>0.0</v>
      </c>
      <c r="G34" s="11">
        <v>0.0</v>
      </c>
      <c r="H34" s="9">
        <v>0.0</v>
      </c>
      <c r="I34" s="9">
        <v>0.0</v>
      </c>
      <c r="J34" s="11">
        <v>0.0</v>
      </c>
      <c r="K34" s="9">
        <v>0.0</v>
      </c>
      <c r="L34" s="9">
        <v>0.0</v>
      </c>
      <c r="M34" s="11">
        <v>0.0</v>
      </c>
      <c r="N34" s="9">
        <v>0.0</v>
      </c>
      <c r="O34" s="9">
        <v>0.0</v>
      </c>
      <c r="P34" s="11">
        <v>0.0</v>
      </c>
      <c r="Q34" s="9">
        <v>0.0</v>
      </c>
      <c r="R34" s="9">
        <v>0.0</v>
      </c>
      <c r="S34" s="11">
        <v>0.0</v>
      </c>
    </row>
    <row r="35">
      <c r="A35" s="1" t="s">
        <v>35</v>
      </c>
      <c r="B35" s="9">
        <v>0.0</v>
      </c>
      <c r="C35" s="9">
        <v>0.0</v>
      </c>
      <c r="D35" s="11">
        <v>0.0</v>
      </c>
      <c r="E35" s="9">
        <v>0.0</v>
      </c>
      <c r="F35" s="9">
        <v>0.0</v>
      </c>
      <c r="G35" s="11">
        <v>0.0</v>
      </c>
      <c r="H35" s="9">
        <v>0.0</v>
      </c>
      <c r="I35" s="9">
        <v>0.0</v>
      </c>
      <c r="J35" s="11">
        <v>0.0</v>
      </c>
      <c r="K35" s="9">
        <v>0.0</v>
      </c>
      <c r="L35" s="9">
        <v>0.0</v>
      </c>
      <c r="M35" s="11">
        <v>0.0</v>
      </c>
      <c r="N35" s="9">
        <v>0.0</v>
      </c>
      <c r="O35" s="9">
        <v>0.0</v>
      </c>
      <c r="P35" s="11">
        <v>0.0</v>
      </c>
      <c r="Q35" s="9">
        <v>0.0</v>
      </c>
      <c r="R35" s="9">
        <v>0.0</v>
      </c>
      <c r="S35" s="11">
        <v>0.0</v>
      </c>
    </row>
    <row r="36">
      <c r="A36" s="1" t="s">
        <v>36</v>
      </c>
      <c r="B36" s="9">
        <v>0.0</v>
      </c>
      <c r="C36" s="9">
        <v>0.0</v>
      </c>
      <c r="D36" s="11">
        <v>0.0</v>
      </c>
      <c r="E36" s="9">
        <v>0.0</v>
      </c>
      <c r="F36" s="9">
        <v>0.0</v>
      </c>
      <c r="G36" s="11">
        <v>0.0</v>
      </c>
      <c r="H36" s="9">
        <v>0.0</v>
      </c>
      <c r="I36" s="9">
        <v>0.0</v>
      </c>
      <c r="J36" s="11">
        <v>0.0</v>
      </c>
      <c r="K36" s="9">
        <v>0.0</v>
      </c>
      <c r="L36" s="9">
        <v>0.0</v>
      </c>
      <c r="M36" s="11">
        <v>0.0</v>
      </c>
      <c r="N36" s="9">
        <v>0.0</v>
      </c>
      <c r="O36" s="9">
        <v>0.0</v>
      </c>
      <c r="P36" s="11">
        <v>0.0</v>
      </c>
      <c r="Q36" s="9">
        <v>0.0</v>
      </c>
      <c r="R36" s="9">
        <v>0.0</v>
      </c>
      <c r="S36" s="11">
        <v>0.0</v>
      </c>
    </row>
    <row r="37">
      <c r="A37" s="1" t="s">
        <v>37</v>
      </c>
      <c r="B37" s="9">
        <v>0.0</v>
      </c>
      <c r="C37" s="9">
        <v>0.0</v>
      </c>
      <c r="D37" s="11">
        <v>0.0</v>
      </c>
      <c r="E37" s="9">
        <v>0.0</v>
      </c>
      <c r="F37" s="9">
        <v>0.0</v>
      </c>
      <c r="G37" s="11">
        <v>0.0</v>
      </c>
      <c r="H37" s="9">
        <v>0.0</v>
      </c>
      <c r="I37" s="9">
        <v>0.0</v>
      </c>
      <c r="J37" s="11">
        <v>0.0</v>
      </c>
      <c r="K37" s="9">
        <v>0.0</v>
      </c>
      <c r="L37" s="9">
        <v>0.0</v>
      </c>
      <c r="M37" s="11">
        <v>0.0</v>
      </c>
      <c r="N37" s="9">
        <v>0.0</v>
      </c>
      <c r="O37" s="9">
        <v>0.0</v>
      </c>
      <c r="P37" s="11">
        <v>0.0</v>
      </c>
      <c r="Q37" s="9">
        <v>0.0</v>
      </c>
      <c r="R37" s="9">
        <v>0.0</v>
      </c>
      <c r="S37" s="11">
        <v>0.0</v>
      </c>
    </row>
    <row r="38">
      <c r="A38" s="1" t="s">
        <v>38</v>
      </c>
      <c r="B38" s="9" t="s">
        <v>24</v>
      </c>
      <c r="C38" s="9" t="s">
        <v>41</v>
      </c>
      <c r="D38" s="11" t="s">
        <v>24</v>
      </c>
      <c r="E38" s="9" t="s">
        <v>24</v>
      </c>
      <c r="F38" s="9" t="s">
        <v>24</v>
      </c>
      <c r="G38" s="11" t="s">
        <v>24</v>
      </c>
      <c r="H38" s="9" t="s">
        <v>24</v>
      </c>
      <c r="I38" s="9" t="s">
        <v>24</v>
      </c>
      <c r="J38" s="11" t="s">
        <v>24</v>
      </c>
      <c r="K38" s="9" t="s">
        <v>24</v>
      </c>
      <c r="L38" s="9" t="s">
        <v>24</v>
      </c>
      <c r="M38" s="11" t="s">
        <v>24</v>
      </c>
      <c r="N38" s="9" t="s">
        <v>24</v>
      </c>
      <c r="O38" s="9" t="s">
        <v>24</v>
      </c>
      <c r="P38" s="11" t="s">
        <v>24</v>
      </c>
      <c r="Q38" s="12" t="s">
        <v>24</v>
      </c>
      <c r="R38" s="12" t="s">
        <v>24</v>
      </c>
      <c r="S38" s="13" t="s">
        <v>24</v>
      </c>
    </row>
    <row r="39">
      <c r="A39" s="1" t="s">
        <v>39</v>
      </c>
      <c r="B39" s="9" t="s">
        <v>24</v>
      </c>
      <c r="C39" s="9" t="s">
        <v>41</v>
      </c>
      <c r="D39" s="11" t="s">
        <v>24</v>
      </c>
      <c r="E39" s="9" t="s">
        <v>24</v>
      </c>
      <c r="F39" s="9" t="s">
        <v>24</v>
      </c>
      <c r="G39" s="11" t="s">
        <v>24</v>
      </c>
      <c r="H39" s="9" t="s">
        <v>24</v>
      </c>
      <c r="I39" s="9" t="s">
        <v>24</v>
      </c>
      <c r="J39" s="11" t="s">
        <v>24</v>
      </c>
      <c r="K39" s="9" t="s">
        <v>24</v>
      </c>
      <c r="L39" s="9" t="s">
        <v>24</v>
      </c>
      <c r="M39" s="11" t="s">
        <v>24</v>
      </c>
      <c r="N39" s="9" t="s">
        <v>24</v>
      </c>
      <c r="O39" s="9" t="s">
        <v>24</v>
      </c>
      <c r="P39" s="11" t="s">
        <v>24</v>
      </c>
      <c r="Q39" s="12">
        <v>0.7329139073</v>
      </c>
      <c r="R39" s="12">
        <v>0.6976691729</v>
      </c>
      <c r="S39" s="13">
        <v>0.7468595041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drawing r:id="rId1"/>
</worksheet>
</file>