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4"/>
    <sheet state="visible" name="Raw Updated 1" sheetId="2" r:id="rId5"/>
  </sheets>
  <definedNames/>
  <calcPr/>
  <extLst>
    <ext uri="GoogleSheetsCustomDataVersion2">
      <go:sheetsCustomData xmlns:go="http://customooxmlschemas.google.com/" r:id="rId6" roundtripDataChecksum="n7BB2So5K402BgyYjw7loS9KBJdmQyb5O7k4RK1d6k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ID#AAABh4M4l50
Ibraheem Olasupo    (2025-06-01 13:29:06)
Additional metrics to discuss with Abby @albope@ncsu.edu
_Assigned to albope@ncsu.edu_</t>
      </text>
    </comment>
  </commentList>
  <extLst>
    <ext uri="GoogleSheetsCustomDataVersion2">
      <go:sheetsCustomData xmlns:go="http://customooxmlschemas.google.com/" r:id="rId1" roundtripDataSignature="AMtx7mi+T6rxAVjcFX3pvjKbp/QlehJ4qw=="/>
    </ext>
  </extLst>
</comments>
</file>

<file path=xl/sharedStrings.xml><?xml version="1.0" encoding="utf-8"?>
<sst xmlns="http://schemas.openxmlformats.org/spreadsheetml/2006/main" count="91" uniqueCount="58">
  <si>
    <t>Cultivar</t>
  </si>
  <si>
    <t>Rep</t>
  </si>
  <si>
    <t>Pri stolon</t>
  </si>
  <si>
    <t>Sec stolon</t>
  </si>
  <si>
    <t>Ter stolon</t>
  </si>
  <si>
    <t>Sec st on alt node of pri st</t>
  </si>
  <si>
    <t>Sec st on alt node</t>
  </si>
  <si>
    <t>Ter st on mid node</t>
  </si>
  <si>
    <t xml:space="preserve">dp on alt of pri stolon </t>
  </si>
  <si>
    <t xml:space="preserve">dp on alt of sec stolon </t>
  </si>
  <si>
    <t xml:space="preserve">dp on alt of ter stolon </t>
  </si>
  <si>
    <t>dp on alt of quart stolon</t>
  </si>
  <si>
    <t>dp on mid of pri stolon</t>
  </si>
  <si>
    <t>dp on mid of sec stolon</t>
  </si>
  <si>
    <t>dp on mid of ter stolon</t>
  </si>
  <si>
    <t>dp on mid of quart stolon</t>
  </si>
  <si>
    <t>Total dp on alt</t>
  </si>
  <si>
    <t>Total dp on mid</t>
  </si>
  <si>
    <t>Pri Stolon length (cm)</t>
  </si>
  <si>
    <t>Crown diameter (mm)</t>
  </si>
  <si>
    <t>Branch crown mp</t>
  </si>
  <si>
    <t>Internode 1 of alt dp</t>
  </si>
  <si>
    <t>Internode 1 of mid dp</t>
  </si>
  <si>
    <t>Internode 2 of alt dp</t>
  </si>
  <si>
    <t>Internode 2 of mid dp</t>
  </si>
  <si>
    <t>Internode 3 of alt dp</t>
  </si>
  <si>
    <t>Internode 3 of mid dp</t>
  </si>
  <si>
    <t># Truss on mp /mp</t>
  </si>
  <si>
    <t># Truss on dp /mp</t>
  </si>
  <si>
    <t># Flowers mp/mp</t>
  </si>
  <si>
    <t># Flowers dp/mp</t>
  </si>
  <si>
    <t>#dp discardable/mp</t>
  </si>
  <si>
    <t xml:space="preserve">Dry matter g/dp </t>
  </si>
  <si>
    <t>Albion</t>
  </si>
  <si>
    <t>Ruby June</t>
  </si>
  <si>
    <t>Moxie</t>
  </si>
  <si>
    <t>Cabrillo</t>
  </si>
  <si>
    <t>Radiance</t>
  </si>
  <si>
    <t xml:space="preserve">Total dp </t>
  </si>
  <si>
    <t>Branch crown</t>
  </si>
  <si>
    <t>Alt dp/crown</t>
  </si>
  <si>
    <t>Mid dp/crown</t>
  </si>
  <si>
    <t>Alt dp/cm stolon</t>
  </si>
  <si>
    <t>Mid dp/cm stolon</t>
  </si>
  <si>
    <t>Pr st/crown</t>
  </si>
  <si>
    <t>Sec st/crown</t>
  </si>
  <si>
    <t>Ter st/crown</t>
  </si>
  <si>
    <t>Crown diameter dp (mm)</t>
  </si>
  <si>
    <t>Int 1 of alt dp</t>
  </si>
  <si>
    <t>Int 1 of mid dp</t>
  </si>
  <si>
    <t>Int 2 of alt dp</t>
  </si>
  <si>
    <t>Int 2 of mid dp</t>
  </si>
  <si>
    <t>Int 3 of alt dp</t>
  </si>
  <si>
    <t>Int 3 of mid dp</t>
  </si>
  <si>
    <t>Truss on mp</t>
  </si>
  <si>
    <t xml:space="preserve">Truss on dp </t>
  </si>
  <si>
    <t>Flowers mp</t>
  </si>
  <si>
    <t>Flowers dp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</si>
</sst>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color theme="1"/>
      <name val="Aptos Narrow"/>
      <scheme val="minor"/>
    </font>
    <font>
      <b/>
      <color theme="1"/>
      <name val="Arial"/>
    </font>
    <font>
      <color theme="1"/>
      <name val="Arial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3" fontId="4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75"/>
    <col customWidth="1" min="2" max="5" width="8.63"/>
    <col customWidth="1" min="6" max="10" width="18.0"/>
    <col customWidth="1" min="11" max="11" width="18.88"/>
    <col customWidth="1" min="12" max="12" width="18.25"/>
    <col customWidth="1" min="13" max="14" width="18.63"/>
    <col customWidth="1" min="15" max="15" width="19.5"/>
    <col customWidth="1" min="16" max="16" width="18.0"/>
    <col customWidth="1" min="17" max="18" width="12.5"/>
    <col customWidth="1" min="19" max="19" width="13.13"/>
    <col customWidth="1" min="20" max="21" width="8.63"/>
    <col customWidth="1" min="22" max="22" width="10.0"/>
    <col customWidth="1" min="23" max="23" width="17.0"/>
    <col customWidth="1" min="24" max="24" width="18.13"/>
    <col customWidth="1" min="25" max="25" width="17.88"/>
    <col customWidth="1" min="26" max="26" width="18.38"/>
    <col customWidth="1" min="27" max="29" width="20.5"/>
    <col customWidth="1" min="30" max="30" width="19.63"/>
    <col customWidth="1" min="31" max="31" width="14.88"/>
    <col customWidth="1" min="32" max="32" width="14.63"/>
    <col customWidth="1" min="33" max="33" width="16.25"/>
    <col customWidth="1" min="34" max="34" width="13.63"/>
    <col customWidth="1" min="35" max="45" width="8.63"/>
  </cols>
  <sheetData>
    <row r="1" ht="36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2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5" t="s">
        <v>31</v>
      </c>
      <c r="AH1" s="4" t="s">
        <v>32</v>
      </c>
    </row>
    <row r="2" ht="14.25" customHeight="1">
      <c r="A2" s="1"/>
      <c r="C2" s="6"/>
      <c r="D2" s="6"/>
      <c r="E2" s="6"/>
      <c r="L2" s="6"/>
      <c r="P2" s="6"/>
    </row>
    <row r="3" ht="14.25" customHeight="1">
      <c r="A3" s="1" t="s">
        <v>33</v>
      </c>
      <c r="B3" s="7">
        <v>1.0</v>
      </c>
      <c r="C3" s="6">
        <v>13.0</v>
      </c>
      <c r="D3" s="6">
        <v>6.0</v>
      </c>
      <c r="E3" s="6">
        <v>0.0</v>
      </c>
      <c r="F3" s="6"/>
      <c r="G3" s="6"/>
      <c r="H3" s="6"/>
      <c r="I3" s="6"/>
      <c r="J3" s="6">
        <v>51.0</v>
      </c>
      <c r="K3" s="6">
        <v>10.0</v>
      </c>
      <c r="L3" s="6">
        <v>0.0</v>
      </c>
      <c r="M3" s="6">
        <v>0.0</v>
      </c>
      <c r="N3" s="6">
        <v>2.0</v>
      </c>
      <c r="O3" s="6">
        <v>19.0</v>
      </c>
      <c r="P3" s="6">
        <v>0.0</v>
      </c>
      <c r="Q3" s="6">
        <v>0.0</v>
      </c>
      <c r="R3" s="6">
        <v>61.0</v>
      </c>
      <c r="S3" s="6">
        <v>21.0</v>
      </c>
      <c r="T3" s="6">
        <v>165.15</v>
      </c>
      <c r="U3" s="6">
        <v>9.640816327</v>
      </c>
      <c r="V3" s="6">
        <v>8.0</v>
      </c>
      <c r="W3" s="8">
        <v>22.46454545</v>
      </c>
      <c r="X3" s="6">
        <v>19.025</v>
      </c>
      <c r="Y3" s="8">
        <v>14.56060606</v>
      </c>
      <c r="Z3" s="8">
        <v>14.06875</v>
      </c>
      <c r="AA3" s="6"/>
      <c r="AB3" s="6"/>
      <c r="AC3" s="6">
        <v>66.0</v>
      </c>
      <c r="AD3" s="6">
        <v>19.0</v>
      </c>
      <c r="AE3" s="6">
        <v>277.0</v>
      </c>
      <c r="AF3" s="6">
        <v>46.0</v>
      </c>
      <c r="AG3" s="6">
        <v>22.0</v>
      </c>
      <c r="AH3" s="6">
        <v>1.396034483</v>
      </c>
    </row>
    <row r="4" ht="14.25" customHeight="1">
      <c r="A4" s="1" t="s">
        <v>33</v>
      </c>
      <c r="B4" s="7">
        <v>2.0</v>
      </c>
      <c r="C4" s="6">
        <v>16.0</v>
      </c>
      <c r="D4" s="6">
        <v>2.0</v>
      </c>
      <c r="E4" s="6">
        <v>1.0</v>
      </c>
      <c r="F4" s="6"/>
      <c r="G4" s="6"/>
      <c r="H4" s="6"/>
      <c r="I4" s="6"/>
      <c r="J4" s="6">
        <v>64.0</v>
      </c>
      <c r="K4" s="6">
        <v>10.0</v>
      </c>
      <c r="L4" s="6">
        <v>0.0</v>
      </c>
      <c r="M4" s="6">
        <v>0.0</v>
      </c>
      <c r="N4" s="6">
        <v>7.0</v>
      </c>
      <c r="O4" s="6">
        <v>0.0</v>
      </c>
      <c r="P4" s="6">
        <v>2.0</v>
      </c>
      <c r="Q4" s="9">
        <v>0.0</v>
      </c>
      <c r="R4" s="9">
        <v>74.0</v>
      </c>
      <c r="S4" s="9">
        <v>9.0</v>
      </c>
      <c r="T4" s="8">
        <v>148.9384615</v>
      </c>
      <c r="U4" s="8">
        <v>7.503076923</v>
      </c>
      <c r="V4" s="6">
        <v>8.0</v>
      </c>
      <c r="W4" s="8">
        <v>19.1627907</v>
      </c>
      <c r="X4" s="6"/>
      <c r="Y4" s="8">
        <v>13.87142857</v>
      </c>
      <c r="Z4" s="6"/>
      <c r="AA4" s="6"/>
      <c r="AB4" s="6"/>
      <c r="AC4" s="8">
        <v>46.0</v>
      </c>
      <c r="AD4" s="6">
        <v>5.0</v>
      </c>
      <c r="AE4" s="8">
        <v>163.0</v>
      </c>
      <c r="AF4" s="6">
        <v>14.0</v>
      </c>
      <c r="AG4" s="6">
        <v>19.0</v>
      </c>
      <c r="AH4" s="6">
        <v>0.9296721311</v>
      </c>
    </row>
    <row r="5" ht="14.25" customHeight="1">
      <c r="A5" s="1"/>
      <c r="Q5" s="10"/>
      <c r="R5" s="10"/>
      <c r="S5" s="10"/>
    </row>
    <row r="6" ht="14.25" customHeight="1">
      <c r="A6" s="1" t="s">
        <v>34</v>
      </c>
      <c r="B6" s="7">
        <v>1.0</v>
      </c>
      <c r="C6" s="6">
        <v>16.0</v>
      </c>
      <c r="D6" s="6">
        <v>12.0</v>
      </c>
      <c r="E6" s="6">
        <v>0.0</v>
      </c>
      <c r="F6" s="6"/>
      <c r="G6" s="6"/>
      <c r="H6" s="6"/>
      <c r="I6" s="6"/>
      <c r="J6" s="6">
        <v>56.0</v>
      </c>
      <c r="K6" s="6">
        <v>15.0</v>
      </c>
      <c r="L6" s="6">
        <v>0.0</v>
      </c>
      <c r="M6" s="6">
        <v>0.0</v>
      </c>
      <c r="N6" s="6">
        <v>16.0</v>
      </c>
      <c r="O6" s="6">
        <v>17.0</v>
      </c>
      <c r="P6" s="6">
        <v>0.0</v>
      </c>
      <c r="Q6" s="6">
        <v>0.0</v>
      </c>
      <c r="R6" s="6">
        <v>71.0</v>
      </c>
      <c r="S6" s="6">
        <v>33.0</v>
      </c>
      <c r="T6" s="8">
        <v>124.2875</v>
      </c>
      <c r="U6" s="8">
        <v>10.65782609</v>
      </c>
      <c r="V6" s="6">
        <v>4.0</v>
      </c>
      <c r="W6" s="8">
        <v>16.71</v>
      </c>
      <c r="X6" s="8">
        <v>16.7333333</v>
      </c>
      <c r="Y6" s="8">
        <v>13.4</v>
      </c>
      <c r="Z6" s="8">
        <v>16.46666667</v>
      </c>
      <c r="AA6" s="6"/>
      <c r="AB6" s="6"/>
      <c r="AC6" s="6">
        <v>57.0</v>
      </c>
      <c r="AD6" s="6">
        <v>5.0</v>
      </c>
      <c r="AE6" s="6">
        <v>99.0</v>
      </c>
      <c r="AF6" s="6">
        <v>12.0</v>
      </c>
      <c r="AG6" s="6">
        <v>47.0</v>
      </c>
      <c r="AH6" s="6">
        <v>1.085</v>
      </c>
    </row>
    <row r="7" ht="14.25" customHeight="1">
      <c r="A7" s="1" t="s">
        <v>34</v>
      </c>
      <c r="B7" s="7">
        <v>2.0</v>
      </c>
      <c r="C7" s="6">
        <v>19.0</v>
      </c>
      <c r="D7" s="6">
        <v>3.0</v>
      </c>
      <c r="E7" s="6">
        <v>0.0</v>
      </c>
      <c r="F7" s="6"/>
      <c r="G7" s="6"/>
      <c r="H7" s="6"/>
      <c r="I7" s="6"/>
      <c r="J7" s="6">
        <v>66.0</v>
      </c>
      <c r="K7" s="6">
        <v>2.0</v>
      </c>
      <c r="L7" s="6">
        <v>0.0</v>
      </c>
      <c r="M7" s="6">
        <v>0.0</v>
      </c>
      <c r="N7" s="6">
        <v>0.0</v>
      </c>
      <c r="O7" s="6">
        <v>3.0</v>
      </c>
      <c r="P7" s="6">
        <v>0.0</v>
      </c>
      <c r="Q7" s="6">
        <v>0.0</v>
      </c>
      <c r="R7" s="6">
        <v>68.0</v>
      </c>
      <c r="S7" s="6">
        <v>3.0</v>
      </c>
      <c r="T7" s="6">
        <v>117.4076923</v>
      </c>
      <c r="U7" s="6">
        <v>10.98066667</v>
      </c>
      <c r="V7" s="6">
        <v>5.0</v>
      </c>
      <c r="W7" s="6">
        <v>18.1133333</v>
      </c>
      <c r="X7" s="6"/>
      <c r="Y7" s="6">
        <v>16.72666667</v>
      </c>
      <c r="Z7" s="6"/>
      <c r="AA7" s="6"/>
      <c r="AB7" s="6"/>
      <c r="AC7" s="6">
        <v>40.0</v>
      </c>
      <c r="AD7" s="6">
        <v>29.0</v>
      </c>
      <c r="AE7" s="6">
        <v>109.0</v>
      </c>
      <c r="AF7" s="6">
        <v>62.0</v>
      </c>
      <c r="AG7" s="6">
        <v>14.0</v>
      </c>
      <c r="AH7" s="6">
        <v>1.561304348</v>
      </c>
    </row>
    <row r="8" ht="14.25" customHeight="1">
      <c r="A8" s="1"/>
    </row>
    <row r="9" ht="14.25" customHeight="1">
      <c r="A9" s="1" t="s">
        <v>35</v>
      </c>
      <c r="B9" s="7">
        <v>1.0</v>
      </c>
      <c r="C9" s="6">
        <v>13.0</v>
      </c>
      <c r="D9" s="6">
        <v>2.0</v>
      </c>
      <c r="E9" s="6">
        <v>0.0</v>
      </c>
      <c r="F9" s="6"/>
      <c r="G9" s="6"/>
      <c r="H9" s="6"/>
      <c r="I9" s="6"/>
      <c r="J9" s="6">
        <v>46.0</v>
      </c>
      <c r="K9" s="6">
        <v>7.0</v>
      </c>
      <c r="L9" s="6">
        <v>0.0</v>
      </c>
      <c r="M9" s="6">
        <v>0.0</v>
      </c>
      <c r="N9" s="6">
        <v>6.0</v>
      </c>
      <c r="O9" s="6">
        <v>0.0</v>
      </c>
      <c r="P9" s="6">
        <v>0.0</v>
      </c>
      <c r="Q9" s="6">
        <v>0.0</v>
      </c>
      <c r="R9" s="6">
        <v>53.0</v>
      </c>
      <c r="S9" s="6">
        <v>6.0</v>
      </c>
      <c r="T9" s="6">
        <v>102.9</v>
      </c>
      <c r="U9" s="6">
        <v>10.91166667</v>
      </c>
      <c r="V9" s="6">
        <v>7.0</v>
      </c>
      <c r="W9" s="6">
        <v>15.76315789</v>
      </c>
      <c r="X9" s="6">
        <v>18.34</v>
      </c>
      <c r="Y9" s="6">
        <v>11.88421053</v>
      </c>
      <c r="Z9" s="6">
        <v>13.52</v>
      </c>
      <c r="AA9" s="6"/>
      <c r="AB9" s="6"/>
      <c r="AC9" s="6">
        <v>63.0</v>
      </c>
      <c r="AD9" s="6">
        <v>4.0</v>
      </c>
      <c r="AE9" s="6">
        <v>209.0</v>
      </c>
      <c r="AF9" s="6">
        <v>11.0</v>
      </c>
      <c r="AG9" s="6">
        <v>11.0</v>
      </c>
      <c r="AH9" s="6">
        <v>1.3655</v>
      </c>
    </row>
    <row r="10" ht="14.25" customHeight="1">
      <c r="A10" s="1" t="s">
        <v>35</v>
      </c>
      <c r="B10" s="7">
        <v>2.0</v>
      </c>
      <c r="C10" s="6">
        <v>15.0</v>
      </c>
      <c r="D10" s="6">
        <v>3.0</v>
      </c>
      <c r="E10" s="6">
        <v>0.0</v>
      </c>
      <c r="F10" s="6"/>
      <c r="G10" s="6"/>
      <c r="H10" s="6"/>
      <c r="I10" s="6"/>
      <c r="J10" s="6">
        <v>63.0</v>
      </c>
      <c r="K10" s="6">
        <v>4.0</v>
      </c>
      <c r="L10" s="6">
        <v>0.0</v>
      </c>
      <c r="M10" s="6">
        <v>0.0</v>
      </c>
      <c r="N10" s="6">
        <v>4.0</v>
      </c>
      <c r="O10" s="6">
        <v>5.0</v>
      </c>
      <c r="P10" s="6">
        <v>0.0</v>
      </c>
      <c r="Q10" s="6">
        <v>0.0</v>
      </c>
      <c r="R10" s="6">
        <v>67.0</v>
      </c>
      <c r="S10" s="6">
        <v>9.0</v>
      </c>
      <c r="T10" s="6">
        <v>130.0727273</v>
      </c>
      <c r="U10" s="6">
        <v>11.10619048</v>
      </c>
      <c r="V10" s="6">
        <v>6.0</v>
      </c>
      <c r="W10" s="6">
        <v>17.9875</v>
      </c>
      <c r="X10" s="6">
        <v>17.78</v>
      </c>
      <c r="Y10" s="6">
        <v>13.41428571</v>
      </c>
      <c r="Z10" s="6">
        <v>15.9</v>
      </c>
      <c r="AA10" s="6"/>
      <c r="AB10" s="6"/>
      <c r="AC10" s="6">
        <v>35.0</v>
      </c>
      <c r="AD10" s="6">
        <v>24.0</v>
      </c>
      <c r="AE10" s="6">
        <v>137.0</v>
      </c>
      <c r="AF10" s="6">
        <v>50.0</v>
      </c>
      <c r="AG10" s="6">
        <v>11.0</v>
      </c>
      <c r="AH10" s="6">
        <v>1.708867925</v>
      </c>
    </row>
    <row r="11" ht="14.25" customHeight="1">
      <c r="A11" s="1"/>
    </row>
    <row r="12" ht="14.25" customHeight="1">
      <c r="A12" s="1" t="s">
        <v>36</v>
      </c>
      <c r="B12" s="7">
        <v>1.0</v>
      </c>
      <c r="C12" s="6">
        <v>33.0</v>
      </c>
      <c r="D12" s="6">
        <v>2.0</v>
      </c>
      <c r="E12" s="6">
        <v>0.0</v>
      </c>
      <c r="F12" s="6"/>
      <c r="G12" s="6"/>
      <c r="H12" s="6"/>
      <c r="I12" s="6"/>
      <c r="J12" s="6">
        <v>112.0</v>
      </c>
      <c r="K12" s="6">
        <v>8.0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120.0</v>
      </c>
      <c r="S12" s="6">
        <v>0.0</v>
      </c>
      <c r="T12" s="6">
        <v>130.3136364</v>
      </c>
      <c r="U12" s="6">
        <v>10.69791667</v>
      </c>
      <c r="V12" s="6">
        <v>7.0</v>
      </c>
      <c r="W12" s="6">
        <v>15.35</v>
      </c>
      <c r="X12" s="6"/>
      <c r="Y12" s="6">
        <v>11.59583333</v>
      </c>
      <c r="Z12" s="6"/>
      <c r="AA12" s="6"/>
      <c r="AB12" s="6"/>
      <c r="AC12" s="6">
        <v>63.0</v>
      </c>
      <c r="AD12" s="6">
        <v>11.0</v>
      </c>
      <c r="AE12" s="6">
        <v>230.0</v>
      </c>
      <c r="AF12" s="6">
        <v>32.0</v>
      </c>
      <c r="AG12" s="6">
        <v>3.0</v>
      </c>
      <c r="AH12" s="6">
        <v>1.011034483</v>
      </c>
    </row>
    <row r="13" ht="14.25" customHeight="1">
      <c r="A13" s="1" t="s">
        <v>36</v>
      </c>
      <c r="B13" s="7">
        <v>2.0</v>
      </c>
      <c r="C13" s="6">
        <v>23.0</v>
      </c>
      <c r="D13" s="6">
        <v>3.0</v>
      </c>
      <c r="E13" s="6">
        <v>0.0</v>
      </c>
      <c r="F13" s="6"/>
      <c r="G13" s="6"/>
      <c r="H13" s="6"/>
      <c r="I13" s="6"/>
      <c r="J13" s="6">
        <v>98.0</v>
      </c>
      <c r="K13" s="6">
        <v>5.0</v>
      </c>
      <c r="L13" s="6">
        <v>0.0</v>
      </c>
      <c r="M13" s="6">
        <v>0.0</v>
      </c>
      <c r="N13" s="6">
        <v>1.0</v>
      </c>
      <c r="O13" s="6">
        <v>5.0</v>
      </c>
      <c r="P13" s="6">
        <v>0.0</v>
      </c>
      <c r="Q13" s="6">
        <v>0.0</v>
      </c>
      <c r="R13" s="6">
        <v>103.0</v>
      </c>
      <c r="S13" s="6">
        <v>6.0</v>
      </c>
      <c r="T13" s="6">
        <v>132.4736842</v>
      </c>
      <c r="U13" s="6">
        <v>8.814516129</v>
      </c>
      <c r="V13" s="6">
        <v>9.0</v>
      </c>
      <c r="W13" s="6">
        <v>15.47307692</v>
      </c>
      <c r="X13" s="6">
        <v>13.94</v>
      </c>
      <c r="Y13" s="6">
        <v>11.90384615</v>
      </c>
      <c r="Z13" s="6">
        <v>10.64</v>
      </c>
      <c r="AA13" s="6"/>
      <c r="AB13" s="6"/>
      <c r="AC13" s="6">
        <v>86.0</v>
      </c>
      <c r="AD13" s="6">
        <v>8.0</v>
      </c>
      <c r="AE13" s="6">
        <v>299.0</v>
      </c>
      <c r="AF13" s="6">
        <v>20.0</v>
      </c>
      <c r="AG13" s="6">
        <v>24.0</v>
      </c>
      <c r="AH13" s="6">
        <v>1.074270833</v>
      </c>
    </row>
    <row r="14" ht="14.25" customHeight="1">
      <c r="A14" s="1"/>
    </row>
    <row r="15" ht="14.25" customHeight="1">
      <c r="A15" s="1" t="s">
        <v>37</v>
      </c>
      <c r="B15" s="7">
        <v>1.0</v>
      </c>
      <c r="C15" s="6">
        <v>25.0</v>
      </c>
      <c r="D15" s="6">
        <v>31.0</v>
      </c>
      <c r="E15" s="6">
        <v>15.0</v>
      </c>
      <c r="F15" s="6"/>
      <c r="G15" s="6"/>
      <c r="H15" s="6"/>
      <c r="I15" s="6"/>
      <c r="J15" s="6">
        <v>71.0</v>
      </c>
      <c r="K15" s="6">
        <v>45.0</v>
      </c>
      <c r="L15" s="6">
        <v>18.0</v>
      </c>
      <c r="M15" s="6">
        <v>0.0</v>
      </c>
      <c r="N15" s="6">
        <v>14.0</v>
      </c>
      <c r="O15" s="6">
        <v>24.0</v>
      </c>
      <c r="P15" s="6">
        <v>8.0</v>
      </c>
      <c r="Q15" s="6">
        <v>0.0</v>
      </c>
      <c r="R15" s="6">
        <v>134.0</v>
      </c>
      <c r="S15" s="6">
        <v>46.0</v>
      </c>
      <c r="T15" s="6">
        <v>136.88</v>
      </c>
      <c r="U15" s="6">
        <v>8.74333333333333</v>
      </c>
      <c r="V15" s="6">
        <v>2.0</v>
      </c>
      <c r="W15" s="6">
        <v>22.58235294</v>
      </c>
      <c r="X15" s="6">
        <v>23.9333333333</v>
      </c>
      <c r="Y15" s="6">
        <v>19.66470588</v>
      </c>
      <c r="Z15" s="6">
        <v>19.3</v>
      </c>
      <c r="AA15" s="6"/>
      <c r="AB15" s="6">
        <v>15.2</v>
      </c>
      <c r="AC15" s="6">
        <v>9.0</v>
      </c>
      <c r="AD15" s="6">
        <v>16.0</v>
      </c>
      <c r="AE15" s="6">
        <v>45.0</v>
      </c>
      <c r="AF15" s="6">
        <v>37.0</v>
      </c>
      <c r="AG15" s="6">
        <v>3.0</v>
      </c>
      <c r="AH15" s="6">
        <v>0.9374418605</v>
      </c>
    </row>
    <row r="16" ht="14.25" customHeight="1">
      <c r="A16" s="1" t="s">
        <v>37</v>
      </c>
      <c r="B16" s="7">
        <v>2.0</v>
      </c>
      <c r="C16" s="6">
        <v>16.0</v>
      </c>
      <c r="D16" s="6">
        <v>26.0</v>
      </c>
      <c r="E16" s="6">
        <v>23.0</v>
      </c>
      <c r="F16" s="6"/>
      <c r="G16" s="6"/>
      <c r="H16" s="6"/>
      <c r="I16" s="6"/>
      <c r="J16" s="6">
        <v>26.0</v>
      </c>
      <c r="K16" s="6">
        <v>45.0</v>
      </c>
      <c r="L16" s="6">
        <v>27.0</v>
      </c>
      <c r="M16" s="6">
        <v>2.0</v>
      </c>
      <c r="N16" s="6">
        <v>24.0</v>
      </c>
      <c r="O16" s="6">
        <v>35.0</v>
      </c>
      <c r="P16" s="6">
        <v>22.0</v>
      </c>
      <c r="Q16" s="6">
        <v>0.0</v>
      </c>
      <c r="R16" s="6">
        <v>100.0</v>
      </c>
      <c r="S16" s="6">
        <v>81.0</v>
      </c>
      <c r="T16" s="6">
        <v>166.7909091</v>
      </c>
      <c r="U16" s="6">
        <v>9.97275</v>
      </c>
      <c r="V16" s="6">
        <v>2.0</v>
      </c>
      <c r="W16" s="6">
        <v>24.1</v>
      </c>
      <c r="X16" s="6">
        <v>20.444</v>
      </c>
      <c r="Y16" s="6">
        <v>17.85333333</v>
      </c>
      <c r="Z16" s="6">
        <v>18.6</v>
      </c>
      <c r="AA16" s="6">
        <v>13.6</v>
      </c>
      <c r="AB16" s="6">
        <v>15.85</v>
      </c>
      <c r="AC16" s="6">
        <v>7.0</v>
      </c>
      <c r="AD16" s="6">
        <v>14.0</v>
      </c>
      <c r="AE16" s="6">
        <v>36.0</v>
      </c>
      <c r="AF16" s="6">
        <v>36.0</v>
      </c>
      <c r="AG16" s="6">
        <v>5.0</v>
      </c>
      <c r="AH16" s="6">
        <v>1.0223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9.25"/>
    <col customWidth="1" min="2" max="2" width="4.5"/>
    <col customWidth="1" min="3" max="3" width="8.88"/>
    <col customWidth="1" min="4" max="4" width="9.5"/>
    <col customWidth="1" min="5" max="5" width="9.25"/>
    <col customWidth="1" min="16" max="16" width="9.88"/>
    <col customWidth="1" min="31" max="31" width="11.75"/>
    <col customWidth="1" min="33" max="33" width="11.0"/>
    <col customWidth="1" min="34" max="35" width="10.5"/>
    <col customWidth="1" min="36" max="36" width="10.25"/>
    <col customWidth="1" min="37" max="37" width="13.63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8</v>
      </c>
      <c r="G1" s="8" t="s">
        <v>9</v>
      </c>
      <c r="H1" s="8" t="s">
        <v>10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17</v>
      </c>
      <c r="P1" s="6" t="s">
        <v>38</v>
      </c>
      <c r="Q1" s="6" t="s">
        <v>39</v>
      </c>
      <c r="R1" s="8" t="s">
        <v>18</v>
      </c>
      <c r="S1" s="6" t="s">
        <v>40</v>
      </c>
      <c r="T1" s="6" t="s">
        <v>41</v>
      </c>
      <c r="U1" s="6" t="s">
        <v>42</v>
      </c>
      <c r="V1" s="6" t="s">
        <v>43</v>
      </c>
      <c r="W1" s="6" t="s">
        <v>44</v>
      </c>
      <c r="X1" s="6" t="s">
        <v>45</v>
      </c>
      <c r="Y1" s="6" t="s">
        <v>46</v>
      </c>
      <c r="Z1" s="6" t="s">
        <v>47</v>
      </c>
      <c r="AA1" s="6" t="s">
        <v>48</v>
      </c>
      <c r="AB1" s="6" t="s">
        <v>49</v>
      </c>
      <c r="AC1" s="6" t="s">
        <v>50</v>
      </c>
      <c r="AD1" s="6" t="s">
        <v>51</v>
      </c>
      <c r="AE1" s="6" t="s">
        <v>52</v>
      </c>
      <c r="AF1" s="6" t="s">
        <v>53</v>
      </c>
      <c r="AG1" s="6" t="s">
        <v>54</v>
      </c>
      <c r="AH1" s="6" t="s">
        <v>55</v>
      </c>
      <c r="AI1" s="6" t="s">
        <v>56</v>
      </c>
      <c r="AJ1" s="6" t="s">
        <v>57</v>
      </c>
      <c r="AK1" s="8" t="s">
        <v>32</v>
      </c>
      <c r="AL1" s="6"/>
    </row>
    <row r="2">
      <c r="A2" s="7" t="s">
        <v>33</v>
      </c>
      <c r="B2" s="7">
        <v>1.0</v>
      </c>
      <c r="C2" s="8">
        <v>13.0</v>
      </c>
      <c r="D2" s="8">
        <v>6.0</v>
      </c>
      <c r="E2" s="8">
        <v>0.0</v>
      </c>
      <c r="F2" s="8">
        <v>51.0</v>
      </c>
      <c r="G2" s="8">
        <v>10.0</v>
      </c>
      <c r="H2" s="8">
        <v>0.0</v>
      </c>
      <c r="I2" s="8">
        <v>0.0</v>
      </c>
      <c r="J2" s="8">
        <v>2.0</v>
      </c>
      <c r="K2" s="8">
        <v>19.0</v>
      </c>
      <c r="L2" s="8">
        <v>0.0</v>
      </c>
      <c r="M2" s="8">
        <v>0.0</v>
      </c>
      <c r="N2" s="8">
        <v>61.0</v>
      </c>
      <c r="O2" s="8">
        <v>21.0</v>
      </c>
      <c r="P2" s="8">
        <f t="shared" ref="P2:P11" si="1">SUM(N2,O2)</f>
        <v>82</v>
      </c>
      <c r="Q2" s="8">
        <v>8.0</v>
      </c>
      <c r="R2" s="8">
        <v>165.15</v>
      </c>
      <c r="S2" s="8">
        <f t="shared" ref="S2:S11" si="2">N2/Q2</f>
        <v>7.625</v>
      </c>
      <c r="T2" s="8">
        <f t="shared" ref="T2:T11" si="3">O2/Q2</f>
        <v>2.625</v>
      </c>
      <c r="U2" s="8">
        <f t="shared" ref="U2:U11" si="4">N2/R2</f>
        <v>0.3693611868</v>
      </c>
      <c r="V2" s="8">
        <f t="shared" ref="V2:V11" si="5">O2/R2</f>
        <v>0.1271571299</v>
      </c>
      <c r="W2" s="8">
        <f t="shared" ref="W2:W11" si="6">C2/Q2</f>
        <v>1.625</v>
      </c>
      <c r="X2" s="8">
        <f t="shared" ref="X2:X11" si="7">D2/Q2</f>
        <v>0.75</v>
      </c>
      <c r="Y2" s="8">
        <f t="shared" ref="Y2:Y11" si="8">E2/Q2</f>
        <v>0</v>
      </c>
      <c r="Z2" s="8">
        <v>9.640816327</v>
      </c>
      <c r="AA2" s="8">
        <v>22.46454545</v>
      </c>
      <c r="AB2" s="8">
        <v>19.025</v>
      </c>
      <c r="AC2" s="8">
        <v>14.56060606</v>
      </c>
      <c r="AD2" s="8">
        <v>14.06875</v>
      </c>
      <c r="AE2" s="8"/>
      <c r="AF2" s="8"/>
      <c r="AG2" s="8">
        <v>66.0</v>
      </c>
      <c r="AH2" s="8">
        <v>19.0</v>
      </c>
      <c r="AI2" s="8">
        <v>277.0</v>
      </c>
      <c r="AJ2" s="8">
        <v>46.0</v>
      </c>
      <c r="AK2" s="8">
        <v>1.396034483</v>
      </c>
    </row>
    <row r="3">
      <c r="A3" s="7" t="s">
        <v>33</v>
      </c>
      <c r="B3" s="7">
        <v>2.0</v>
      </c>
      <c r="C3" s="8">
        <v>16.0</v>
      </c>
      <c r="D3" s="8">
        <v>2.0</v>
      </c>
      <c r="E3" s="8">
        <v>1.0</v>
      </c>
      <c r="F3" s="8">
        <v>64.0</v>
      </c>
      <c r="G3" s="8">
        <v>10.0</v>
      </c>
      <c r="H3" s="8">
        <v>0.0</v>
      </c>
      <c r="I3" s="8">
        <v>0.0</v>
      </c>
      <c r="J3" s="8">
        <v>7.0</v>
      </c>
      <c r="K3" s="8">
        <v>0.0</v>
      </c>
      <c r="L3" s="8">
        <v>2.0</v>
      </c>
      <c r="M3" s="8">
        <v>0.0</v>
      </c>
      <c r="N3" s="8">
        <v>74.0</v>
      </c>
      <c r="O3" s="8">
        <v>9.0</v>
      </c>
      <c r="P3" s="8">
        <f t="shared" si="1"/>
        <v>83</v>
      </c>
      <c r="Q3" s="8">
        <v>8.0</v>
      </c>
      <c r="R3" s="8">
        <v>148.9384615</v>
      </c>
      <c r="S3" s="8">
        <f t="shared" si="2"/>
        <v>9.25</v>
      </c>
      <c r="T3" s="8">
        <f t="shared" si="3"/>
        <v>1.125</v>
      </c>
      <c r="U3" s="8">
        <f t="shared" si="4"/>
        <v>0.4968494991</v>
      </c>
      <c r="V3" s="8">
        <f t="shared" si="5"/>
        <v>0.06042764179</v>
      </c>
      <c r="W3" s="8">
        <f t="shared" si="6"/>
        <v>2</v>
      </c>
      <c r="X3" s="8">
        <f t="shared" si="7"/>
        <v>0.25</v>
      </c>
      <c r="Y3" s="8">
        <f t="shared" si="8"/>
        <v>0.125</v>
      </c>
      <c r="Z3" s="8">
        <v>7.503076923</v>
      </c>
      <c r="AA3" s="8">
        <v>19.1627907</v>
      </c>
      <c r="AB3" s="8"/>
      <c r="AC3" s="8">
        <v>13.87142857</v>
      </c>
      <c r="AD3" s="8"/>
      <c r="AE3" s="8"/>
      <c r="AF3" s="8"/>
      <c r="AG3" s="8">
        <v>46.0</v>
      </c>
      <c r="AH3" s="8">
        <v>5.0</v>
      </c>
      <c r="AI3" s="8">
        <v>163.0</v>
      </c>
      <c r="AJ3" s="8">
        <v>14.0</v>
      </c>
      <c r="AK3" s="8">
        <v>0.9296721311</v>
      </c>
    </row>
    <row r="4">
      <c r="A4" s="7" t="s">
        <v>34</v>
      </c>
      <c r="B4" s="7">
        <v>1.0</v>
      </c>
      <c r="C4" s="8">
        <v>16.0</v>
      </c>
      <c r="D4" s="8">
        <v>12.0</v>
      </c>
      <c r="E4" s="8">
        <v>0.0</v>
      </c>
      <c r="F4" s="8">
        <v>56.0</v>
      </c>
      <c r="G4" s="8">
        <v>15.0</v>
      </c>
      <c r="H4" s="8">
        <v>0.0</v>
      </c>
      <c r="I4" s="8">
        <v>0.0</v>
      </c>
      <c r="J4" s="8">
        <v>16.0</v>
      </c>
      <c r="K4" s="8">
        <v>17.0</v>
      </c>
      <c r="L4" s="8">
        <v>0.0</v>
      </c>
      <c r="M4" s="8">
        <v>0.0</v>
      </c>
      <c r="N4" s="8">
        <v>71.0</v>
      </c>
      <c r="O4" s="8">
        <v>33.0</v>
      </c>
      <c r="P4" s="8">
        <f t="shared" si="1"/>
        <v>104</v>
      </c>
      <c r="Q4" s="8">
        <v>4.0</v>
      </c>
      <c r="R4" s="8">
        <v>124.2875</v>
      </c>
      <c r="S4" s="8">
        <f t="shared" si="2"/>
        <v>17.75</v>
      </c>
      <c r="T4" s="8">
        <f t="shared" si="3"/>
        <v>8.25</v>
      </c>
      <c r="U4" s="8">
        <f t="shared" si="4"/>
        <v>0.5712561601</v>
      </c>
      <c r="V4" s="8">
        <f t="shared" si="5"/>
        <v>0.2655134265</v>
      </c>
      <c r="W4" s="8">
        <f t="shared" si="6"/>
        <v>4</v>
      </c>
      <c r="X4" s="8">
        <f t="shared" si="7"/>
        <v>3</v>
      </c>
      <c r="Y4" s="8">
        <f t="shared" si="8"/>
        <v>0</v>
      </c>
      <c r="Z4" s="8">
        <v>10.65782609</v>
      </c>
      <c r="AA4" s="8">
        <v>16.71</v>
      </c>
      <c r="AB4" s="8">
        <v>16.7333333</v>
      </c>
      <c r="AC4" s="8">
        <v>13.4</v>
      </c>
      <c r="AD4" s="8">
        <v>16.46666667</v>
      </c>
      <c r="AE4" s="8"/>
      <c r="AF4" s="8"/>
      <c r="AG4" s="8">
        <v>57.0</v>
      </c>
      <c r="AH4" s="8">
        <v>5.0</v>
      </c>
      <c r="AI4" s="8">
        <v>99.0</v>
      </c>
      <c r="AJ4" s="8">
        <v>12.0</v>
      </c>
      <c r="AK4" s="8">
        <v>1.085</v>
      </c>
    </row>
    <row r="5">
      <c r="A5" s="7" t="s">
        <v>34</v>
      </c>
      <c r="B5" s="7">
        <v>2.0</v>
      </c>
      <c r="C5" s="8">
        <v>19.0</v>
      </c>
      <c r="D5" s="8">
        <v>3.0</v>
      </c>
      <c r="E5" s="8">
        <v>0.0</v>
      </c>
      <c r="F5" s="8">
        <v>66.0</v>
      </c>
      <c r="G5" s="8">
        <v>2.0</v>
      </c>
      <c r="H5" s="8">
        <v>0.0</v>
      </c>
      <c r="I5" s="8">
        <v>0.0</v>
      </c>
      <c r="J5" s="8">
        <v>0.0</v>
      </c>
      <c r="K5" s="8">
        <v>3.0</v>
      </c>
      <c r="L5" s="8">
        <v>0.0</v>
      </c>
      <c r="M5" s="8">
        <v>0.0</v>
      </c>
      <c r="N5" s="8">
        <v>68.0</v>
      </c>
      <c r="O5" s="8">
        <v>3.0</v>
      </c>
      <c r="P5" s="8">
        <f t="shared" si="1"/>
        <v>71</v>
      </c>
      <c r="Q5" s="8">
        <v>5.0</v>
      </c>
      <c r="R5" s="8">
        <v>117.4076923</v>
      </c>
      <c r="S5" s="8">
        <f t="shared" si="2"/>
        <v>13.6</v>
      </c>
      <c r="T5" s="8">
        <f t="shared" si="3"/>
        <v>0.6</v>
      </c>
      <c r="U5" s="8">
        <f t="shared" si="4"/>
        <v>0.5791784053</v>
      </c>
      <c r="V5" s="8">
        <f t="shared" si="5"/>
        <v>0.02555198847</v>
      </c>
      <c r="W5" s="8">
        <f t="shared" si="6"/>
        <v>3.8</v>
      </c>
      <c r="X5" s="8">
        <f t="shared" si="7"/>
        <v>0.6</v>
      </c>
      <c r="Y5" s="8">
        <f t="shared" si="8"/>
        <v>0</v>
      </c>
      <c r="Z5" s="8">
        <v>10.98066667</v>
      </c>
      <c r="AA5" s="8">
        <v>18.1133333</v>
      </c>
      <c r="AB5" s="8"/>
      <c r="AC5" s="8">
        <v>16.72666667</v>
      </c>
      <c r="AD5" s="8"/>
      <c r="AE5" s="8"/>
      <c r="AF5" s="8"/>
      <c r="AG5" s="8">
        <v>40.0</v>
      </c>
      <c r="AH5" s="8">
        <v>29.0</v>
      </c>
      <c r="AI5" s="8">
        <v>109.0</v>
      </c>
      <c r="AJ5" s="8">
        <v>62.0</v>
      </c>
      <c r="AK5" s="8">
        <v>1.561304348</v>
      </c>
    </row>
    <row r="6">
      <c r="A6" s="7" t="s">
        <v>35</v>
      </c>
      <c r="B6" s="7">
        <v>1.0</v>
      </c>
      <c r="C6" s="8">
        <v>13.0</v>
      </c>
      <c r="D6" s="8">
        <v>2.0</v>
      </c>
      <c r="E6" s="8">
        <v>0.0</v>
      </c>
      <c r="F6" s="8">
        <v>46.0</v>
      </c>
      <c r="G6" s="8">
        <v>7.0</v>
      </c>
      <c r="H6" s="8">
        <v>0.0</v>
      </c>
      <c r="I6" s="8">
        <v>0.0</v>
      </c>
      <c r="J6" s="8">
        <v>6.0</v>
      </c>
      <c r="K6" s="8">
        <v>0.0</v>
      </c>
      <c r="L6" s="8">
        <v>0.0</v>
      </c>
      <c r="M6" s="8">
        <v>0.0</v>
      </c>
      <c r="N6" s="8">
        <v>53.0</v>
      </c>
      <c r="O6" s="8">
        <v>6.0</v>
      </c>
      <c r="P6" s="8">
        <f t="shared" si="1"/>
        <v>59</v>
      </c>
      <c r="Q6" s="8">
        <v>7.0</v>
      </c>
      <c r="R6" s="8">
        <v>102.9</v>
      </c>
      <c r="S6" s="8">
        <f t="shared" si="2"/>
        <v>7.571428571</v>
      </c>
      <c r="T6" s="8">
        <f t="shared" si="3"/>
        <v>0.8571428571</v>
      </c>
      <c r="U6" s="8">
        <f t="shared" si="4"/>
        <v>0.5150631681</v>
      </c>
      <c r="V6" s="8">
        <f t="shared" si="5"/>
        <v>0.0583090379</v>
      </c>
      <c r="W6" s="8">
        <f t="shared" si="6"/>
        <v>1.857142857</v>
      </c>
      <c r="X6" s="8">
        <f t="shared" si="7"/>
        <v>0.2857142857</v>
      </c>
      <c r="Y6" s="8">
        <f t="shared" si="8"/>
        <v>0</v>
      </c>
      <c r="Z6" s="8">
        <v>10.91166667</v>
      </c>
      <c r="AA6" s="8">
        <v>15.76315789</v>
      </c>
      <c r="AB6" s="8">
        <v>18.34</v>
      </c>
      <c r="AC6" s="8">
        <v>11.88421053</v>
      </c>
      <c r="AD6" s="8">
        <v>13.52</v>
      </c>
      <c r="AE6" s="8"/>
      <c r="AF6" s="8"/>
      <c r="AG6" s="8">
        <v>63.0</v>
      </c>
      <c r="AH6" s="8">
        <v>4.0</v>
      </c>
      <c r="AI6" s="8">
        <v>209.0</v>
      </c>
      <c r="AJ6" s="8">
        <v>11.0</v>
      </c>
      <c r="AK6" s="8">
        <v>1.3655</v>
      </c>
    </row>
    <row r="7">
      <c r="A7" s="7" t="s">
        <v>35</v>
      </c>
      <c r="B7" s="7">
        <v>2.0</v>
      </c>
      <c r="C7" s="8">
        <v>15.0</v>
      </c>
      <c r="D7" s="8">
        <v>3.0</v>
      </c>
      <c r="E7" s="8">
        <v>0.0</v>
      </c>
      <c r="F7" s="8">
        <v>63.0</v>
      </c>
      <c r="G7" s="8">
        <v>4.0</v>
      </c>
      <c r="H7" s="8">
        <v>0.0</v>
      </c>
      <c r="I7" s="8">
        <v>0.0</v>
      </c>
      <c r="J7" s="8">
        <v>4.0</v>
      </c>
      <c r="K7" s="8">
        <v>5.0</v>
      </c>
      <c r="L7" s="8">
        <v>0.0</v>
      </c>
      <c r="M7" s="8">
        <v>0.0</v>
      </c>
      <c r="N7" s="8">
        <v>67.0</v>
      </c>
      <c r="O7" s="8">
        <v>9.0</v>
      </c>
      <c r="P7" s="8">
        <f t="shared" si="1"/>
        <v>76</v>
      </c>
      <c r="Q7" s="8">
        <v>6.0</v>
      </c>
      <c r="R7" s="8">
        <v>130.0727273</v>
      </c>
      <c r="S7" s="8">
        <f t="shared" si="2"/>
        <v>11.16666667</v>
      </c>
      <c r="T7" s="8">
        <f t="shared" si="3"/>
        <v>1.5</v>
      </c>
      <c r="U7" s="8">
        <f t="shared" si="4"/>
        <v>0.5150964494</v>
      </c>
      <c r="V7" s="8">
        <f t="shared" si="5"/>
        <v>0.06919206037</v>
      </c>
      <c r="W7" s="8">
        <f t="shared" si="6"/>
        <v>2.5</v>
      </c>
      <c r="X7" s="8">
        <f t="shared" si="7"/>
        <v>0.5</v>
      </c>
      <c r="Y7" s="8">
        <f t="shared" si="8"/>
        <v>0</v>
      </c>
      <c r="Z7" s="8">
        <v>11.10619048</v>
      </c>
      <c r="AA7" s="8">
        <v>17.9875</v>
      </c>
      <c r="AB7" s="8">
        <v>17.78</v>
      </c>
      <c r="AC7" s="8">
        <v>13.41428571</v>
      </c>
      <c r="AD7" s="8">
        <v>15.9</v>
      </c>
      <c r="AE7" s="8"/>
      <c r="AF7" s="8"/>
      <c r="AG7" s="8">
        <v>35.0</v>
      </c>
      <c r="AH7" s="8">
        <v>24.0</v>
      </c>
      <c r="AI7" s="8">
        <v>137.0</v>
      </c>
      <c r="AJ7" s="8">
        <v>50.0</v>
      </c>
      <c r="AK7" s="8">
        <v>1.708867925</v>
      </c>
    </row>
    <row r="8">
      <c r="A8" s="7" t="s">
        <v>36</v>
      </c>
      <c r="B8" s="7">
        <v>1.0</v>
      </c>
      <c r="C8" s="8">
        <v>33.0</v>
      </c>
      <c r="D8" s="8">
        <v>2.0</v>
      </c>
      <c r="E8" s="8">
        <v>0.0</v>
      </c>
      <c r="F8" s="8">
        <v>112.0</v>
      </c>
      <c r="G8" s="8">
        <v>8.0</v>
      </c>
      <c r="H8" s="8">
        <v>0.0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120.0</v>
      </c>
      <c r="O8" s="8">
        <v>0.0</v>
      </c>
      <c r="P8" s="8">
        <f t="shared" si="1"/>
        <v>120</v>
      </c>
      <c r="Q8" s="8">
        <v>7.0</v>
      </c>
      <c r="R8" s="8">
        <v>130.3136364</v>
      </c>
      <c r="S8" s="8">
        <f t="shared" si="2"/>
        <v>17.14285714</v>
      </c>
      <c r="T8" s="8">
        <f t="shared" si="3"/>
        <v>0</v>
      </c>
      <c r="U8" s="8">
        <f t="shared" si="4"/>
        <v>0.920855279</v>
      </c>
      <c r="V8" s="8">
        <f t="shared" si="5"/>
        <v>0</v>
      </c>
      <c r="W8" s="8">
        <f t="shared" si="6"/>
        <v>4.714285714</v>
      </c>
      <c r="X8" s="8">
        <f t="shared" si="7"/>
        <v>0.2857142857</v>
      </c>
      <c r="Y8" s="8">
        <f t="shared" si="8"/>
        <v>0</v>
      </c>
      <c r="Z8" s="8">
        <v>10.69791667</v>
      </c>
      <c r="AA8" s="8">
        <v>15.35</v>
      </c>
      <c r="AB8" s="8"/>
      <c r="AC8" s="8">
        <v>11.59583333</v>
      </c>
      <c r="AD8" s="8"/>
      <c r="AE8" s="8"/>
      <c r="AF8" s="8"/>
      <c r="AG8" s="8">
        <v>63.0</v>
      </c>
      <c r="AH8" s="8">
        <v>11.0</v>
      </c>
      <c r="AI8" s="8">
        <v>230.0</v>
      </c>
      <c r="AJ8" s="8">
        <v>32.0</v>
      </c>
      <c r="AK8" s="8">
        <v>1.011034483</v>
      </c>
    </row>
    <row r="9">
      <c r="A9" s="7" t="s">
        <v>36</v>
      </c>
      <c r="B9" s="7">
        <v>2.0</v>
      </c>
      <c r="C9" s="8">
        <v>23.0</v>
      </c>
      <c r="D9" s="8">
        <v>3.0</v>
      </c>
      <c r="E9" s="8">
        <v>0.0</v>
      </c>
      <c r="F9" s="8">
        <v>98.0</v>
      </c>
      <c r="G9" s="8">
        <v>5.0</v>
      </c>
      <c r="H9" s="8">
        <v>0.0</v>
      </c>
      <c r="I9" s="8">
        <v>0.0</v>
      </c>
      <c r="J9" s="8">
        <v>1.0</v>
      </c>
      <c r="K9" s="8">
        <v>5.0</v>
      </c>
      <c r="L9" s="8">
        <v>0.0</v>
      </c>
      <c r="M9" s="8">
        <v>0.0</v>
      </c>
      <c r="N9" s="8">
        <v>103.0</v>
      </c>
      <c r="O9" s="8">
        <v>6.0</v>
      </c>
      <c r="P9" s="8">
        <f t="shared" si="1"/>
        <v>109</v>
      </c>
      <c r="Q9" s="8">
        <v>9.0</v>
      </c>
      <c r="R9" s="8">
        <v>132.4736842</v>
      </c>
      <c r="S9" s="8">
        <f t="shared" si="2"/>
        <v>11.44444444</v>
      </c>
      <c r="T9" s="8">
        <f t="shared" si="3"/>
        <v>0.6666666667</v>
      </c>
      <c r="U9" s="8">
        <f t="shared" si="4"/>
        <v>0.7775129123</v>
      </c>
      <c r="V9" s="8">
        <f t="shared" si="5"/>
        <v>0.04529201431</v>
      </c>
      <c r="W9" s="8">
        <f t="shared" si="6"/>
        <v>2.555555556</v>
      </c>
      <c r="X9" s="8">
        <f t="shared" si="7"/>
        <v>0.3333333333</v>
      </c>
      <c r="Y9" s="8">
        <f t="shared" si="8"/>
        <v>0</v>
      </c>
      <c r="Z9" s="8">
        <v>8.814516129</v>
      </c>
      <c r="AA9" s="8">
        <v>15.47307692</v>
      </c>
      <c r="AB9" s="8">
        <v>13.94</v>
      </c>
      <c r="AC9" s="8">
        <v>11.90384615</v>
      </c>
      <c r="AD9" s="8">
        <v>10.64</v>
      </c>
      <c r="AE9" s="8"/>
      <c r="AF9" s="8"/>
      <c r="AG9" s="8">
        <v>86.0</v>
      </c>
      <c r="AH9" s="8">
        <v>8.0</v>
      </c>
      <c r="AI9" s="8">
        <v>299.0</v>
      </c>
      <c r="AJ9" s="8">
        <v>20.0</v>
      </c>
      <c r="AK9" s="8">
        <v>1.074270833</v>
      </c>
    </row>
    <row r="10">
      <c r="A10" s="7" t="s">
        <v>37</v>
      </c>
      <c r="B10" s="7">
        <v>1.0</v>
      </c>
      <c r="C10" s="8">
        <v>25.0</v>
      </c>
      <c r="D10" s="8">
        <v>31.0</v>
      </c>
      <c r="E10" s="8">
        <v>15.0</v>
      </c>
      <c r="F10" s="8">
        <v>71.0</v>
      </c>
      <c r="G10" s="8">
        <v>45.0</v>
      </c>
      <c r="H10" s="8">
        <v>18.0</v>
      </c>
      <c r="I10" s="8">
        <v>0.0</v>
      </c>
      <c r="J10" s="8">
        <v>14.0</v>
      </c>
      <c r="K10" s="8">
        <v>24.0</v>
      </c>
      <c r="L10" s="8">
        <v>8.0</v>
      </c>
      <c r="M10" s="8">
        <v>0.0</v>
      </c>
      <c r="N10" s="8">
        <v>134.0</v>
      </c>
      <c r="O10" s="8">
        <v>46.0</v>
      </c>
      <c r="P10" s="8">
        <f t="shared" si="1"/>
        <v>180</v>
      </c>
      <c r="Q10" s="8">
        <v>2.0</v>
      </c>
      <c r="R10" s="8">
        <v>136.88</v>
      </c>
      <c r="S10" s="8">
        <f t="shared" si="2"/>
        <v>67</v>
      </c>
      <c r="T10" s="8">
        <f t="shared" si="3"/>
        <v>23</v>
      </c>
      <c r="U10" s="8">
        <f t="shared" si="4"/>
        <v>0.9789596727</v>
      </c>
      <c r="V10" s="8">
        <f t="shared" si="5"/>
        <v>0.3360607832</v>
      </c>
      <c r="W10" s="8">
        <f t="shared" si="6"/>
        <v>12.5</v>
      </c>
      <c r="X10" s="8">
        <f t="shared" si="7"/>
        <v>15.5</v>
      </c>
      <c r="Y10" s="8">
        <f t="shared" si="8"/>
        <v>7.5</v>
      </c>
      <c r="Z10" s="8">
        <v>8.74333333333333</v>
      </c>
      <c r="AA10" s="8">
        <v>22.58235294</v>
      </c>
      <c r="AB10" s="8">
        <v>23.9333333333</v>
      </c>
      <c r="AC10" s="8">
        <v>19.66470588</v>
      </c>
      <c r="AD10" s="8">
        <v>19.3</v>
      </c>
      <c r="AE10" s="8"/>
      <c r="AF10" s="8">
        <v>15.2</v>
      </c>
      <c r="AG10" s="8">
        <v>9.0</v>
      </c>
      <c r="AH10" s="8">
        <v>16.0</v>
      </c>
      <c r="AI10" s="8">
        <v>45.0</v>
      </c>
      <c r="AJ10" s="8">
        <v>37.0</v>
      </c>
      <c r="AK10" s="8">
        <v>0.9374418605</v>
      </c>
    </row>
    <row r="11">
      <c r="A11" s="7" t="s">
        <v>37</v>
      </c>
      <c r="B11" s="7">
        <v>2.0</v>
      </c>
      <c r="C11" s="8">
        <v>16.0</v>
      </c>
      <c r="D11" s="8">
        <v>26.0</v>
      </c>
      <c r="E11" s="8">
        <v>23.0</v>
      </c>
      <c r="F11" s="8">
        <v>26.0</v>
      </c>
      <c r="G11" s="8">
        <v>45.0</v>
      </c>
      <c r="H11" s="8">
        <v>27.0</v>
      </c>
      <c r="I11" s="8">
        <v>2.0</v>
      </c>
      <c r="J11" s="8">
        <v>24.0</v>
      </c>
      <c r="K11" s="8">
        <v>35.0</v>
      </c>
      <c r="L11" s="8">
        <v>22.0</v>
      </c>
      <c r="M11" s="8">
        <v>0.0</v>
      </c>
      <c r="N11" s="8">
        <v>100.0</v>
      </c>
      <c r="O11" s="8">
        <v>81.0</v>
      </c>
      <c r="P11" s="8">
        <f t="shared" si="1"/>
        <v>181</v>
      </c>
      <c r="Q11" s="8">
        <v>2.0</v>
      </c>
      <c r="R11" s="8">
        <v>166.7909091</v>
      </c>
      <c r="S11" s="8">
        <f t="shared" si="2"/>
        <v>50</v>
      </c>
      <c r="T11" s="8">
        <f t="shared" si="3"/>
        <v>40.5</v>
      </c>
      <c r="U11" s="8">
        <f t="shared" si="4"/>
        <v>0.5995530604</v>
      </c>
      <c r="V11" s="8">
        <f t="shared" si="5"/>
        <v>0.4856379789</v>
      </c>
      <c r="W11" s="8">
        <f t="shared" si="6"/>
        <v>8</v>
      </c>
      <c r="X11" s="8">
        <f t="shared" si="7"/>
        <v>13</v>
      </c>
      <c r="Y11" s="8">
        <f t="shared" si="8"/>
        <v>11.5</v>
      </c>
      <c r="Z11" s="8">
        <v>9.97275</v>
      </c>
      <c r="AA11" s="8">
        <v>24.1</v>
      </c>
      <c r="AB11" s="8">
        <v>20.444</v>
      </c>
      <c r="AC11" s="8">
        <v>17.85333333</v>
      </c>
      <c r="AD11" s="8">
        <v>18.6</v>
      </c>
      <c r="AE11" s="8">
        <v>13.6</v>
      </c>
      <c r="AF11" s="8">
        <v>15.85</v>
      </c>
      <c r="AG11" s="8">
        <v>7.0</v>
      </c>
      <c r="AH11" s="8">
        <v>14.0</v>
      </c>
      <c r="AI11" s="8">
        <v>36.0</v>
      </c>
      <c r="AJ11" s="8">
        <v>36.0</v>
      </c>
      <c r="AK11" s="8">
        <v>1.0223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2025-01-27T14:59:40Z</dcterms:created>
  <dc:creator>Ibraheem Olamide Olasupo</dc:creator>
</cp:coreProperties>
</file>